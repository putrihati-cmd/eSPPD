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laragon\www\eSPPD\md\"/>
    </mc:Choice>
  </mc:AlternateContent>
  <bookViews>
    <workbookView xWindow="0" yWindow="0" windowWidth="20490" windowHeight="7635"/>
  </bookViews>
  <sheets>
    <sheet name="DATA" sheetId="1" r:id="rId1"/>
  </sheets>
  <calcPr calcId="152511"/>
</workbook>
</file>

<file path=xl/calcChain.xml><?xml version="1.0" encoding="utf-8"?>
<calcChain xmlns="http://schemas.openxmlformats.org/spreadsheetml/2006/main">
  <c r="W462" i="1" l="1"/>
  <c r="B462" i="1"/>
  <c r="I461" i="1"/>
  <c r="P460" i="1"/>
  <c r="W459" i="1"/>
  <c r="C459" i="1"/>
  <c r="K458" i="1"/>
  <c r="R457" i="1"/>
  <c r="Z456" i="1"/>
  <c r="E456" i="1"/>
  <c r="M455" i="1"/>
  <c r="T454" i="1"/>
  <c r="I453" i="1"/>
  <c r="P452" i="1"/>
  <c r="K462" i="1"/>
  <c r="R461" i="1"/>
  <c r="Y460" i="1"/>
  <c r="D460" i="1"/>
  <c r="L459" i="1"/>
  <c r="S458" i="1"/>
  <c r="AA457" i="1"/>
  <c r="Z462" i="1"/>
  <c r="K461" i="1"/>
  <c r="Z459" i="1"/>
  <c r="M458" i="1"/>
  <c r="F457" i="1"/>
  <c r="I456" i="1"/>
  <c r="J455" i="1"/>
  <c r="J454" i="1"/>
  <c r="K453" i="1"/>
  <c r="L452" i="1"/>
  <c r="P451" i="1"/>
  <c r="W450" i="1"/>
  <c r="C450" i="1"/>
  <c r="K449" i="1"/>
  <c r="R448" i="1"/>
  <c r="Z447" i="1"/>
  <c r="E447" i="1"/>
  <c r="M446" i="1"/>
  <c r="T445" i="1"/>
  <c r="I444" i="1"/>
  <c r="P443" i="1"/>
  <c r="W442" i="1"/>
  <c r="C442" i="1"/>
  <c r="K441" i="1"/>
  <c r="R440" i="1"/>
  <c r="R462" i="1"/>
  <c r="Y461" i="1"/>
  <c r="C461" i="1"/>
  <c r="K460" i="1"/>
  <c r="R459" i="1"/>
  <c r="Z458" i="1"/>
  <c r="E458" i="1"/>
  <c r="M457" i="1"/>
  <c r="T456" i="1"/>
  <c r="I455" i="1"/>
  <c r="P454" i="1"/>
  <c r="W453" i="1"/>
  <c r="C453" i="1"/>
  <c r="K452" i="1"/>
  <c r="AA462" i="1"/>
  <c r="E462" i="1"/>
  <c r="L461" i="1"/>
  <c r="S460" i="1"/>
  <c r="AA459" i="1"/>
  <c r="F459" i="1"/>
  <c r="O458" i="1"/>
  <c r="V457" i="1"/>
  <c r="P462" i="1"/>
  <c r="P459" i="1"/>
  <c r="C458" i="1"/>
  <c r="B456" i="1"/>
  <c r="B455" i="1"/>
  <c r="C454" i="1"/>
  <c r="D453" i="1"/>
  <c r="D452" i="1"/>
  <c r="K451" i="1"/>
  <c r="R450" i="1"/>
  <c r="Z449" i="1"/>
  <c r="E449" i="1"/>
  <c r="M448" i="1"/>
  <c r="T447" i="1"/>
  <c r="I446" i="1"/>
  <c r="P445" i="1"/>
  <c r="W444" i="1"/>
  <c r="C444" i="1"/>
  <c r="K443" i="1"/>
  <c r="R442" i="1"/>
  <c r="Z441" i="1"/>
  <c r="E441" i="1"/>
  <c r="M440" i="1"/>
  <c r="S461" i="1"/>
  <c r="E460" i="1"/>
  <c r="T458" i="1"/>
  <c r="I457" i="1"/>
  <c r="W455" i="1"/>
  <c r="K454" i="1"/>
  <c r="Z452" i="1"/>
  <c r="O460" i="1"/>
  <c r="B459" i="1"/>
  <c r="R460" i="1"/>
  <c r="T457" i="1"/>
  <c r="V455" i="1"/>
  <c r="Y453" i="1"/>
  <c r="Z451" i="1"/>
  <c r="M450" i="1"/>
  <c r="P447" i="1"/>
  <c r="C446" i="1"/>
  <c r="R444" i="1"/>
  <c r="E443" i="1"/>
  <c r="T441" i="1"/>
  <c r="I440" i="1"/>
  <c r="P439" i="1"/>
  <c r="W438" i="1"/>
  <c r="C438" i="1"/>
  <c r="K437" i="1"/>
  <c r="R436" i="1"/>
  <c r="Z435" i="1"/>
  <c r="E435" i="1"/>
  <c r="M434" i="1"/>
  <c r="T433" i="1"/>
  <c r="I432" i="1"/>
  <c r="P431" i="1"/>
  <c r="W430" i="1"/>
  <c r="C430" i="1"/>
  <c r="K429" i="1"/>
  <c r="R428" i="1"/>
  <c r="Z427" i="1"/>
  <c r="E427" i="1"/>
  <c r="M426" i="1"/>
  <c r="T425" i="1"/>
  <c r="I424" i="1"/>
  <c r="P423" i="1"/>
  <c r="W422" i="1"/>
  <c r="C422" i="1"/>
  <c r="Y462" i="1"/>
  <c r="W460" i="1"/>
  <c r="AA458" i="1"/>
  <c r="E457" i="1"/>
  <c r="Z455" i="1"/>
  <c r="R454" i="1"/>
  <c r="J453" i="1"/>
  <c r="B452" i="1"/>
  <c r="B451" i="1"/>
  <c r="B450" i="1"/>
  <c r="C449" i="1"/>
  <c r="D448" i="1"/>
  <c r="D447" i="1"/>
  <c r="E446" i="1"/>
  <c r="F445" i="1"/>
  <c r="F444" i="1"/>
  <c r="I443" i="1"/>
  <c r="J442" i="1"/>
  <c r="J441" i="1"/>
  <c r="K440" i="1"/>
  <c r="L439" i="1"/>
  <c r="L438" i="1"/>
  <c r="M437" i="1"/>
  <c r="O436" i="1"/>
  <c r="O435" i="1"/>
  <c r="P434" i="1"/>
  <c r="Q433" i="1"/>
  <c r="Q432" i="1"/>
  <c r="R431" i="1"/>
  <c r="S430" i="1"/>
  <c r="M461" i="1"/>
  <c r="M459" i="1"/>
  <c r="W457" i="1"/>
  <c r="R455" i="1"/>
  <c r="R453" i="1"/>
  <c r="V462" i="1"/>
  <c r="B461" i="1"/>
  <c r="Y458" i="1"/>
  <c r="V461" i="1"/>
  <c r="O457" i="1"/>
  <c r="W454" i="1"/>
  <c r="R452" i="1"/>
  <c r="I450" i="1"/>
  <c r="I448" i="1"/>
  <c r="R446" i="1"/>
  <c r="M444" i="1"/>
  <c r="M442" i="1"/>
  <c r="W440" i="1"/>
  <c r="K439" i="1"/>
  <c r="M438" i="1"/>
  <c r="P437" i="1"/>
  <c r="M436" i="1"/>
  <c r="P435" i="1"/>
  <c r="R434" i="1"/>
  <c r="P433" i="1"/>
  <c r="R432" i="1"/>
  <c r="T431" i="1"/>
  <c r="R430" i="1"/>
  <c r="T429" i="1"/>
  <c r="W428" i="1"/>
  <c r="T427" i="1"/>
  <c r="W426" i="1"/>
  <c r="Z425" i="1"/>
  <c r="W424" i="1"/>
  <c r="Z423" i="1"/>
  <c r="Z421" i="1"/>
  <c r="Z461" i="1"/>
  <c r="K459" i="1"/>
  <c r="Y456" i="1"/>
  <c r="F455" i="1"/>
  <c r="S453" i="1"/>
  <c r="V451" i="1"/>
  <c r="P450" i="1"/>
  <c r="J449" i="1"/>
  <c r="Y447" i="1"/>
  <c r="S446" i="1"/>
  <c r="M445" i="1"/>
  <c r="V442" i="1"/>
  <c r="Q441" i="1"/>
  <c r="D440" i="1"/>
  <c r="Z438" i="1"/>
  <c r="S437" i="1"/>
  <c r="F436" i="1"/>
  <c r="B435" i="1"/>
  <c r="W433" i="1"/>
  <c r="K432" i="1"/>
  <c r="D431" i="1"/>
  <c r="AA429" i="1"/>
  <c r="AA428" i="1"/>
  <c r="B427" i="1"/>
  <c r="B426" i="1"/>
  <c r="C425" i="1"/>
  <c r="D424" i="1"/>
  <c r="D423" i="1"/>
  <c r="E422" i="1"/>
  <c r="I421" i="1"/>
  <c r="T462" i="1"/>
  <c r="V460" i="1"/>
  <c r="V458" i="1"/>
  <c r="D457" i="1"/>
  <c r="Y455" i="1"/>
  <c r="O454" i="1"/>
  <c r="F453" i="1"/>
  <c r="AA451" i="1"/>
  <c r="AA450" i="1"/>
  <c r="B449" i="1"/>
  <c r="B448" i="1"/>
  <c r="C447" i="1"/>
  <c r="D446" i="1"/>
  <c r="D445" i="1"/>
  <c r="E444" i="1"/>
  <c r="F443" i="1"/>
  <c r="F442" i="1"/>
  <c r="I441" i="1"/>
  <c r="J440" i="1"/>
  <c r="J439" i="1"/>
  <c r="K438" i="1"/>
  <c r="L437" i="1"/>
  <c r="L436" i="1"/>
  <c r="M435" i="1"/>
  <c r="O434" i="1"/>
  <c r="O433" i="1"/>
  <c r="P432" i="1"/>
  <c r="Q431" i="1"/>
  <c r="Q430" i="1"/>
  <c r="R429" i="1"/>
  <c r="S428" i="1"/>
  <c r="S427" i="1"/>
  <c r="T426" i="1"/>
  <c r="V425" i="1"/>
  <c r="V424" i="1"/>
  <c r="W423" i="1"/>
  <c r="Y422" i="1"/>
  <c r="Y421" i="1"/>
  <c r="B421" i="1"/>
  <c r="J420" i="1"/>
  <c r="Q419" i="1"/>
  <c r="Y418" i="1"/>
  <c r="D418" i="1"/>
  <c r="L417" i="1"/>
  <c r="S416" i="1"/>
  <c r="AA415" i="1"/>
  <c r="F415" i="1"/>
  <c r="O414" i="1"/>
  <c r="V413" i="1"/>
  <c r="B413" i="1"/>
  <c r="J412" i="1"/>
  <c r="Q411" i="1"/>
  <c r="Y410" i="1"/>
  <c r="D410" i="1"/>
  <c r="D461" i="1"/>
  <c r="K457" i="1"/>
  <c r="V454" i="1"/>
  <c r="F452" i="1"/>
  <c r="E450" i="1"/>
  <c r="F448" i="1"/>
  <c r="J446" i="1"/>
  <c r="K444" i="1"/>
  <c r="L442" i="1"/>
  <c r="O440" i="1"/>
  <c r="P438" i="1"/>
  <c r="Q436" i="1"/>
  <c r="S434" i="1"/>
  <c r="T432" i="1"/>
  <c r="V430" i="1"/>
  <c r="Y428" i="1"/>
  <c r="Z426" i="1"/>
  <c r="AA424" i="1"/>
  <c r="B423" i="1"/>
  <c r="E421" i="1"/>
  <c r="B420" i="1"/>
  <c r="C419" i="1"/>
  <c r="C418" i="1"/>
  <c r="D417" i="1"/>
  <c r="E416" i="1"/>
  <c r="E415" i="1"/>
  <c r="F414" i="1"/>
  <c r="I413" i="1"/>
  <c r="I412" i="1"/>
  <c r="J411" i="1"/>
  <c r="K410" i="1"/>
  <c r="M409" i="1"/>
  <c r="T408" i="1"/>
  <c r="I407" i="1"/>
  <c r="P406" i="1"/>
  <c r="W405" i="1"/>
  <c r="C405" i="1"/>
  <c r="K404" i="1"/>
  <c r="R403" i="1"/>
  <c r="AA402" i="1"/>
  <c r="F402" i="1"/>
  <c r="O401" i="1"/>
  <c r="V400" i="1"/>
  <c r="B400" i="1"/>
  <c r="J399" i="1"/>
  <c r="Q398" i="1"/>
  <c r="Y397" i="1"/>
  <c r="D397" i="1"/>
  <c r="L396" i="1"/>
  <c r="S395" i="1"/>
  <c r="AA394" i="1"/>
  <c r="F394" i="1"/>
  <c r="O393" i="1"/>
  <c r="V392" i="1"/>
  <c r="B392" i="1"/>
  <c r="J391" i="1"/>
  <c r="Q390" i="1"/>
  <c r="Y389" i="1"/>
  <c r="D389" i="1"/>
  <c r="L388" i="1"/>
  <c r="S387" i="1"/>
  <c r="AA386" i="1"/>
  <c r="F386" i="1"/>
  <c r="O385" i="1"/>
  <c r="V384" i="1"/>
  <c r="B384" i="1"/>
  <c r="J383" i="1"/>
  <c r="Q382" i="1"/>
  <c r="Y381" i="1"/>
  <c r="D381" i="1"/>
  <c r="L380" i="1"/>
  <c r="S379" i="1"/>
  <c r="AA378" i="1"/>
  <c r="F378" i="1"/>
  <c r="O377" i="1"/>
  <c r="V376" i="1"/>
  <c r="B376" i="1"/>
  <c r="J375" i="1"/>
  <c r="Q374" i="1"/>
  <c r="Y373" i="1"/>
  <c r="D373" i="1"/>
  <c r="M372" i="1"/>
  <c r="T371" i="1"/>
  <c r="I370" i="1"/>
  <c r="P369" i="1"/>
  <c r="W368" i="1"/>
  <c r="C368" i="1"/>
  <c r="Z460" i="1"/>
  <c r="I459" i="1"/>
  <c r="C457" i="1"/>
  <c r="C455" i="1"/>
  <c r="M453" i="1"/>
  <c r="Q462" i="1"/>
  <c r="J460" i="1"/>
  <c r="J458" i="1"/>
  <c r="I460" i="1"/>
  <c r="V456" i="1"/>
  <c r="Q454" i="1"/>
  <c r="T451" i="1"/>
  <c r="T449" i="1"/>
  <c r="C448" i="1"/>
  <c r="Z445" i="1"/>
  <c r="Z443" i="1"/>
  <c r="I442" i="1"/>
  <c r="C440" i="1"/>
  <c r="E439" i="1"/>
  <c r="I438" i="1"/>
  <c r="E437" i="1"/>
  <c r="I436" i="1"/>
  <c r="K435" i="1"/>
  <c r="I434" i="1"/>
  <c r="K433" i="1"/>
  <c r="M432" i="1"/>
  <c r="K431" i="1"/>
  <c r="M430" i="1"/>
  <c r="P429" i="1"/>
  <c r="M428" i="1"/>
  <c r="P427" i="1"/>
  <c r="R426" i="1"/>
  <c r="P425" i="1"/>
  <c r="R424" i="1"/>
  <c r="T423" i="1"/>
  <c r="R422" i="1"/>
  <c r="T421" i="1"/>
  <c r="J461" i="1"/>
  <c r="L458" i="1"/>
  <c r="Q456" i="1"/>
  <c r="AA454" i="1"/>
  <c r="O451" i="1"/>
  <c r="J450" i="1"/>
  <c r="Y448" i="1"/>
  <c r="R447" i="1"/>
  <c r="L446" i="1"/>
  <c r="AA444" i="1"/>
  <c r="V443" i="1"/>
  <c r="L462" i="1"/>
  <c r="T460" i="1"/>
  <c r="P458" i="1"/>
  <c r="P456" i="1"/>
  <c r="Z454" i="1"/>
  <c r="T452" i="1"/>
  <c r="W461" i="1"/>
  <c r="V459" i="1"/>
  <c r="D458" i="1"/>
  <c r="E459" i="1"/>
  <c r="O456" i="1"/>
  <c r="Q453" i="1"/>
  <c r="E451" i="1"/>
  <c r="P449" i="1"/>
  <c r="K447" i="1"/>
  <c r="K445" i="1"/>
  <c r="T443" i="1"/>
  <c r="P441" i="1"/>
  <c r="Z439" i="1"/>
  <c r="Z437" i="1"/>
  <c r="C436" i="1"/>
  <c r="C434" i="1"/>
  <c r="E433" i="1"/>
  <c r="C432" i="1"/>
  <c r="E431" i="1"/>
  <c r="I430" i="1"/>
  <c r="E429" i="1"/>
  <c r="I428" i="1"/>
  <c r="K427" i="1"/>
  <c r="I426" i="1"/>
  <c r="K425" i="1"/>
  <c r="M424" i="1"/>
  <c r="F462" i="1"/>
  <c r="K456" i="1"/>
  <c r="E454" i="1"/>
  <c r="E452" i="1"/>
  <c r="F461" i="1"/>
  <c r="Q459" i="1"/>
  <c r="D462" i="1"/>
  <c r="W458" i="1"/>
  <c r="P455" i="1"/>
  <c r="Y452" i="1"/>
  <c r="W448" i="1"/>
  <c r="W446" i="1"/>
  <c r="E445" i="1"/>
  <c r="T437" i="1"/>
  <c r="Z433" i="1"/>
  <c r="Z429" i="1"/>
  <c r="C426" i="1"/>
  <c r="E423" i="1"/>
  <c r="J462" i="1"/>
  <c r="P457" i="1"/>
  <c r="AA453" i="1"/>
  <c r="V450" i="1"/>
  <c r="K448" i="1"/>
  <c r="S445" i="1"/>
  <c r="B443" i="1"/>
  <c r="C441" i="1"/>
  <c r="R439" i="1"/>
  <c r="AA437" i="1"/>
  <c r="J434" i="1"/>
  <c r="Y432" i="1"/>
  <c r="Z430" i="1"/>
  <c r="M429" i="1"/>
  <c r="F428" i="1"/>
  <c r="V426" i="1"/>
  <c r="Q425" i="1"/>
  <c r="K424" i="1"/>
  <c r="Z422" i="1"/>
  <c r="S421" i="1"/>
  <c r="T420" i="1"/>
  <c r="F460" i="1"/>
  <c r="Y457" i="1"/>
  <c r="D456" i="1"/>
  <c r="F454" i="1"/>
  <c r="Q452" i="1"/>
  <c r="F451" i="1"/>
  <c r="V449" i="1"/>
  <c r="P448" i="1"/>
  <c r="J447" i="1"/>
  <c r="Y445" i="1"/>
  <c r="S444" i="1"/>
  <c r="M443" i="1"/>
  <c r="V440" i="1"/>
  <c r="Q439" i="1"/>
  <c r="W436" i="1"/>
  <c r="W432" i="1"/>
  <c r="E425" i="1"/>
  <c r="M422" i="1"/>
  <c r="L460" i="1"/>
  <c r="F456" i="1"/>
  <c r="S452" i="1"/>
  <c r="W449" i="1"/>
  <c r="L447" i="1"/>
  <c r="T444" i="1"/>
  <c r="P442" i="1"/>
  <c r="Y440" i="1"/>
  <c r="D439" i="1"/>
  <c r="F437" i="1"/>
  <c r="V435" i="1"/>
  <c r="B434" i="1"/>
  <c r="D432" i="1"/>
  <c r="L430" i="1"/>
  <c r="F429" i="1"/>
  <c r="V427" i="1"/>
  <c r="P426" i="1"/>
  <c r="J425" i="1"/>
  <c r="Y423" i="1"/>
  <c r="S422" i="1"/>
  <c r="M421" i="1"/>
  <c r="I462" i="1"/>
  <c r="T459" i="1"/>
  <c r="L457" i="1"/>
  <c r="O455" i="1"/>
  <c r="Z453" i="1"/>
  <c r="I452" i="1"/>
  <c r="T450" i="1"/>
  <c r="O449" i="1"/>
  <c r="J448" i="1"/>
  <c r="Y446" i="1"/>
  <c r="R445" i="1"/>
  <c r="L444" i="1"/>
  <c r="AA442" i="1"/>
  <c r="V441" i="1"/>
  <c r="P440" i="1"/>
  <c r="C439" i="1"/>
  <c r="Y437" i="1"/>
  <c r="S436" i="1"/>
  <c r="F435" i="1"/>
  <c r="V432" i="1"/>
  <c r="J431" i="1"/>
  <c r="D430" i="1"/>
  <c r="Z428" i="1"/>
  <c r="M427" i="1"/>
  <c r="F426" i="1"/>
  <c r="B425" i="1"/>
  <c r="Q423" i="1"/>
  <c r="K422" i="1"/>
  <c r="F421" i="1"/>
  <c r="D420" i="1"/>
  <c r="F419" i="1"/>
  <c r="J418" i="1"/>
  <c r="F417" i="1"/>
  <c r="J416" i="1"/>
  <c r="L415" i="1"/>
  <c r="J414" i="1"/>
  <c r="L413" i="1"/>
  <c r="O412" i="1"/>
  <c r="L411" i="1"/>
  <c r="O410" i="1"/>
  <c r="C462" i="1"/>
  <c r="S456" i="1"/>
  <c r="O453" i="1"/>
  <c r="S450" i="1"/>
  <c r="V447" i="1"/>
  <c r="J445" i="1"/>
  <c r="Z442" i="1"/>
  <c r="Q437" i="1"/>
  <c r="D435" i="1"/>
  <c r="F432" i="1"/>
  <c r="W429" i="1"/>
  <c r="L427" i="1"/>
  <c r="O424" i="1"/>
  <c r="B422" i="1"/>
  <c r="I420" i="1"/>
  <c r="W418" i="1"/>
  <c r="R417" i="1"/>
  <c r="L416" i="1"/>
  <c r="AA414" i="1"/>
  <c r="T413" i="1"/>
  <c r="P412" i="1"/>
  <c r="C411" i="1"/>
  <c r="Y409" i="1"/>
  <c r="Z408" i="1"/>
  <c r="W407" i="1"/>
  <c r="Z406" i="1"/>
  <c r="Z404" i="1"/>
  <c r="D403" i="1"/>
  <c r="B402" i="1"/>
  <c r="D401" i="1"/>
  <c r="F400" i="1"/>
  <c r="D399" i="1"/>
  <c r="F398" i="1"/>
  <c r="J397" i="1"/>
  <c r="F396" i="1"/>
  <c r="J395" i="1"/>
  <c r="L394" i="1"/>
  <c r="J393" i="1"/>
  <c r="L392" i="1"/>
  <c r="O391" i="1"/>
  <c r="L390" i="1"/>
  <c r="O389" i="1"/>
  <c r="Q388" i="1"/>
  <c r="O387" i="1"/>
  <c r="Q386" i="1"/>
  <c r="S385" i="1"/>
  <c r="Q384" i="1"/>
  <c r="S383" i="1"/>
  <c r="V382" i="1"/>
  <c r="S381" i="1"/>
  <c r="V380" i="1"/>
  <c r="Y379" i="1"/>
  <c r="V378" i="1"/>
  <c r="Y377" i="1"/>
  <c r="AA376" i="1"/>
  <c r="Y375" i="1"/>
  <c r="AA374" i="1"/>
  <c r="B374" i="1"/>
  <c r="AA372" i="1"/>
  <c r="C372" i="1"/>
  <c r="E371" i="1"/>
  <c r="C370" i="1"/>
  <c r="E369" i="1"/>
  <c r="I368" i="1"/>
  <c r="L367" i="1"/>
  <c r="T439" i="1"/>
  <c r="T435" i="1"/>
  <c r="Z431" i="1"/>
  <c r="C428" i="1"/>
  <c r="C424" i="1"/>
  <c r="I422" i="1"/>
  <c r="Y459" i="1"/>
  <c r="Q455" i="1"/>
  <c r="J452" i="1"/>
  <c r="Q449" i="1"/>
  <c r="Z446" i="1"/>
  <c r="O444" i="1"/>
  <c r="B442" i="1"/>
  <c r="Q440" i="1"/>
  <c r="S438" i="1"/>
  <c r="AA436" i="1"/>
  <c r="I435" i="1"/>
  <c r="J433" i="1"/>
  <c r="Y431" i="1"/>
  <c r="E430" i="1"/>
  <c r="T428" i="1"/>
  <c r="O427" i="1"/>
  <c r="J426" i="1"/>
  <c r="Y424" i="1"/>
  <c r="R423" i="1"/>
  <c r="L422" i="1"/>
  <c r="C421" i="1"/>
  <c r="T461" i="1"/>
  <c r="J459" i="1"/>
  <c r="W456" i="1"/>
  <c r="E455" i="1"/>
  <c r="P453" i="1"/>
  <c r="S451" i="1"/>
  <c r="O450" i="1"/>
  <c r="I449" i="1"/>
  <c r="W447" i="1"/>
  <c r="Q446" i="1"/>
  <c r="L445" i="1"/>
  <c r="AA443" i="1"/>
  <c r="T442" i="1"/>
  <c r="O441" i="1"/>
  <c r="B440" i="1"/>
  <c r="Y438" i="1"/>
  <c r="R437" i="1"/>
  <c r="E436" i="1"/>
  <c r="AA434" i="1"/>
  <c r="V433" i="1"/>
  <c r="J432" i="1"/>
  <c r="C431" i="1"/>
  <c r="Y429" i="1"/>
  <c r="L428" i="1"/>
  <c r="F427" i="1"/>
  <c r="P424" i="1"/>
  <c r="J423" i="1"/>
  <c r="D422" i="1"/>
  <c r="Y420" i="1"/>
  <c r="AA419" i="1"/>
  <c r="B419" i="1"/>
  <c r="AA417" i="1"/>
  <c r="B417" i="1"/>
  <c r="D416" i="1"/>
  <c r="B415" i="1"/>
  <c r="D414" i="1"/>
  <c r="F413" i="1"/>
  <c r="D412" i="1"/>
  <c r="F411" i="1"/>
  <c r="J410" i="1"/>
  <c r="C460" i="1"/>
  <c r="C456" i="1"/>
  <c r="W452" i="1"/>
  <c r="S449" i="1"/>
  <c r="I447" i="1"/>
  <c r="Y444" i="1"/>
  <c r="AA441" i="1"/>
  <c r="O439" i="1"/>
  <c r="C437" i="1"/>
  <c r="E434" i="1"/>
  <c r="V431" i="1"/>
  <c r="J429" i="1"/>
  <c r="L426" i="1"/>
  <c r="Q421" i="1"/>
  <c r="W419" i="1"/>
  <c r="Q418" i="1"/>
  <c r="K417" i="1"/>
  <c r="Z415" i="1"/>
  <c r="T414" i="1"/>
  <c r="O413" i="1"/>
  <c r="B412" i="1"/>
  <c r="W410" i="1"/>
  <c r="R409" i="1"/>
  <c r="P408" i="1"/>
  <c r="R407" i="1"/>
  <c r="T406" i="1"/>
  <c r="R405" i="1"/>
  <c r="T404" i="1"/>
  <c r="W403" i="1"/>
  <c r="V402" i="1"/>
  <c r="Y401" i="1"/>
  <c r="AA400" i="1"/>
  <c r="Y399" i="1"/>
  <c r="AA398" i="1"/>
  <c r="B398" i="1"/>
  <c r="AA396" i="1"/>
  <c r="B396" i="1"/>
  <c r="D395" i="1"/>
  <c r="B394" i="1"/>
  <c r="D393" i="1"/>
  <c r="F392" i="1"/>
  <c r="D391" i="1"/>
  <c r="F390" i="1"/>
  <c r="J389" i="1"/>
  <c r="F388" i="1"/>
  <c r="J387" i="1"/>
  <c r="R438" i="1"/>
  <c r="K423" i="1"/>
  <c r="Q448" i="1"/>
  <c r="Y439" i="1"/>
  <c r="C433" i="1"/>
  <c r="I427" i="1"/>
  <c r="AA421" i="1"/>
  <c r="E461" i="1"/>
  <c r="AA452" i="1"/>
  <c r="Q447" i="1"/>
  <c r="O442" i="1"/>
  <c r="D438" i="1"/>
  <c r="S435" i="1"/>
  <c r="B433" i="1"/>
  <c r="K430" i="1"/>
  <c r="AA427" i="1"/>
  <c r="I425" i="1"/>
  <c r="Q422" i="1"/>
  <c r="O420" i="1"/>
  <c r="O418" i="1"/>
  <c r="O416" i="1"/>
  <c r="S414" i="1"/>
  <c r="S412" i="1"/>
  <c r="S410" i="1"/>
  <c r="D454" i="1"/>
  <c r="T448" i="1"/>
  <c r="L443" i="1"/>
  <c r="B438" i="1"/>
  <c r="F433" i="1"/>
  <c r="Y427" i="1"/>
  <c r="P422" i="1"/>
  <c r="J419" i="1"/>
  <c r="R416" i="1"/>
  <c r="P411" i="1"/>
  <c r="C409" i="1"/>
  <c r="C407" i="1"/>
  <c r="I405" i="1"/>
  <c r="I403" i="1"/>
  <c r="J401" i="1"/>
  <c r="O399" i="1"/>
  <c r="O397" i="1"/>
  <c r="O395" i="1"/>
  <c r="S393" i="1"/>
  <c r="S391" i="1"/>
  <c r="S389" i="1"/>
  <c r="Y387" i="1"/>
  <c r="B386" i="1"/>
  <c r="AA384" i="1"/>
  <c r="O383" i="1"/>
  <c r="F382" i="1"/>
  <c r="AA380" i="1"/>
  <c r="O379" i="1"/>
  <c r="L378" i="1"/>
  <c r="D377" i="1"/>
  <c r="S375" i="1"/>
  <c r="L374" i="1"/>
  <c r="J373" i="1"/>
  <c r="Z371" i="1"/>
  <c r="R370" i="1"/>
  <c r="K369" i="1"/>
  <c r="AA367" i="1"/>
  <c r="B367" i="1"/>
  <c r="K366" i="1"/>
  <c r="S365" i="1"/>
  <c r="AA364" i="1"/>
  <c r="I364" i="1"/>
  <c r="R363" i="1"/>
  <c r="AA362" i="1"/>
  <c r="I362" i="1"/>
  <c r="T361" i="1"/>
  <c r="C361" i="1"/>
  <c r="L360" i="1"/>
  <c r="W359" i="1"/>
  <c r="F359" i="1"/>
  <c r="O358" i="1"/>
  <c r="Y357" i="1"/>
  <c r="F357" i="1"/>
  <c r="P356" i="1"/>
  <c r="Z355" i="1"/>
  <c r="G355" i="1"/>
  <c r="P354" i="1"/>
  <c r="Z353" i="1"/>
  <c r="G353" i="1"/>
  <c r="P352" i="1"/>
  <c r="Z351" i="1"/>
  <c r="G351" i="1"/>
  <c r="P350" i="1"/>
  <c r="Z349" i="1"/>
  <c r="G349" i="1"/>
  <c r="P348" i="1"/>
  <c r="Z347" i="1"/>
  <c r="G347" i="1"/>
  <c r="P346" i="1"/>
  <c r="Z345" i="1"/>
  <c r="G345" i="1"/>
  <c r="AA455" i="1"/>
  <c r="L453" i="1"/>
  <c r="C451" i="1"/>
  <c r="D449" i="1"/>
  <c r="F447" i="1"/>
  <c r="I445" i="1"/>
  <c r="J443" i="1"/>
  <c r="L441" i="1"/>
  <c r="M439" i="1"/>
  <c r="O437" i="1"/>
  <c r="Q435" i="1"/>
  <c r="R433" i="1"/>
  <c r="S431" i="1"/>
  <c r="V429" i="1"/>
  <c r="W427" i="1"/>
  <c r="Y425" i="1"/>
  <c r="AA423" i="1"/>
  <c r="M420" i="1"/>
  <c r="O419" i="1"/>
  <c r="P418" i="1"/>
  <c r="P417" i="1"/>
  <c r="Q416" i="1"/>
  <c r="R415" i="1"/>
  <c r="R414" i="1"/>
  <c r="S413" i="1"/>
  <c r="T412" i="1"/>
  <c r="T411" i="1"/>
  <c r="V410" i="1"/>
  <c r="W409" i="1"/>
  <c r="B409" i="1"/>
  <c r="J408" i="1"/>
  <c r="Q407" i="1"/>
  <c r="Y406" i="1"/>
  <c r="D406" i="1"/>
  <c r="L405" i="1"/>
  <c r="S404" i="1"/>
  <c r="AA403" i="1"/>
  <c r="G403" i="1"/>
  <c r="P402" i="1"/>
  <c r="W401" i="1"/>
  <c r="C401" i="1"/>
  <c r="K400" i="1"/>
  <c r="R399" i="1"/>
  <c r="Z398" i="1"/>
  <c r="E398" i="1"/>
  <c r="M397" i="1"/>
  <c r="T396" i="1"/>
  <c r="I395" i="1"/>
  <c r="P394" i="1"/>
  <c r="W393" i="1"/>
  <c r="C393" i="1"/>
  <c r="K392" i="1"/>
  <c r="R391" i="1"/>
  <c r="Z390" i="1"/>
  <c r="E390" i="1"/>
  <c r="M389" i="1"/>
  <c r="T388" i="1"/>
  <c r="I387" i="1"/>
  <c r="P386" i="1"/>
  <c r="W385" i="1"/>
  <c r="C385" i="1"/>
  <c r="K384" i="1"/>
  <c r="R383" i="1"/>
  <c r="Z382" i="1"/>
  <c r="E382" i="1"/>
  <c r="M381" i="1"/>
  <c r="T380" i="1"/>
  <c r="I379" i="1"/>
  <c r="P378" i="1"/>
  <c r="W377" i="1"/>
  <c r="C377" i="1"/>
  <c r="K376" i="1"/>
  <c r="R375" i="1"/>
  <c r="Z374" i="1"/>
  <c r="E374" i="1"/>
  <c r="M373" i="1"/>
  <c r="V372" i="1"/>
  <c r="B372" i="1"/>
  <c r="J371" i="1"/>
  <c r="L456" i="1"/>
  <c r="L451" i="1"/>
  <c r="O447" i="1"/>
  <c r="R443" i="1"/>
  <c r="V439" i="1"/>
  <c r="Y435" i="1"/>
  <c r="D428" i="1"/>
  <c r="F424" i="1"/>
  <c r="R420" i="1"/>
  <c r="T418" i="1"/>
  <c r="V416" i="1"/>
  <c r="W414" i="1"/>
  <c r="Z412" i="1"/>
  <c r="AA410" i="1"/>
  <c r="E409" i="1"/>
  <c r="T407" i="1"/>
  <c r="I406" i="1"/>
  <c r="W404" i="1"/>
  <c r="K403" i="1"/>
  <c r="AA401" i="1"/>
  <c r="O400" i="1"/>
  <c r="B399" i="1"/>
  <c r="Q397" i="1"/>
  <c r="D396" i="1"/>
  <c r="S394" i="1"/>
  <c r="F393" i="1"/>
  <c r="V391" i="1"/>
  <c r="J390" i="1"/>
  <c r="Y388" i="1"/>
  <c r="L387" i="1"/>
  <c r="AA385" i="1"/>
  <c r="O384" i="1"/>
  <c r="B383" i="1"/>
  <c r="Q381" i="1"/>
  <c r="D380" i="1"/>
  <c r="S378" i="1"/>
  <c r="F377" i="1"/>
  <c r="V375" i="1"/>
  <c r="J374" i="1"/>
  <c r="Y372" i="1"/>
  <c r="M371" i="1"/>
  <c r="L370" i="1"/>
  <c r="M369" i="1"/>
  <c r="O368" i="1"/>
  <c r="Q367" i="1"/>
  <c r="R366" i="1"/>
  <c r="T365" i="1"/>
  <c r="U364" i="1"/>
  <c r="Y363" i="1"/>
  <c r="D362" i="1"/>
  <c r="I361" i="1"/>
  <c r="M360" i="1"/>
  <c r="R359" i="1"/>
  <c r="V358" i="1"/>
  <c r="Z357" i="1"/>
  <c r="E356" i="1"/>
  <c r="H355" i="1"/>
  <c r="J354" i="1"/>
  <c r="M353" i="1"/>
  <c r="Q352" i="1"/>
  <c r="S351" i="1"/>
  <c r="W350" i="1"/>
  <c r="AA349" i="1"/>
  <c r="B349" i="1"/>
  <c r="E348" i="1"/>
  <c r="H347" i="1"/>
  <c r="J346" i="1"/>
  <c r="M345" i="1"/>
  <c r="V344" i="1"/>
  <c r="D344" i="1"/>
  <c r="W434" i="1"/>
  <c r="P421" i="1"/>
  <c r="Z457" i="1"/>
  <c r="AA445" i="1"/>
  <c r="E438" i="1"/>
  <c r="L431" i="1"/>
  <c r="W425" i="1"/>
  <c r="Z420" i="1"/>
  <c r="I458" i="1"/>
  <c r="M451" i="1"/>
  <c r="K446" i="1"/>
  <c r="B441" i="1"/>
  <c r="D437" i="1"/>
  <c r="T434" i="1"/>
  <c r="B432" i="1"/>
  <c r="L429" i="1"/>
  <c r="AA426" i="1"/>
  <c r="J424" i="1"/>
  <c r="R421" i="1"/>
  <c r="V419" i="1"/>
  <c r="V417" i="1"/>
  <c r="V415" i="1"/>
  <c r="AA413" i="1"/>
  <c r="AA411" i="1"/>
  <c r="AA409" i="1"/>
  <c r="D459" i="1"/>
  <c r="R451" i="1"/>
  <c r="V446" i="1"/>
  <c r="M441" i="1"/>
  <c r="D436" i="1"/>
  <c r="I431" i="1"/>
  <c r="AA425" i="1"/>
  <c r="W420" i="1"/>
  <c r="K418" i="1"/>
  <c r="S415" i="1"/>
  <c r="Q410" i="1"/>
  <c r="K408" i="1"/>
  <c r="K406" i="1"/>
  <c r="P404" i="1"/>
  <c r="Q402" i="1"/>
  <c r="Q400" i="1"/>
  <c r="V398" i="1"/>
  <c r="V396" i="1"/>
  <c r="V394" i="1"/>
  <c r="AA392" i="1"/>
  <c r="AA390" i="1"/>
  <c r="AA388" i="1"/>
  <c r="D387" i="1"/>
  <c r="Y385" i="1"/>
  <c r="L384" i="1"/>
  <c r="D383" i="1"/>
  <c r="B382" i="1"/>
  <c r="Q380" i="1"/>
  <c r="J379" i="1"/>
  <c r="B378" i="1"/>
  <c r="Q376" i="1"/>
  <c r="O375" i="1"/>
  <c r="F374" i="1"/>
  <c r="W372" i="1"/>
  <c r="P371" i="1"/>
  <c r="M370" i="1"/>
  <c r="V367" i="1"/>
  <c r="Y366" i="1"/>
  <c r="E366" i="1"/>
  <c r="O365" i="1"/>
  <c r="V364" i="1"/>
  <c r="D364" i="1"/>
  <c r="M363" i="1"/>
  <c r="V362" i="1"/>
  <c r="E362" i="1"/>
  <c r="P361" i="1"/>
  <c r="Z360" i="1"/>
  <c r="H360" i="1"/>
  <c r="S359" i="1"/>
  <c r="B359" i="1"/>
  <c r="J358" i="1"/>
  <c r="S357" i="1"/>
  <c r="B357" i="1"/>
  <c r="K356" i="1"/>
  <c r="T355" i="1"/>
  <c r="C355" i="1"/>
  <c r="K354" i="1"/>
  <c r="T353" i="1"/>
  <c r="C353" i="1"/>
  <c r="K352" i="1"/>
  <c r="T351" i="1"/>
  <c r="C351" i="1"/>
  <c r="K350" i="1"/>
  <c r="T349" i="1"/>
  <c r="C349" i="1"/>
  <c r="K348" i="1"/>
  <c r="T347" i="1"/>
  <c r="C347" i="1"/>
  <c r="K346" i="1"/>
  <c r="T345" i="1"/>
  <c r="AA461" i="1"/>
  <c r="B458" i="1"/>
  <c r="K455" i="1"/>
  <c r="V452" i="1"/>
  <c r="Q450" i="1"/>
  <c r="S448" i="1"/>
  <c r="T446" i="1"/>
  <c r="V444" i="1"/>
  <c r="Y442" i="1"/>
  <c r="Z440" i="1"/>
  <c r="AA438" i="1"/>
  <c r="B437" i="1"/>
  <c r="C435" i="1"/>
  <c r="D433" i="1"/>
  <c r="F431" i="1"/>
  <c r="I429" i="1"/>
  <c r="J427" i="1"/>
  <c r="L425" i="1"/>
  <c r="M423" i="1"/>
  <c r="O421" i="1"/>
  <c r="F420" i="1"/>
  <c r="I419" i="1"/>
  <c r="I418" i="1"/>
  <c r="J417" i="1"/>
  <c r="K416" i="1"/>
  <c r="K415" i="1"/>
  <c r="L414" i="1"/>
  <c r="M413" i="1"/>
  <c r="M412" i="1"/>
  <c r="O411" i="1"/>
  <c r="P410" i="1"/>
  <c r="Q409" i="1"/>
  <c r="Y408" i="1"/>
  <c r="D408" i="1"/>
  <c r="L407" i="1"/>
  <c r="S406" i="1"/>
  <c r="AA405" i="1"/>
  <c r="F405" i="1"/>
  <c r="O404" i="1"/>
  <c r="V403" i="1"/>
  <c r="C403" i="1"/>
  <c r="K402" i="1"/>
  <c r="R401" i="1"/>
  <c r="Z400" i="1"/>
  <c r="E400" i="1"/>
  <c r="M399" i="1"/>
  <c r="T398" i="1"/>
  <c r="I397" i="1"/>
  <c r="P396" i="1"/>
  <c r="W395" i="1"/>
  <c r="C395" i="1"/>
  <c r="K394" i="1"/>
  <c r="R393" i="1"/>
  <c r="Z392" i="1"/>
  <c r="E392" i="1"/>
  <c r="M391" i="1"/>
  <c r="T390" i="1"/>
  <c r="I389" i="1"/>
  <c r="P388" i="1"/>
  <c r="W387" i="1"/>
  <c r="C387" i="1"/>
  <c r="K386" i="1"/>
  <c r="R385" i="1"/>
  <c r="Z384" i="1"/>
  <c r="E384" i="1"/>
  <c r="M383" i="1"/>
  <c r="T382" i="1"/>
  <c r="I381" i="1"/>
  <c r="P380" i="1"/>
  <c r="W379" i="1"/>
  <c r="C379" i="1"/>
  <c r="K378" i="1"/>
  <c r="R377" i="1"/>
  <c r="Z376" i="1"/>
  <c r="E376" i="1"/>
  <c r="M375" i="1"/>
  <c r="T374" i="1"/>
  <c r="I373" i="1"/>
  <c r="Q372" i="1"/>
  <c r="Y371" i="1"/>
  <c r="Q461" i="1"/>
  <c r="D455" i="1"/>
  <c r="L450" i="1"/>
  <c r="P446" i="1"/>
  <c r="S442" i="1"/>
  <c r="V438" i="1"/>
  <c r="Z434" i="1"/>
  <c r="B431" i="1"/>
  <c r="D427" i="1"/>
  <c r="I423" i="1"/>
  <c r="E420" i="1"/>
  <c r="F418" i="1"/>
  <c r="I416" i="1"/>
  <c r="K414" i="1"/>
  <c r="L412" i="1"/>
  <c r="M410" i="1"/>
  <c r="W408" i="1"/>
  <c r="K407" i="1"/>
  <c r="Z405" i="1"/>
  <c r="M404" i="1"/>
  <c r="B403" i="1"/>
  <c r="Q401" i="1"/>
  <c r="D400" i="1"/>
  <c r="S398" i="1"/>
  <c r="F397" i="1"/>
  <c r="V395" i="1"/>
  <c r="J394" i="1"/>
  <c r="Y392" i="1"/>
  <c r="L391" i="1"/>
  <c r="AA389" i="1"/>
  <c r="O388" i="1"/>
  <c r="B387" i="1"/>
  <c r="Q385" i="1"/>
  <c r="D384" i="1"/>
  <c r="S382" i="1"/>
  <c r="F381" i="1"/>
  <c r="V379" i="1"/>
  <c r="J378" i="1"/>
  <c r="Y376" i="1"/>
  <c r="L375" i="1"/>
  <c r="AA373" i="1"/>
  <c r="P372" i="1"/>
  <c r="D371" i="1"/>
  <c r="E370" i="1"/>
  <c r="F369" i="1"/>
  <c r="F368" i="1"/>
  <c r="J367" i="1"/>
  <c r="L366" i="1"/>
  <c r="M365" i="1"/>
  <c r="P364" i="1"/>
  <c r="S363" i="1"/>
  <c r="U362" i="1"/>
  <c r="Z361" i="1"/>
  <c r="D361" i="1"/>
  <c r="G360" i="1"/>
  <c r="L359" i="1"/>
  <c r="P358" i="1"/>
  <c r="R357" i="1"/>
  <c r="W356" i="1"/>
  <c r="AA355" i="1"/>
  <c r="B355" i="1"/>
  <c r="E354" i="1"/>
  <c r="H353" i="1"/>
  <c r="J352" i="1"/>
  <c r="M351" i="1"/>
  <c r="Q350" i="1"/>
  <c r="I454" i="1"/>
  <c r="O443" i="1"/>
  <c r="T436" i="1"/>
  <c r="S429" i="1"/>
  <c r="Q424" i="1"/>
  <c r="M456" i="1"/>
  <c r="F450" i="1"/>
  <c r="Z444" i="1"/>
  <c r="W439" i="1"/>
  <c r="Z436" i="1"/>
  <c r="F434" i="1"/>
  <c r="W431" i="1"/>
  <c r="D429" i="1"/>
  <c r="O426" i="1"/>
  <c r="B424" i="1"/>
  <c r="L421" i="1"/>
  <c r="L419" i="1"/>
  <c r="Q417" i="1"/>
  <c r="Q415" i="1"/>
  <c r="Q413" i="1"/>
  <c r="V411" i="1"/>
  <c r="V409" i="1"/>
  <c r="F458" i="1"/>
  <c r="D451" i="1"/>
  <c r="W445" i="1"/>
  <c r="AA440" i="1"/>
  <c r="R435" i="1"/>
  <c r="J430" i="1"/>
  <c r="M425" i="1"/>
  <c r="P420" i="1"/>
  <c r="Y417" i="1"/>
  <c r="M415" i="1"/>
  <c r="V412" i="1"/>
  <c r="V434" i="1"/>
  <c r="Q438" i="1"/>
  <c r="E428" i="1"/>
  <c r="S418" i="1"/>
  <c r="B411" i="1"/>
  <c r="F449" i="1"/>
  <c r="K428" i="1"/>
  <c r="M414" i="1"/>
  <c r="E408" i="1"/>
  <c r="E404" i="1"/>
  <c r="L400" i="1"/>
  <c r="Q396" i="1"/>
  <c r="Q392" i="1"/>
  <c r="V388" i="1"/>
  <c r="J385" i="1"/>
  <c r="AA382" i="1"/>
  <c r="F380" i="1"/>
  <c r="S377" i="1"/>
  <c r="D375" i="1"/>
  <c r="R372" i="1"/>
  <c r="Z369" i="1"/>
  <c r="R367" i="1"/>
  <c r="R364" i="1"/>
  <c r="I363" i="1"/>
  <c r="U360" i="1"/>
  <c r="O359" i="1"/>
  <c r="F358" i="1"/>
  <c r="Y356" i="1"/>
  <c r="P355" i="1"/>
  <c r="G354" i="1"/>
  <c r="Z352" i="1"/>
  <c r="P351" i="1"/>
  <c r="G350" i="1"/>
  <c r="Z348" i="1"/>
  <c r="P347" i="1"/>
  <c r="G346" i="1"/>
  <c r="AA460" i="1"/>
  <c r="S454" i="1"/>
  <c r="D450" i="1"/>
  <c r="F446" i="1"/>
  <c r="K442" i="1"/>
  <c r="O438" i="1"/>
  <c r="Q434" i="1"/>
  <c r="T430" i="1"/>
  <c r="Y426" i="1"/>
  <c r="AA422" i="1"/>
  <c r="B418" i="1"/>
  <c r="C416" i="1"/>
  <c r="E414" i="1"/>
  <c r="F412" i="1"/>
  <c r="I410" i="1"/>
  <c r="S408" i="1"/>
  <c r="F407" i="1"/>
  <c r="V405" i="1"/>
  <c r="J404" i="1"/>
  <c r="Z402" i="1"/>
  <c r="M401" i="1"/>
  <c r="P398" i="1"/>
  <c r="C397" i="1"/>
  <c r="R395" i="1"/>
  <c r="E394" i="1"/>
  <c r="T392" i="1"/>
  <c r="I391" i="1"/>
  <c r="W389" i="1"/>
  <c r="K388" i="1"/>
  <c r="Z386" i="1"/>
  <c r="M385" i="1"/>
  <c r="P382" i="1"/>
  <c r="C381" i="1"/>
  <c r="R379" i="1"/>
  <c r="E378" i="1"/>
  <c r="T376" i="1"/>
  <c r="I375" i="1"/>
  <c r="W373" i="1"/>
  <c r="L372" i="1"/>
  <c r="S459" i="1"/>
  <c r="M449" i="1"/>
  <c r="S441" i="1"/>
  <c r="AA433" i="1"/>
  <c r="E426" i="1"/>
  <c r="S419" i="1"/>
  <c r="W415" i="1"/>
  <c r="Z411" i="1"/>
  <c r="M408" i="1"/>
  <c r="P405" i="1"/>
  <c r="S402" i="1"/>
  <c r="V399" i="1"/>
  <c r="Y396" i="1"/>
  <c r="AA393" i="1"/>
  <c r="B391" i="1"/>
  <c r="D388" i="1"/>
  <c r="F385" i="1"/>
  <c r="J382" i="1"/>
  <c r="L379" i="1"/>
  <c r="O376" i="1"/>
  <c r="Q373" i="1"/>
  <c r="Z370" i="1"/>
  <c r="AA368" i="1"/>
  <c r="C367" i="1"/>
  <c r="F365" i="1"/>
  <c r="L363" i="1"/>
  <c r="U361" i="1"/>
  <c r="B360" i="1"/>
  <c r="I358" i="1"/>
  <c r="Q356" i="1"/>
  <c r="W354" i="1"/>
  <c r="B353" i="1"/>
  <c r="H351" i="1"/>
  <c r="S349" i="1"/>
  <c r="Q348" i="1"/>
  <c r="M347" i="1"/>
  <c r="E346" i="1"/>
  <c r="C345" i="1"/>
  <c r="H344" i="1"/>
  <c r="Q457" i="1"/>
  <c r="M452" i="1"/>
  <c r="L448" i="1"/>
  <c r="P444" i="1"/>
  <c r="S440" i="1"/>
  <c r="V436" i="1"/>
  <c r="Z432" i="1"/>
  <c r="B429" i="1"/>
  <c r="D425" i="1"/>
  <c r="J421" i="1"/>
  <c r="D419" i="1"/>
  <c r="E417" i="1"/>
  <c r="I415" i="1"/>
  <c r="J413" i="1"/>
  <c r="K411" i="1"/>
  <c r="O409" i="1"/>
  <c r="B408" i="1"/>
  <c r="Q406" i="1"/>
  <c r="D405" i="1"/>
  <c r="S403" i="1"/>
  <c r="I402" i="1"/>
  <c r="W400" i="1"/>
  <c r="K399" i="1"/>
  <c r="Z397" i="1"/>
  <c r="M396" i="1"/>
  <c r="P393" i="1"/>
  <c r="C392" i="1"/>
  <c r="R390" i="1"/>
  <c r="E389" i="1"/>
  <c r="T387" i="1"/>
  <c r="I386" i="1"/>
  <c r="W384" i="1"/>
  <c r="K383" i="1"/>
  <c r="Z381" i="1"/>
  <c r="M380" i="1"/>
  <c r="P377" i="1"/>
  <c r="C376" i="1"/>
  <c r="R374" i="1"/>
  <c r="E373" i="1"/>
  <c r="V371" i="1"/>
  <c r="Q370" i="1"/>
  <c r="R369" i="1"/>
  <c r="S368" i="1"/>
  <c r="U367" i="1"/>
  <c r="V366" i="1"/>
  <c r="Y365" i="1"/>
  <c r="Z364" i="1"/>
  <c r="B364" i="1"/>
  <c r="E363" i="1"/>
  <c r="H362" i="1"/>
  <c r="M361" i="1"/>
  <c r="R360" i="1"/>
  <c r="V359" i="1"/>
  <c r="AA358" i="1"/>
  <c r="C358" i="1"/>
  <c r="E357" i="1"/>
  <c r="I356" i="1"/>
  <c r="L355" i="1"/>
  <c r="O354" i="1"/>
  <c r="R353" i="1"/>
  <c r="V352" i="1"/>
  <c r="Y351" i="1"/>
  <c r="D350" i="1"/>
  <c r="F349" i="1"/>
  <c r="I348" i="1"/>
  <c r="L347" i="1"/>
  <c r="O346" i="1"/>
  <c r="R345" i="1"/>
  <c r="Y344" i="1"/>
  <c r="G344" i="1"/>
  <c r="P343" i="1"/>
  <c r="Z342" i="1"/>
  <c r="G342" i="1"/>
  <c r="P341" i="1"/>
  <c r="Z340" i="1"/>
  <c r="G340" i="1"/>
  <c r="P339" i="1"/>
  <c r="Z338" i="1"/>
  <c r="H338" i="1"/>
  <c r="Q337" i="1"/>
  <c r="AA336" i="1"/>
  <c r="H336" i="1"/>
  <c r="R335" i="1"/>
  <c r="I334" i="1"/>
  <c r="R333" i="1"/>
  <c r="I332" i="1"/>
  <c r="R331" i="1"/>
  <c r="I330" i="1"/>
  <c r="R329" i="1"/>
  <c r="I328" i="1"/>
  <c r="R327" i="1"/>
  <c r="J326" i="1"/>
  <c r="S325" i="1"/>
  <c r="B325" i="1"/>
  <c r="J324" i="1"/>
  <c r="S323" i="1"/>
  <c r="B323" i="1"/>
  <c r="J322" i="1"/>
  <c r="S321" i="1"/>
  <c r="B321" i="1"/>
  <c r="J320" i="1"/>
  <c r="U319" i="1"/>
  <c r="B319" i="1"/>
  <c r="K318" i="1"/>
  <c r="S317" i="1"/>
  <c r="AA316" i="1"/>
  <c r="I316" i="1"/>
  <c r="P315" i="1"/>
  <c r="Y314" i="1"/>
  <c r="E314" i="1"/>
  <c r="N313" i="1"/>
  <c r="V312" i="1"/>
  <c r="C312" i="1"/>
  <c r="L311" i="1"/>
  <c r="T310" i="1"/>
  <c r="J309" i="1"/>
  <c r="S462" i="1"/>
  <c r="Z450" i="1"/>
  <c r="D443" i="1"/>
  <c r="L435" i="1"/>
  <c r="R427" i="1"/>
  <c r="L420" i="1"/>
  <c r="P416" i="1"/>
  <c r="R412" i="1"/>
  <c r="C406" i="1"/>
  <c r="F403" i="1"/>
  <c r="J400" i="1"/>
  <c r="L397" i="1"/>
  <c r="O394" i="1"/>
  <c r="Q391" i="1"/>
  <c r="S388" i="1"/>
  <c r="V385" i="1"/>
  <c r="Y382" i="1"/>
  <c r="AA379" i="1"/>
  <c r="B377" i="1"/>
  <c r="D374" i="1"/>
  <c r="I371" i="1"/>
  <c r="J369" i="1"/>
  <c r="M367" i="1"/>
  <c r="Q365" i="1"/>
  <c r="U363" i="1"/>
  <c r="B362" i="1"/>
  <c r="J360" i="1"/>
  <c r="R358" i="1"/>
  <c r="Z356" i="1"/>
  <c r="E355" i="1"/>
  <c r="J353" i="1"/>
  <c r="Q351" i="1"/>
  <c r="W349" i="1"/>
  <c r="B348" i="1"/>
  <c r="H346" i="1"/>
  <c r="S344" i="1"/>
  <c r="M343" i="1"/>
  <c r="Q342" i="1"/>
  <c r="S341" i="1"/>
  <c r="W340" i="1"/>
  <c r="AA339" i="1"/>
  <c r="B339" i="1"/>
  <c r="F338" i="1"/>
  <c r="I337" i="1"/>
  <c r="K336" i="1"/>
  <c r="P335" i="1"/>
  <c r="S334" i="1"/>
  <c r="V333" i="1"/>
  <c r="Z332" i="1"/>
  <c r="B332" i="1"/>
  <c r="D331" i="1"/>
  <c r="G330" i="1"/>
  <c r="J329" i="1"/>
  <c r="L328" i="1"/>
  <c r="P327" i="1"/>
  <c r="T326" i="1"/>
  <c r="W325" i="1"/>
  <c r="AA324" i="1"/>
  <c r="C324" i="1"/>
  <c r="E323" i="1"/>
  <c r="H322" i="1"/>
  <c r="K321" i="1"/>
  <c r="M320" i="1"/>
  <c r="S319" i="1"/>
  <c r="U318" i="1"/>
  <c r="V317" i="1"/>
  <c r="Y316" i="1"/>
  <c r="AA315" i="1"/>
  <c r="C314" i="1"/>
  <c r="E313" i="1"/>
  <c r="F312" i="1"/>
  <c r="J311" i="1"/>
  <c r="L310" i="1"/>
  <c r="M309" i="1"/>
  <c r="P308" i="1"/>
  <c r="Y307" i="1"/>
  <c r="F307" i="1"/>
  <c r="P306" i="1"/>
  <c r="Y305" i="1"/>
  <c r="F305" i="1"/>
  <c r="P304" i="1"/>
  <c r="Z303" i="1"/>
  <c r="I303" i="1"/>
  <c r="Q302" i="1"/>
  <c r="Z301" i="1"/>
  <c r="J301" i="1"/>
  <c r="S300" i="1"/>
  <c r="L299" i="1"/>
  <c r="T298" i="1"/>
  <c r="B298" i="1"/>
  <c r="L297" i="1"/>
  <c r="T296" i="1"/>
  <c r="B296" i="1"/>
  <c r="L295" i="1"/>
  <c r="U294" i="1"/>
  <c r="C294" i="1"/>
  <c r="M293" i="1"/>
  <c r="V292" i="1"/>
  <c r="D292" i="1"/>
  <c r="O291" i="1"/>
  <c r="W290" i="1"/>
  <c r="E290" i="1"/>
  <c r="P289" i="1"/>
  <c r="Y288" i="1"/>
  <c r="C288" i="1"/>
  <c r="M287" i="1"/>
  <c r="V286" i="1"/>
  <c r="C286" i="1"/>
  <c r="M285" i="1"/>
  <c r="V284" i="1"/>
  <c r="D284" i="1"/>
  <c r="N283" i="1"/>
  <c r="V282" i="1"/>
  <c r="D282" i="1"/>
  <c r="O281" i="1"/>
  <c r="W280" i="1"/>
  <c r="E280" i="1"/>
  <c r="M279" i="1"/>
  <c r="V278" i="1"/>
  <c r="C278" i="1"/>
  <c r="N277" i="1"/>
  <c r="V276" i="1"/>
  <c r="D276" i="1"/>
  <c r="O275" i="1"/>
  <c r="W274" i="1"/>
  <c r="E274" i="1"/>
  <c r="O273" i="1"/>
  <c r="V272" i="1"/>
  <c r="B272" i="1"/>
  <c r="L271" i="1"/>
  <c r="U270" i="1"/>
  <c r="C270" i="1"/>
  <c r="N269" i="1"/>
  <c r="W268" i="1"/>
  <c r="E268" i="1"/>
  <c r="O267" i="1"/>
  <c r="W266" i="1"/>
  <c r="E266" i="1"/>
  <c r="P265" i="1"/>
  <c r="Y264" i="1"/>
  <c r="F264" i="1"/>
  <c r="Q263" i="1"/>
  <c r="Z262" i="1"/>
  <c r="I262" i="1"/>
  <c r="R261" i="1"/>
  <c r="AA260" i="1"/>
  <c r="J260" i="1"/>
  <c r="R259" i="1"/>
  <c r="AA258" i="1"/>
  <c r="K258" i="1"/>
  <c r="B453" i="1"/>
  <c r="B445" i="1"/>
  <c r="I437" i="1"/>
  <c r="O429" i="1"/>
  <c r="V421" i="1"/>
  <c r="M417" i="1"/>
  <c r="P413" i="1"/>
  <c r="S409" i="1"/>
  <c r="V406" i="1"/>
  <c r="Y403" i="1"/>
  <c r="C398" i="1"/>
  <c r="E395" i="1"/>
  <c r="I392" i="1"/>
  <c r="K389" i="1"/>
  <c r="M386" i="1"/>
  <c r="P383" i="1"/>
  <c r="R380" i="1"/>
  <c r="T377" i="1"/>
  <c r="W374" i="1"/>
  <c r="AA371" i="1"/>
  <c r="V369" i="1"/>
  <c r="Y367" i="1"/>
  <c r="AA365" i="1"/>
  <c r="E364" i="1"/>
  <c r="K362" i="1"/>
  <c r="T360" i="1"/>
  <c r="C359" i="1"/>
  <c r="H357" i="1"/>
  <c r="O355" i="1"/>
  <c r="V353" i="1"/>
  <c r="F350" i="1"/>
  <c r="L348" i="1"/>
  <c r="R346" i="1"/>
  <c r="AA344" i="1"/>
  <c r="R343" i="1"/>
  <c r="V342" i="1"/>
  <c r="Y341" i="1"/>
  <c r="D340" i="1"/>
  <c r="F339" i="1"/>
  <c r="J338" i="1"/>
  <c r="M337" i="1"/>
  <c r="P336" i="1"/>
  <c r="T335" i="1"/>
  <c r="Y334" i="1"/>
  <c r="AA333" i="1"/>
  <c r="C333" i="1"/>
  <c r="F332" i="1"/>
  <c r="H331" i="1"/>
  <c r="K330" i="1"/>
  <c r="O329" i="1"/>
  <c r="Q328" i="1"/>
  <c r="T327" i="1"/>
  <c r="Y326" i="1"/>
  <c r="D325" i="1"/>
  <c r="G324" i="1"/>
  <c r="I323" i="1"/>
  <c r="L322" i="1"/>
  <c r="P321" i="1"/>
  <c r="R320" i="1"/>
  <c r="W319" i="1"/>
  <c r="Z318" i="1"/>
  <c r="AA317" i="1"/>
  <c r="B317" i="1"/>
  <c r="D316" i="1"/>
  <c r="E315" i="1"/>
  <c r="I314" i="1"/>
  <c r="K313" i="1"/>
  <c r="L312" i="1"/>
  <c r="N311" i="1"/>
  <c r="P310" i="1"/>
  <c r="R309" i="1"/>
  <c r="T308" i="1"/>
  <c r="K307" i="1"/>
  <c r="S306" i="1"/>
  <c r="K305" i="1"/>
  <c r="S304" i="1"/>
  <c r="B304" i="1"/>
  <c r="L303" i="1"/>
  <c r="T302" i="1"/>
  <c r="B302" i="1"/>
  <c r="O428" i="1"/>
  <c r="Y454" i="1"/>
  <c r="AA435" i="1"/>
  <c r="O425" i="1"/>
  <c r="Y416" i="1"/>
  <c r="Y443" i="1"/>
  <c r="O423" i="1"/>
  <c r="W411" i="1"/>
  <c r="M407" i="1"/>
  <c r="M403" i="1"/>
  <c r="S399" i="1"/>
  <c r="Y395" i="1"/>
  <c r="Y391" i="1"/>
  <c r="B388" i="1"/>
  <c r="D385" i="1"/>
  <c r="L382" i="1"/>
  <c r="B380" i="1"/>
  <c r="J377" i="1"/>
  <c r="V374" i="1"/>
  <c r="I372" i="1"/>
  <c r="T369" i="1"/>
  <c r="F367" i="1"/>
  <c r="W365" i="1"/>
  <c r="M364" i="1"/>
  <c r="D363" i="1"/>
  <c r="X361" i="1"/>
  <c r="Q360" i="1"/>
  <c r="J359" i="1"/>
  <c r="B358" i="1"/>
  <c r="T356" i="1"/>
  <c r="K355" i="1"/>
  <c r="C354" i="1"/>
  <c r="T352" i="1"/>
  <c r="K351" i="1"/>
  <c r="C350" i="1"/>
  <c r="T348" i="1"/>
  <c r="K347" i="1"/>
  <c r="C346" i="1"/>
  <c r="B460" i="1"/>
  <c r="B454" i="1"/>
  <c r="R449" i="1"/>
  <c r="V445" i="1"/>
  <c r="Y441" i="1"/>
  <c r="D434" i="1"/>
  <c r="F430" i="1"/>
  <c r="K426" i="1"/>
  <c r="O422" i="1"/>
  <c r="T419" i="1"/>
  <c r="W417" i="1"/>
  <c r="Y415" i="1"/>
  <c r="Z413" i="1"/>
  <c r="B410" i="1"/>
  <c r="O408" i="1"/>
  <c r="B407" i="1"/>
  <c r="Q405" i="1"/>
  <c r="D404" i="1"/>
  <c r="T402" i="1"/>
  <c r="I401" i="1"/>
  <c r="W399" i="1"/>
  <c r="K398" i="1"/>
  <c r="Z396" i="1"/>
  <c r="M395" i="1"/>
  <c r="P392" i="1"/>
  <c r="C391" i="1"/>
  <c r="R389" i="1"/>
  <c r="E388" i="1"/>
  <c r="T386" i="1"/>
  <c r="I385" i="1"/>
  <c r="W383" i="1"/>
  <c r="K382" i="1"/>
  <c r="Z380" i="1"/>
  <c r="M379" i="1"/>
  <c r="P376" i="1"/>
  <c r="C375" i="1"/>
  <c r="R373" i="1"/>
  <c r="F372" i="1"/>
  <c r="S457" i="1"/>
  <c r="O448" i="1"/>
  <c r="T440" i="1"/>
  <c r="AA432" i="1"/>
  <c r="F425" i="1"/>
  <c r="E419" i="1"/>
  <c r="J415" i="1"/>
  <c r="M411" i="1"/>
  <c r="C408" i="1"/>
  <c r="E405" i="1"/>
  <c r="J402" i="1"/>
  <c r="L399" i="1"/>
  <c r="O396" i="1"/>
  <c r="Q393" i="1"/>
  <c r="S390" i="1"/>
  <c r="V387" i="1"/>
  <c r="Y384" i="1"/>
  <c r="AA381" i="1"/>
  <c r="B379" i="1"/>
  <c r="D376" i="1"/>
  <c r="F373" i="1"/>
  <c r="S370" i="1"/>
  <c r="T368" i="1"/>
  <c r="W366" i="1"/>
  <c r="F363" i="1"/>
  <c r="O361" i="1"/>
  <c r="X359" i="1"/>
  <c r="D358" i="1"/>
  <c r="J356" i="1"/>
  <c r="Q354" i="1"/>
  <c r="W352" i="1"/>
  <c r="B351" i="1"/>
  <c r="M349" i="1"/>
  <c r="J348" i="1"/>
  <c r="B347" i="1"/>
  <c r="AA345" i="1"/>
  <c r="Z344" i="1"/>
  <c r="AA343" i="1"/>
  <c r="J456" i="1"/>
  <c r="J451" i="1"/>
  <c r="M447" i="1"/>
  <c r="Q443" i="1"/>
  <c r="S439" i="1"/>
  <c r="W435" i="1"/>
  <c r="AA431" i="1"/>
  <c r="B428" i="1"/>
  <c r="E424" i="1"/>
  <c r="Q420" i="1"/>
  <c r="R418" i="1"/>
  <c r="T416" i="1"/>
  <c r="V414" i="1"/>
  <c r="W412" i="1"/>
  <c r="Z410" i="1"/>
  <c r="D409" i="1"/>
  <c r="S407" i="1"/>
  <c r="F406" i="1"/>
  <c r="V404" i="1"/>
  <c r="J403" i="1"/>
  <c r="Z401" i="1"/>
  <c r="M400" i="1"/>
  <c r="P397" i="1"/>
  <c r="C396" i="1"/>
  <c r="R394" i="1"/>
  <c r="E393" i="1"/>
  <c r="T391" i="1"/>
  <c r="I390" i="1"/>
  <c r="W388" i="1"/>
  <c r="K387" i="1"/>
  <c r="Z385" i="1"/>
  <c r="M384" i="1"/>
  <c r="P381" i="1"/>
  <c r="C380" i="1"/>
  <c r="R378" i="1"/>
  <c r="E377" i="1"/>
  <c r="T375" i="1"/>
  <c r="I374" i="1"/>
  <c r="X372" i="1"/>
  <c r="L371" i="1"/>
  <c r="K370" i="1"/>
  <c r="L369" i="1"/>
  <c r="L368" i="1"/>
  <c r="P367" i="1"/>
  <c r="Q366" i="1"/>
  <c r="R365" i="1"/>
  <c r="T364" i="1"/>
  <c r="W363" i="1"/>
  <c r="Z362" i="1"/>
  <c r="C362" i="1"/>
  <c r="H361" i="1"/>
  <c r="K360" i="1"/>
  <c r="Q359" i="1"/>
  <c r="T358" i="1"/>
  <c r="W357" i="1"/>
  <c r="AA356" i="1"/>
  <c r="D356" i="1"/>
  <c r="F355" i="1"/>
  <c r="I354" i="1"/>
  <c r="L353" i="1"/>
  <c r="O352" i="1"/>
  <c r="R351" i="1"/>
  <c r="V350" i="1"/>
  <c r="Y349" i="1"/>
  <c r="D348" i="1"/>
  <c r="F347" i="1"/>
  <c r="I346" i="1"/>
  <c r="L345" i="1"/>
  <c r="T344" i="1"/>
  <c r="C344" i="1"/>
  <c r="K343" i="1"/>
  <c r="T342" i="1"/>
  <c r="C342" i="1"/>
  <c r="K341" i="1"/>
  <c r="T340" i="1"/>
  <c r="C340" i="1"/>
  <c r="K339" i="1"/>
  <c r="V338" i="1"/>
  <c r="D338" i="1"/>
  <c r="L337" i="1"/>
  <c r="V336" i="1"/>
  <c r="D336" i="1"/>
  <c r="M335" i="1"/>
  <c r="W334" i="1"/>
  <c r="E334" i="1"/>
  <c r="M333" i="1"/>
  <c r="W332" i="1"/>
  <c r="E332" i="1"/>
  <c r="M331" i="1"/>
  <c r="W330" i="1"/>
  <c r="E330" i="1"/>
  <c r="M329" i="1"/>
  <c r="W328" i="1"/>
  <c r="E328" i="1"/>
  <c r="M327" i="1"/>
  <c r="X326" i="1"/>
  <c r="F326" i="1"/>
  <c r="O325" i="1"/>
  <c r="Y324" i="1"/>
  <c r="F324" i="1"/>
  <c r="O323" i="1"/>
  <c r="Y322" i="1"/>
  <c r="F322" i="1"/>
  <c r="O321" i="1"/>
  <c r="Y320" i="1"/>
  <c r="F320" i="1"/>
  <c r="P319" i="1"/>
  <c r="Y318" i="1"/>
  <c r="E318" i="1"/>
  <c r="N317" i="1"/>
  <c r="V316" i="1"/>
  <c r="C316" i="1"/>
  <c r="L315" i="1"/>
  <c r="T314" i="1"/>
  <c r="J313" i="1"/>
  <c r="R312" i="1"/>
  <c r="Z311" i="1"/>
  <c r="F311" i="1"/>
  <c r="O310" i="1"/>
  <c r="W309" i="1"/>
  <c r="D309" i="1"/>
  <c r="R458" i="1"/>
  <c r="AA448" i="1"/>
  <c r="F441" i="1"/>
  <c r="M433" i="1"/>
  <c r="S425" i="1"/>
  <c r="M419" i="1"/>
  <c r="P415" i="1"/>
  <c r="S411" i="1"/>
  <c r="I408" i="1"/>
  <c r="K405" i="1"/>
  <c r="O402" i="1"/>
  <c r="Q399" i="1"/>
  <c r="S396" i="1"/>
  <c r="V393" i="1"/>
  <c r="Y390" i="1"/>
  <c r="AA387" i="1"/>
  <c r="B385" i="1"/>
  <c r="D382" i="1"/>
  <c r="F379" i="1"/>
  <c r="J376" i="1"/>
  <c r="L373" i="1"/>
  <c r="V370" i="1"/>
  <c r="Y368" i="1"/>
  <c r="AA366" i="1"/>
  <c r="C365" i="1"/>
  <c r="J363" i="1"/>
  <c r="R361" i="1"/>
  <c r="Z359" i="1"/>
  <c r="G358" i="1"/>
  <c r="M356" i="1"/>
  <c r="S354" i="1"/>
  <c r="AA352" i="1"/>
  <c r="E351" i="1"/>
  <c r="J349" i="1"/>
  <c r="Q347" i="1"/>
  <c r="W345" i="1"/>
  <c r="J344" i="1"/>
  <c r="H343" i="1"/>
  <c r="J342" i="1"/>
  <c r="M341" i="1"/>
  <c r="Q340" i="1"/>
  <c r="S339" i="1"/>
  <c r="X338" i="1"/>
  <c r="C337" i="1"/>
  <c r="F336" i="1"/>
  <c r="J335" i="1"/>
  <c r="L334" i="1"/>
  <c r="P333" i="1"/>
  <c r="S332" i="1"/>
  <c r="V331" i="1"/>
  <c r="Z330" i="1"/>
  <c r="B330" i="1"/>
  <c r="D329" i="1"/>
  <c r="G328" i="1"/>
  <c r="J327" i="1"/>
  <c r="M326" i="1"/>
  <c r="Q325" i="1"/>
  <c r="T324" i="1"/>
  <c r="W323" i="1"/>
  <c r="AA322" i="1"/>
  <c r="C322" i="1"/>
  <c r="E321" i="1"/>
  <c r="H320" i="1"/>
  <c r="M319" i="1"/>
  <c r="N318" i="1"/>
  <c r="P317" i="1"/>
  <c r="S316" i="1"/>
  <c r="T315" i="1"/>
  <c r="V314" i="1"/>
  <c r="Y313" i="1"/>
  <c r="Z312" i="1"/>
  <c r="C311" i="1"/>
  <c r="D310" i="1"/>
  <c r="F309" i="1"/>
  <c r="L308" i="1"/>
  <c r="T307" i="1"/>
  <c r="B307" i="1"/>
  <c r="L306" i="1"/>
  <c r="T305" i="1"/>
  <c r="B305" i="1"/>
  <c r="L304" i="1"/>
  <c r="U303" i="1"/>
  <c r="C303" i="1"/>
  <c r="M302" i="1"/>
  <c r="V301" i="1"/>
  <c r="D301" i="1"/>
  <c r="O300" i="1"/>
  <c r="X299" i="1"/>
  <c r="F299" i="1"/>
  <c r="P298" i="1"/>
  <c r="Y297" i="1"/>
  <c r="F297" i="1"/>
  <c r="P296" i="1"/>
  <c r="Y295" i="1"/>
  <c r="F295" i="1"/>
  <c r="Q294" i="1"/>
  <c r="Z293" i="1"/>
  <c r="I293" i="1"/>
  <c r="R292" i="1"/>
  <c r="AA291" i="1"/>
  <c r="K291" i="1"/>
  <c r="S290" i="1"/>
  <c r="L289" i="1"/>
  <c r="Q288" i="1"/>
  <c r="Z287" i="1"/>
  <c r="I287" i="1"/>
  <c r="R286" i="1"/>
  <c r="Z285" i="1"/>
  <c r="I285" i="1"/>
  <c r="R284" i="1"/>
  <c r="AA283" i="1"/>
  <c r="J283" i="1"/>
  <c r="R282" i="1"/>
  <c r="AA281" i="1"/>
  <c r="K281" i="1"/>
  <c r="S280" i="1"/>
  <c r="I279" i="1"/>
  <c r="R278" i="1"/>
  <c r="Z277" i="1"/>
  <c r="J277" i="1"/>
  <c r="R276" i="1"/>
  <c r="AA275" i="1"/>
  <c r="K275" i="1"/>
  <c r="S274" i="1"/>
  <c r="K273" i="1"/>
  <c r="R272" i="1"/>
  <c r="Y271" i="1"/>
  <c r="G271" i="1"/>
  <c r="Q270" i="1"/>
  <c r="Z269" i="1"/>
  <c r="J269" i="1"/>
  <c r="S268" i="1"/>
  <c r="K267" i="1"/>
  <c r="S266" i="1"/>
  <c r="L265" i="1"/>
  <c r="T264" i="1"/>
  <c r="B264" i="1"/>
  <c r="M263" i="1"/>
  <c r="U262" i="1"/>
  <c r="D262" i="1"/>
  <c r="N261" i="1"/>
  <c r="V260" i="1"/>
  <c r="D260" i="1"/>
  <c r="N259" i="1"/>
  <c r="W258" i="1"/>
  <c r="M462" i="1"/>
  <c r="Y450" i="1"/>
  <c r="C443" i="1"/>
  <c r="J435" i="1"/>
  <c r="Q427" i="1"/>
  <c r="K420" i="1"/>
  <c r="M416" i="1"/>
  <c r="Q412" i="1"/>
  <c r="AA408" i="1"/>
  <c r="B406" i="1"/>
  <c r="E403" i="1"/>
  <c r="I400" i="1"/>
  <c r="K397" i="1"/>
  <c r="M394" i="1"/>
  <c r="P391" i="1"/>
  <c r="R388" i="1"/>
  <c r="T385" i="1"/>
  <c r="W382" i="1"/>
  <c r="Z379" i="1"/>
  <c r="C374" i="1"/>
  <c r="F371" i="1"/>
  <c r="I369" i="1"/>
  <c r="K367" i="1"/>
  <c r="P365" i="1"/>
  <c r="T363" i="1"/>
  <c r="AA361" i="1"/>
  <c r="I360" i="1"/>
  <c r="Q358" i="1"/>
  <c r="X356" i="1"/>
  <c r="D355" i="1"/>
  <c r="I353" i="1"/>
  <c r="O351" i="1"/>
  <c r="V349" i="1"/>
  <c r="F346" i="1"/>
  <c r="R344" i="1"/>
  <c r="L343" i="1"/>
  <c r="O342" i="1"/>
  <c r="R341" i="1"/>
  <c r="V340" i="1"/>
  <c r="Y339" i="1"/>
  <c r="E338" i="1"/>
  <c r="G337" i="1"/>
  <c r="J336" i="1"/>
  <c r="O335" i="1"/>
  <c r="Q334" i="1"/>
  <c r="T333" i="1"/>
  <c r="Y332" i="1"/>
  <c r="AA331" i="1"/>
  <c r="C331" i="1"/>
  <c r="F330" i="1"/>
  <c r="H329" i="1"/>
  <c r="K328" i="1"/>
  <c r="O327" i="1"/>
  <c r="R326" i="1"/>
  <c r="V325" i="1"/>
  <c r="Z324" i="1"/>
  <c r="D323" i="1"/>
  <c r="G322" i="1"/>
  <c r="I321" i="1"/>
  <c r="L320" i="1"/>
  <c r="R319" i="1"/>
  <c r="S318" i="1"/>
  <c r="U317" i="1"/>
  <c r="W316" i="1"/>
  <c r="Y315" i="1"/>
  <c r="AA314" i="1"/>
  <c r="B314" i="1"/>
  <c r="C313" i="1"/>
  <c r="E312" i="1"/>
  <c r="I311" i="1"/>
  <c r="J310" i="1"/>
  <c r="L309" i="1"/>
  <c r="O308" i="1"/>
  <c r="W307" i="1"/>
  <c r="E307" i="1"/>
  <c r="O306" i="1"/>
  <c r="W305" i="1"/>
  <c r="E305" i="1"/>
  <c r="O304" i="1"/>
  <c r="Y303" i="1"/>
  <c r="F303" i="1"/>
  <c r="P302" i="1"/>
  <c r="Y301" i="1"/>
  <c r="I301" i="1"/>
  <c r="R300" i="1"/>
  <c r="AA299" i="1"/>
  <c r="K299" i="1"/>
  <c r="S298" i="1"/>
  <c r="K297" i="1"/>
  <c r="S296" i="1"/>
  <c r="K295" i="1"/>
  <c r="T294" i="1"/>
  <c r="B294" i="1"/>
  <c r="L293" i="1"/>
  <c r="U292" i="1"/>
  <c r="C292" i="1"/>
  <c r="N291" i="1"/>
  <c r="V290" i="1"/>
  <c r="D290" i="1"/>
  <c r="O289" i="1"/>
  <c r="I451" i="1"/>
  <c r="V448" i="1"/>
  <c r="C423" i="1"/>
  <c r="P419" i="1"/>
  <c r="E406" i="1"/>
  <c r="L398" i="1"/>
  <c r="V390" i="1"/>
  <c r="F384" i="1"/>
  <c r="D379" i="1"/>
  <c r="S373" i="1"/>
  <c r="R368" i="1"/>
  <c r="J365" i="1"/>
  <c r="R362" i="1"/>
  <c r="D360" i="1"/>
  <c r="O357" i="1"/>
  <c r="Z354" i="1"/>
  <c r="G352" i="1"/>
  <c r="P349" i="1"/>
  <c r="Z346" i="1"/>
  <c r="J457" i="1"/>
  <c r="E448" i="1"/>
  <c r="L440" i="1"/>
  <c r="S432" i="1"/>
  <c r="Z424" i="1"/>
  <c r="D415" i="1"/>
  <c r="I411" i="1"/>
  <c r="AA407" i="1"/>
  <c r="B405" i="1"/>
  <c r="E402" i="1"/>
  <c r="I399" i="1"/>
  <c r="K396" i="1"/>
  <c r="M393" i="1"/>
  <c r="P390" i="1"/>
  <c r="R387" i="1"/>
  <c r="T384" i="1"/>
  <c r="W381" i="1"/>
  <c r="Z378" i="1"/>
  <c r="C373" i="1"/>
  <c r="Q445" i="1"/>
  <c r="B430" i="1"/>
  <c r="T417" i="1"/>
  <c r="C404" i="1"/>
  <c r="J398" i="1"/>
  <c r="O392" i="1"/>
  <c r="S386" i="1"/>
  <c r="Y380" i="1"/>
  <c r="B375" i="1"/>
  <c r="AA369" i="1"/>
  <c r="D366" i="1"/>
  <c r="P362" i="1"/>
  <c r="G359" i="1"/>
  <c r="S355" i="1"/>
  <c r="E352" i="1"/>
  <c r="H349" i="1"/>
  <c r="W346" i="1"/>
  <c r="Q344" i="1"/>
  <c r="O446" i="1"/>
  <c r="T438" i="1"/>
  <c r="AA430" i="1"/>
  <c r="F423" i="1"/>
  <c r="E418" i="1"/>
  <c r="I414" i="1"/>
  <c r="L410" i="1"/>
  <c r="J407" i="1"/>
  <c r="L404" i="1"/>
  <c r="P401" i="1"/>
  <c r="R398" i="1"/>
  <c r="T395" i="1"/>
  <c r="W392" i="1"/>
  <c r="Z389" i="1"/>
  <c r="C384" i="1"/>
  <c r="E381" i="1"/>
  <c r="I378" i="1"/>
  <c r="K375" i="1"/>
  <c r="O372" i="1"/>
  <c r="D370" i="1"/>
  <c r="E368" i="1"/>
  <c r="J366" i="1"/>
  <c r="O364" i="1"/>
  <c r="T362" i="1"/>
  <c r="B361" i="1"/>
  <c r="K359" i="1"/>
  <c r="Q357" i="1"/>
  <c r="Y355" i="1"/>
  <c r="D354" i="1"/>
  <c r="I352" i="1"/>
  <c r="O350" i="1"/>
  <c r="V348" i="1"/>
  <c r="F345" i="1"/>
  <c r="Z343" i="1"/>
  <c r="P342" i="1"/>
  <c r="G341" i="1"/>
  <c r="Z339" i="1"/>
  <c r="Q338" i="1"/>
  <c r="H337" i="1"/>
  <c r="AA335" i="1"/>
  <c r="R334" i="1"/>
  <c r="I333" i="1"/>
  <c r="R330" i="1"/>
  <c r="I329" i="1"/>
  <c r="S326" i="1"/>
  <c r="J325" i="1"/>
  <c r="B324" i="1"/>
  <c r="S322" i="1"/>
  <c r="J321" i="1"/>
  <c r="B320" i="1"/>
  <c r="T318" i="1"/>
  <c r="J317" i="1"/>
  <c r="Z315" i="1"/>
  <c r="O314" i="1"/>
  <c r="D313" i="1"/>
  <c r="U311" i="1"/>
  <c r="K310" i="1"/>
  <c r="AA308" i="1"/>
  <c r="T455" i="1"/>
  <c r="I439" i="1"/>
  <c r="V423" i="1"/>
  <c r="Q414" i="1"/>
  <c r="P407" i="1"/>
  <c r="V401" i="1"/>
  <c r="AA395" i="1"/>
  <c r="D390" i="1"/>
  <c r="J384" i="1"/>
  <c r="O378" i="1"/>
  <c r="T372" i="1"/>
  <c r="K368" i="1"/>
  <c r="S364" i="1"/>
  <c r="F361" i="1"/>
  <c r="V357" i="1"/>
  <c r="H354" i="1"/>
  <c r="S350" i="1"/>
  <c r="E347" i="1"/>
  <c r="B344" i="1"/>
  <c r="E342" i="1"/>
  <c r="J340" i="1"/>
  <c r="R338" i="1"/>
  <c r="Y336" i="1"/>
  <c r="D335" i="1"/>
  <c r="J333" i="1"/>
  <c r="P331" i="1"/>
  <c r="V329" i="1"/>
  <c r="B328" i="1"/>
  <c r="H326" i="1"/>
  <c r="M324" i="1"/>
  <c r="T322" i="1"/>
  <c r="AA320" i="1"/>
  <c r="E319" i="1"/>
  <c r="K317" i="1"/>
  <c r="N315" i="1"/>
  <c r="R313" i="1"/>
  <c r="V311" i="1"/>
  <c r="Z309" i="1"/>
  <c r="F308" i="1"/>
  <c r="Y306" i="1"/>
  <c r="P305" i="1"/>
  <c r="G304" i="1"/>
  <c r="Z302" i="1"/>
  <c r="R301" i="1"/>
  <c r="K300" i="1"/>
  <c r="B299" i="1"/>
  <c r="T297" i="1"/>
  <c r="L296" i="1"/>
  <c r="B295" i="1"/>
  <c r="U293" i="1"/>
  <c r="N292" i="1"/>
  <c r="E291" i="1"/>
  <c r="X289" i="1"/>
  <c r="M288" i="1"/>
  <c r="C287" i="1"/>
  <c r="U285" i="1"/>
  <c r="N284" i="1"/>
  <c r="D283" i="1"/>
  <c r="W281" i="1"/>
  <c r="O280" i="1"/>
  <c r="C279" i="1"/>
  <c r="V277" i="1"/>
  <c r="N276" i="1"/>
  <c r="E275" i="1"/>
  <c r="W273" i="1"/>
  <c r="L272" i="1"/>
  <c r="C271" i="1"/>
  <c r="V269" i="1"/>
  <c r="O268" i="1"/>
  <c r="E267" i="1"/>
  <c r="X265" i="1"/>
  <c r="P264" i="1"/>
  <c r="I263" i="1"/>
  <c r="AA261" i="1"/>
  <c r="R260" i="1"/>
  <c r="J259" i="1"/>
  <c r="Z448" i="1"/>
  <c r="L433" i="1"/>
  <c r="K419" i="1"/>
  <c r="R411" i="1"/>
  <c r="J405" i="1"/>
  <c r="P399" i="1"/>
  <c r="T393" i="1"/>
  <c r="Z387" i="1"/>
  <c r="C382" i="1"/>
  <c r="I376" i="1"/>
  <c r="T370" i="1"/>
  <c r="Z366" i="1"/>
  <c r="H363" i="1"/>
  <c r="Y359" i="1"/>
  <c r="L356" i="1"/>
  <c r="Y352" i="1"/>
  <c r="I349" i="1"/>
  <c r="V345" i="1"/>
  <c r="F343" i="1"/>
  <c r="L341" i="1"/>
  <c r="R339" i="1"/>
  <c r="Z337" i="1"/>
  <c r="E336" i="1"/>
  <c r="K334" i="1"/>
  <c r="Q332" i="1"/>
  <c r="Y330" i="1"/>
  <c r="C329" i="1"/>
  <c r="H327" i="1"/>
  <c r="P325" i="1"/>
  <c r="V323" i="1"/>
  <c r="G320" i="1"/>
  <c r="M318" i="1"/>
  <c r="P316" i="1"/>
  <c r="U314" i="1"/>
  <c r="Y312" i="1"/>
  <c r="E309" i="1"/>
  <c r="S307" i="1"/>
  <c r="K306" i="1"/>
  <c r="T303" i="1"/>
  <c r="L302" i="1"/>
  <c r="M301" i="1"/>
  <c r="N300" i="1"/>
  <c r="S299" i="1"/>
  <c r="W298" i="1"/>
  <c r="W297" i="1"/>
  <c r="E296" i="1"/>
  <c r="E295" i="1"/>
  <c r="L294" i="1"/>
  <c r="P293" i="1"/>
  <c r="Q292" i="1"/>
  <c r="V291" i="1"/>
  <c r="AA290" i="1"/>
  <c r="AA289" i="1"/>
  <c r="E289" i="1"/>
  <c r="L288" i="1"/>
  <c r="T287" i="1"/>
  <c r="B287" i="1"/>
  <c r="L286" i="1"/>
  <c r="T285" i="1"/>
  <c r="B285" i="1"/>
  <c r="M284" i="1"/>
  <c r="U283" i="1"/>
  <c r="C283" i="1"/>
  <c r="M282" i="1"/>
  <c r="V281" i="1"/>
  <c r="D281" i="1"/>
  <c r="N280" i="1"/>
  <c r="W279" i="1"/>
  <c r="B279" i="1"/>
  <c r="L278" i="1"/>
  <c r="U277" i="1"/>
  <c r="C277" i="1"/>
  <c r="M276" i="1"/>
  <c r="V275" i="1"/>
  <c r="D275" i="1"/>
  <c r="N274" i="1"/>
  <c r="V273" i="1"/>
  <c r="D273" i="1"/>
  <c r="K272" i="1"/>
  <c r="S271" i="1"/>
  <c r="B271" i="1"/>
  <c r="L270" i="1"/>
  <c r="U269" i="1"/>
  <c r="C269" i="1"/>
  <c r="N268" i="1"/>
  <c r="V267" i="1"/>
  <c r="D267" i="1"/>
  <c r="N266" i="1"/>
  <c r="W265" i="1"/>
  <c r="E265" i="1"/>
  <c r="O264" i="1"/>
  <c r="X263" i="1"/>
  <c r="F263" i="1"/>
  <c r="P262" i="1"/>
  <c r="Z261" i="1"/>
  <c r="I261" i="1"/>
  <c r="Q260" i="1"/>
  <c r="Z259" i="1"/>
  <c r="I259" i="1"/>
  <c r="R258" i="1"/>
  <c r="AA257" i="1"/>
  <c r="J257" i="1"/>
  <c r="R256" i="1"/>
  <c r="AA255" i="1"/>
  <c r="J255" i="1"/>
  <c r="R254" i="1"/>
  <c r="AA253" i="1"/>
  <c r="K253" i="1"/>
  <c r="S252" i="1"/>
  <c r="K251" i="1"/>
  <c r="T250" i="1"/>
  <c r="B250" i="1"/>
  <c r="M249" i="1"/>
  <c r="U248" i="1"/>
  <c r="C248" i="1"/>
  <c r="N247" i="1"/>
  <c r="V246" i="1"/>
  <c r="D246" i="1"/>
  <c r="N245" i="1"/>
  <c r="V244" i="1"/>
  <c r="D244" i="1"/>
  <c r="O243" i="1"/>
  <c r="W242" i="1"/>
  <c r="E242" i="1"/>
  <c r="O241" i="1"/>
  <c r="W240" i="1"/>
  <c r="E240" i="1"/>
  <c r="O239" i="1"/>
  <c r="X238" i="1"/>
  <c r="F238" i="1"/>
  <c r="Q237" i="1"/>
  <c r="Z236" i="1"/>
  <c r="I236" i="1"/>
  <c r="Q235" i="1"/>
  <c r="Z234" i="1"/>
  <c r="I234" i="1"/>
  <c r="Q233" i="1"/>
  <c r="Z232" i="1"/>
  <c r="I232" i="1"/>
  <c r="Q231" i="1"/>
  <c r="Z230" i="1"/>
  <c r="I230" i="1"/>
  <c r="Q229" i="1"/>
  <c r="AA228" i="1"/>
  <c r="I228" i="1"/>
  <c r="R227" i="1"/>
  <c r="Z226" i="1"/>
  <c r="H226" i="1"/>
  <c r="P225" i="1"/>
  <c r="Z224" i="1"/>
  <c r="H224" i="1"/>
  <c r="P223" i="1"/>
  <c r="Y222" i="1"/>
  <c r="E222" i="1"/>
  <c r="N221" i="1"/>
  <c r="W220" i="1"/>
  <c r="D220" i="1"/>
  <c r="M219" i="1"/>
  <c r="U218" i="1"/>
  <c r="C218" i="1"/>
  <c r="L217" i="1"/>
  <c r="U216" i="1"/>
  <c r="C216" i="1"/>
  <c r="L215" i="1"/>
  <c r="T214" i="1"/>
  <c r="B214" i="1"/>
  <c r="K213" i="1"/>
  <c r="R212" i="1"/>
  <c r="B212" i="1"/>
  <c r="L211" i="1"/>
  <c r="W210" i="1"/>
  <c r="G210" i="1"/>
  <c r="Q209" i="1"/>
  <c r="K208" i="1"/>
  <c r="U207" i="1"/>
  <c r="E207" i="1"/>
  <c r="O206" i="1"/>
  <c r="Z205" i="1"/>
  <c r="J205" i="1"/>
  <c r="U204" i="1"/>
  <c r="E204" i="1"/>
  <c r="P203" i="1"/>
  <c r="AA202" i="1"/>
  <c r="J202" i="1"/>
  <c r="T201" i="1"/>
  <c r="D201" i="1"/>
  <c r="N200" i="1"/>
  <c r="Y199" i="1"/>
  <c r="H199" i="1"/>
  <c r="R198" i="1"/>
  <c r="B198" i="1"/>
  <c r="M197" i="1"/>
  <c r="W196" i="1"/>
  <c r="G196" i="1"/>
  <c r="R195" i="1"/>
  <c r="B195" i="1"/>
  <c r="K194" i="1"/>
  <c r="V193" i="1"/>
  <c r="F193" i="1"/>
  <c r="Q192" i="1"/>
  <c r="M454" i="1"/>
  <c r="J438" i="1"/>
  <c r="V422" i="1"/>
  <c r="C414" i="1"/>
  <c r="E407" i="1"/>
  <c r="L401" i="1"/>
  <c r="Q395" i="1"/>
  <c r="V389" i="1"/>
  <c r="AA383" i="1"/>
  <c r="D378" i="1"/>
  <c r="K372" i="1"/>
  <c r="D368" i="1"/>
  <c r="L364" i="1"/>
  <c r="P357" i="1"/>
  <c r="B354" i="1"/>
  <c r="M350" i="1"/>
  <c r="AA346" i="1"/>
  <c r="Y343" i="1"/>
  <c r="B342" i="1"/>
  <c r="H340" i="1"/>
  <c r="O338" i="1"/>
  <c r="T336" i="1"/>
  <c r="B335" i="1"/>
  <c r="G333" i="1"/>
  <c r="L331" i="1"/>
  <c r="S329" i="1"/>
  <c r="Z327" i="1"/>
  <c r="E326" i="1"/>
  <c r="K324" i="1"/>
  <c r="Q322" i="1"/>
  <c r="W320" i="1"/>
  <c r="C319" i="1"/>
  <c r="F317" i="1"/>
  <c r="K315" i="1"/>
  <c r="O313" i="1"/>
  <c r="S311" i="1"/>
  <c r="V309" i="1"/>
  <c r="D308" i="1"/>
  <c r="V306" i="1"/>
  <c r="N305" i="1"/>
  <c r="E304" i="1"/>
  <c r="W302" i="1"/>
  <c r="P301" i="1"/>
  <c r="I300" i="1"/>
  <c r="AA298" i="1"/>
  <c r="R297" i="1"/>
  <c r="J296" i="1"/>
  <c r="AA294" i="1"/>
  <c r="S293" i="1"/>
  <c r="L292" i="1"/>
  <c r="C291" i="1"/>
  <c r="V289" i="1"/>
  <c r="K288" i="1"/>
  <c r="S285" i="1"/>
  <c r="L284" i="1"/>
  <c r="B283" i="1"/>
  <c r="U281" i="1"/>
  <c r="M280" i="1"/>
  <c r="T277" i="1"/>
  <c r="L276" i="1"/>
  <c r="C275" i="1"/>
  <c r="U273" i="1"/>
  <c r="J272" i="1"/>
  <c r="T269" i="1"/>
  <c r="M268" i="1"/>
  <c r="C267" i="1"/>
  <c r="V265" i="1"/>
  <c r="N264" i="1"/>
  <c r="E263" i="1"/>
  <c r="Y261" i="1"/>
  <c r="P260" i="1"/>
  <c r="F259" i="1"/>
  <c r="B258" i="1"/>
  <c r="E257" i="1"/>
  <c r="I256" i="1"/>
  <c r="L255" i="1"/>
  <c r="O254" i="1"/>
  <c r="R253" i="1"/>
  <c r="U252" i="1"/>
  <c r="Y251" i="1"/>
  <c r="AA250" i="1"/>
  <c r="D250" i="1"/>
  <c r="J249" i="1"/>
  <c r="L248" i="1"/>
  <c r="P247" i="1"/>
  <c r="S246" i="1"/>
  <c r="U245" i="1"/>
  <c r="Y244" i="1"/>
  <c r="D243" i="1"/>
  <c r="I242" i="1"/>
  <c r="L241" i="1"/>
  <c r="N240" i="1"/>
  <c r="Q239" i="1"/>
  <c r="U238" i="1"/>
  <c r="X237" i="1"/>
  <c r="W441" i="1"/>
  <c r="S443" i="1"/>
  <c r="S420" i="1"/>
  <c r="L455" i="1"/>
  <c r="Z416" i="1"/>
  <c r="M405" i="1"/>
  <c r="S397" i="1"/>
  <c r="B390" i="1"/>
  <c r="Y383" i="1"/>
  <c r="Q378" i="1"/>
  <c r="O373" i="1"/>
  <c r="M368" i="1"/>
  <c r="D365" i="1"/>
  <c r="M362" i="1"/>
  <c r="AA359" i="1"/>
  <c r="J357" i="1"/>
  <c r="T354" i="1"/>
  <c r="C352" i="1"/>
  <c r="K349" i="1"/>
  <c r="T346" i="1"/>
  <c r="R456" i="1"/>
  <c r="S447" i="1"/>
  <c r="AA439" i="1"/>
  <c r="E432" i="1"/>
  <c r="L424" i="1"/>
  <c r="V418" i="1"/>
  <c r="Z414" i="1"/>
  <c r="V407" i="1"/>
  <c r="Y404" i="1"/>
  <c r="C399" i="1"/>
  <c r="E396" i="1"/>
  <c r="I393" i="1"/>
  <c r="K390" i="1"/>
  <c r="M387" i="1"/>
  <c r="P384" i="1"/>
  <c r="R381" i="1"/>
  <c r="T378" i="1"/>
  <c r="W375" i="1"/>
  <c r="Z372" i="1"/>
  <c r="Q444" i="1"/>
  <c r="C429" i="1"/>
  <c r="I417" i="1"/>
  <c r="P409" i="1"/>
  <c r="T403" i="1"/>
  <c r="AA397" i="1"/>
  <c r="D392" i="1"/>
  <c r="J386" i="1"/>
  <c r="O380" i="1"/>
  <c r="S374" i="1"/>
  <c r="S369" i="1"/>
  <c r="Z365" i="1"/>
  <c r="J362" i="1"/>
  <c r="M355" i="1"/>
  <c r="AA351" i="1"/>
  <c r="W348" i="1"/>
  <c r="Q346" i="1"/>
  <c r="L344" i="1"/>
  <c r="T453" i="1"/>
  <c r="O445" i="1"/>
  <c r="V437" i="1"/>
  <c r="F422" i="1"/>
  <c r="S417" i="1"/>
  <c r="W413" i="1"/>
  <c r="Z409" i="1"/>
  <c r="AA406" i="1"/>
  <c r="B404" i="1"/>
  <c r="E401" i="1"/>
  <c r="I398" i="1"/>
  <c r="K395" i="1"/>
  <c r="M392" i="1"/>
  <c r="P389" i="1"/>
  <c r="R386" i="1"/>
  <c r="T383" i="1"/>
  <c r="W380" i="1"/>
  <c r="Z377" i="1"/>
  <c r="D372" i="1"/>
  <c r="Y369" i="1"/>
  <c r="C366" i="1"/>
  <c r="H364" i="1"/>
  <c r="O362" i="1"/>
  <c r="W360" i="1"/>
  <c r="E359" i="1"/>
  <c r="K357" i="1"/>
  <c r="R355" i="1"/>
  <c r="Y353" i="1"/>
  <c r="D352" i="1"/>
  <c r="I350" i="1"/>
  <c r="O348" i="1"/>
  <c r="V346" i="1"/>
  <c r="B345" i="1"/>
  <c r="T343" i="1"/>
  <c r="K342" i="1"/>
  <c r="C341" i="1"/>
  <c r="T339" i="1"/>
  <c r="L338" i="1"/>
  <c r="D337" i="1"/>
  <c r="W335" i="1"/>
  <c r="M334" i="1"/>
  <c r="E333" i="1"/>
  <c r="W331" i="1"/>
  <c r="M330" i="1"/>
  <c r="E329" i="1"/>
  <c r="W327" i="1"/>
  <c r="O326" i="1"/>
  <c r="F325" i="1"/>
  <c r="Y323" i="1"/>
  <c r="O322" i="1"/>
  <c r="F321" i="1"/>
  <c r="Z319" i="1"/>
  <c r="O318" i="1"/>
  <c r="D317" i="1"/>
  <c r="U315" i="1"/>
  <c r="K314" i="1"/>
  <c r="AA312" i="1"/>
  <c r="P311" i="1"/>
  <c r="E310" i="1"/>
  <c r="V308" i="1"/>
  <c r="E453" i="1"/>
  <c r="J437" i="1"/>
  <c r="W421" i="1"/>
  <c r="R413" i="1"/>
  <c r="W406" i="1"/>
  <c r="B401" i="1"/>
  <c r="F395" i="1"/>
  <c r="L389" i="1"/>
  <c r="Q383" i="1"/>
  <c r="V377" i="1"/>
  <c r="Z367" i="1"/>
  <c r="F364" i="1"/>
  <c r="V360" i="1"/>
  <c r="I357" i="1"/>
  <c r="W353" i="1"/>
  <c r="H350" i="1"/>
  <c r="S346" i="1"/>
  <c r="S343" i="1"/>
  <c r="AA341" i="1"/>
  <c r="E340" i="1"/>
  <c r="K338" i="1"/>
  <c r="R336" i="1"/>
  <c r="Z334" i="1"/>
  <c r="D333" i="1"/>
  <c r="J331" i="1"/>
  <c r="P329" i="1"/>
  <c r="V327" i="1"/>
  <c r="C326" i="1"/>
  <c r="H324" i="1"/>
  <c r="M322" i="1"/>
  <c r="T320" i="1"/>
  <c r="AA318" i="1"/>
  <c r="C317" i="1"/>
  <c r="I315" i="1"/>
  <c r="L313" i="1"/>
  <c r="O311" i="1"/>
  <c r="T309" i="1"/>
  <c r="B308" i="1"/>
  <c r="T306" i="1"/>
  <c r="L305" i="1"/>
  <c r="C304" i="1"/>
  <c r="U302" i="1"/>
  <c r="N301" i="1"/>
  <c r="E300" i="1"/>
  <c r="Y298" i="1"/>
  <c r="P297" i="1"/>
  <c r="F296" i="1"/>
  <c r="Y294" i="1"/>
  <c r="Q293" i="1"/>
  <c r="J292" i="1"/>
  <c r="T289" i="1"/>
  <c r="I288" i="1"/>
  <c r="Z286" i="1"/>
  <c r="Q285" i="1"/>
  <c r="J284" i="1"/>
  <c r="AA282" i="1"/>
  <c r="S281" i="1"/>
  <c r="K280" i="1"/>
  <c r="Z278" i="1"/>
  <c r="R277" i="1"/>
  <c r="J276" i="1"/>
  <c r="S273" i="1"/>
  <c r="F272" i="1"/>
  <c r="Z270" i="1"/>
  <c r="R269" i="1"/>
  <c r="K268" i="1"/>
  <c r="T265" i="1"/>
  <c r="L264" i="1"/>
  <c r="C263" i="1"/>
  <c r="V261" i="1"/>
  <c r="N260" i="1"/>
  <c r="D259" i="1"/>
  <c r="AA446" i="1"/>
  <c r="M431" i="1"/>
  <c r="L418" i="1"/>
  <c r="R410" i="1"/>
  <c r="Q404" i="1"/>
  <c r="W398" i="1"/>
  <c r="E387" i="1"/>
  <c r="K381" i="1"/>
  <c r="P375" i="1"/>
  <c r="F370" i="1"/>
  <c r="M366" i="1"/>
  <c r="W362" i="1"/>
  <c r="M359" i="1"/>
  <c r="L352" i="1"/>
  <c r="Y348" i="1"/>
  <c r="I345" i="1"/>
  <c r="F341" i="1"/>
  <c r="L339" i="1"/>
  <c r="S337" i="1"/>
  <c r="Z335" i="1"/>
  <c r="F334" i="1"/>
  <c r="K332" i="1"/>
  <c r="Q330" i="1"/>
  <c r="Y328" i="1"/>
  <c r="C327" i="1"/>
  <c r="I325" i="1"/>
  <c r="P323" i="1"/>
  <c r="V321" i="1"/>
  <c r="F318" i="1"/>
  <c r="K316" i="1"/>
  <c r="N314" i="1"/>
  <c r="S312" i="1"/>
  <c r="V310" i="1"/>
  <c r="Z308" i="1"/>
  <c r="O307" i="1"/>
  <c r="E306" i="1"/>
  <c r="W304" i="1"/>
  <c r="P303" i="1"/>
  <c r="F302" i="1"/>
  <c r="C301" i="1"/>
  <c r="J300" i="1"/>
  <c r="O299" i="1"/>
  <c r="O298" i="1"/>
  <c r="S297" i="1"/>
  <c r="W296" i="1"/>
  <c r="W295" i="1"/>
  <c r="F294" i="1"/>
  <c r="F293" i="1"/>
  <c r="M292" i="1"/>
  <c r="R291" i="1"/>
  <c r="R290" i="1"/>
  <c r="W289" i="1"/>
  <c r="F288" i="1"/>
  <c r="P287" i="1"/>
  <c r="Y286" i="1"/>
  <c r="F286" i="1"/>
  <c r="P285" i="1"/>
  <c r="Y284" i="1"/>
  <c r="I284" i="1"/>
  <c r="Q283" i="1"/>
  <c r="Z282" i="1"/>
  <c r="I282" i="1"/>
  <c r="R281" i="1"/>
  <c r="AA280" i="1"/>
  <c r="J280" i="1"/>
  <c r="P279" i="1"/>
  <c r="Y278" i="1"/>
  <c r="F278" i="1"/>
  <c r="Q277" i="1"/>
  <c r="Z276" i="1"/>
  <c r="I276" i="1"/>
  <c r="R275" i="1"/>
  <c r="AA274" i="1"/>
  <c r="J274" i="1"/>
  <c r="R273" i="1"/>
  <c r="Z272" i="1"/>
  <c r="E272" i="1"/>
  <c r="O271" i="1"/>
  <c r="Y270" i="1"/>
  <c r="F270" i="1"/>
  <c r="Q269" i="1"/>
  <c r="Z268" i="1"/>
  <c r="J268" i="1"/>
  <c r="R267" i="1"/>
  <c r="AA266" i="1"/>
  <c r="J266" i="1"/>
  <c r="S265" i="1"/>
  <c r="K264" i="1"/>
  <c r="T263" i="1"/>
  <c r="B263" i="1"/>
  <c r="L262" i="1"/>
  <c r="U261" i="1"/>
  <c r="C261" i="1"/>
  <c r="M260" i="1"/>
  <c r="U259" i="1"/>
  <c r="C259" i="1"/>
  <c r="N258" i="1"/>
  <c r="V257" i="1"/>
  <c r="D257" i="1"/>
  <c r="N256" i="1"/>
  <c r="V255" i="1"/>
  <c r="D255" i="1"/>
  <c r="N254" i="1"/>
  <c r="W253" i="1"/>
  <c r="E253" i="1"/>
  <c r="O252" i="1"/>
  <c r="W251" i="1"/>
  <c r="E251" i="1"/>
  <c r="P250" i="1"/>
  <c r="Y249" i="1"/>
  <c r="I249" i="1"/>
  <c r="Q248" i="1"/>
  <c r="Z247" i="1"/>
  <c r="J247" i="1"/>
  <c r="R246" i="1"/>
  <c r="AA245" i="1"/>
  <c r="J245" i="1"/>
  <c r="R244" i="1"/>
  <c r="AA243" i="1"/>
  <c r="K243" i="1"/>
  <c r="S242" i="1"/>
  <c r="K241" i="1"/>
  <c r="S240" i="1"/>
  <c r="K239" i="1"/>
  <c r="T238" i="1"/>
  <c r="B238" i="1"/>
  <c r="M237" i="1"/>
  <c r="U236" i="1"/>
  <c r="C236" i="1"/>
  <c r="M235" i="1"/>
  <c r="U234" i="1"/>
  <c r="C234" i="1"/>
  <c r="M233" i="1"/>
  <c r="U232" i="1"/>
  <c r="C232" i="1"/>
  <c r="M231" i="1"/>
  <c r="U230" i="1"/>
  <c r="C230" i="1"/>
  <c r="M229" i="1"/>
  <c r="V228" i="1"/>
  <c r="D228" i="1"/>
  <c r="M227" i="1"/>
  <c r="U226" i="1"/>
  <c r="C226" i="1"/>
  <c r="L225" i="1"/>
  <c r="U224" i="1"/>
  <c r="C224" i="1"/>
  <c r="L223" i="1"/>
  <c r="T222" i="1"/>
  <c r="J221" i="1"/>
  <c r="S220" i="1"/>
  <c r="AA219" i="1"/>
  <c r="I219" i="1"/>
  <c r="P218" i="1"/>
  <c r="Z217" i="1"/>
  <c r="H217" i="1"/>
  <c r="P216" i="1"/>
  <c r="Z215" i="1"/>
  <c r="F215" i="1"/>
  <c r="O214" i="1"/>
  <c r="Y213" i="1"/>
  <c r="G213" i="1"/>
  <c r="N212" i="1"/>
  <c r="Y211" i="1"/>
  <c r="H211" i="1"/>
  <c r="S210" i="1"/>
  <c r="C210" i="1"/>
  <c r="M209" i="1"/>
  <c r="W208" i="1"/>
  <c r="G208" i="1"/>
  <c r="Q207" i="1"/>
  <c r="K206" i="1"/>
  <c r="V205" i="1"/>
  <c r="F205" i="1"/>
  <c r="Q204" i="1"/>
  <c r="L203" i="1"/>
  <c r="V202" i="1"/>
  <c r="F202" i="1"/>
  <c r="P201" i="1"/>
  <c r="AA200" i="1"/>
  <c r="J200" i="1"/>
  <c r="U199" i="1"/>
  <c r="D199" i="1"/>
  <c r="N198" i="1"/>
  <c r="Y197" i="1"/>
  <c r="I197" i="1"/>
  <c r="S196" i="1"/>
  <c r="C196" i="1"/>
  <c r="N195" i="1"/>
  <c r="Y194" i="1"/>
  <c r="G194" i="1"/>
  <c r="R193" i="1"/>
  <c r="B193" i="1"/>
  <c r="M192" i="1"/>
  <c r="AA449" i="1"/>
  <c r="L434" i="1"/>
  <c r="Z419" i="1"/>
  <c r="E412" i="1"/>
  <c r="T405" i="1"/>
  <c r="AA399" i="1"/>
  <c r="D394" i="1"/>
  <c r="J388" i="1"/>
  <c r="O382" i="1"/>
  <c r="S376" i="1"/>
  <c r="B371" i="1"/>
  <c r="E367" i="1"/>
  <c r="P363" i="1"/>
  <c r="E360" i="1"/>
  <c r="S356" i="1"/>
  <c r="E353" i="1"/>
  <c r="Q349" i="1"/>
  <c r="B346" i="1"/>
  <c r="J343" i="1"/>
  <c r="Q341" i="1"/>
  <c r="W339" i="1"/>
  <c r="C338" i="1"/>
  <c r="I336" i="1"/>
  <c r="P334" i="1"/>
  <c r="V332" i="1"/>
  <c r="B331" i="1"/>
  <c r="G329" i="1"/>
  <c r="L327" i="1"/>
  <c r="T325" i="1"/>
  <c r="AA323" i="1"/>
  <c r="E322" i="1"/>
  <c r="K320" i="1"/>
  <c r="R318" i="1"/>
  <c r="U316" i="1"/>
  <c r="Z314" i="1"/>
  <c r="B313" i="1"/>
  <c r="E311" i="1"/>
  <c r="K309" i="1"/>
  <c r="V307" i="1"/>
  <c r="N306" i="1"/>
  <c r="D305" i="1"/>
  <c r="W303" i="1"/>
  <c r="O302" i="1"/>
  <c r="F301" i="1"/>
  <c r="Z299" i="1"/>
  <c r="R298" i="1"/>
  <c r="J297" i="1"/>
  <c r="AA295" i="1"/>
  <c r="S294" i="1"/>
  <c r="K293" i="1"/>
  <c r="B292" i="1"/>
  <c r="U290" i="1"/>
  <c r="N289" i="1"/>
  <c r="T286" i="1"/>
  <c r="K285" i="1"/>
  <c r="B284" i="1"/>
  <c r="T282" i="1"/>
  <c r="M281" i="1"/>
  <c r="C280" i="1"/>
  <c r="T278" i="1"/>
  <c r="L277" i="1"/>
  <c r="B276" i="1"/>
  <c r="U274" i="1"/>
  <c r="M273" i="1"/>
  <c r="AA271" i="1"/>
  <c r="S270" i="1"/>
  <c r="L269" i="1"/>
  <c r="C268" i="1"/>
  <c r="U266" i="1"/>
  <c r="N265" i="1"/>
  <c r="D264" i="1"/>
  <c r="W262" i="1"/>
  <c r="P261" i="1"/>
  <c r="F260" i="1"/>
  <c r="Y258" i="1"/>
  <c r="W257" i="1"/>
  <c r="Z256" i="1"/>
  <c r="B256" i="1"/>
  <c r="E255" i="1"/>
  <c r="I254" i="1"/>
  <c r="M253" i="1"/>
  <c r="P252" i="1"/>
  <c r="R251" i="1"/>
  <c r="V250" i="1"/>
  <c r="Z249" i="1"/>
  <c r="B249" i="1"/>
  <c r="E248" i="1"/>
  <c r="K247" i="1"/>
  <c r="M246" i="1"/>
  <c r="P245" i="1"/>
  <c r="L423" i="1"/>
  <c r="Y414" i="1"/>
  <c r="C410" i="1"/>
  <c r="Q394" i="1"/>
  <c r="O381" i="1"/>
  <c r="K371" i="1"/>
  <c r="AA363" i="1"/>
  <c r="Y358" i="1"/>
  <c r="P353" i="1"/>
  <c r="G348" i="1"/>
  <c r="J444" i="1"/>
  <c r="V428" i="1"/>
  <c r="C417" i="1"/>
  <c r="L409" i="1"/>
  <c r="Q403" i="1"/>
  <c r="W397" i="1"/>
  <c r="E386" i="1"/>
  <c r="K380" i="1"/>
  <c r="P374" i="1"/>
  <c r="V453" i="1"/>
  <c r="J422" i="1"/>
  <c r="L395" i="1"/>
  <c r="V383" i="1"/>
  <c r="E372" i="1"/>
  <c r="J364" i="1"/>
  <c r="L357" i="1"/>
  <c r="J350" i="1"/>
  <c r="S345" i="1"/>
  <c r="P461" i="1"/>
  <c r="Q442" i="1"/>
  <c r="C427" i="1"/>
  <c r="F416" i="1"/>
  <c r="V408" i="1"/>
  <c r="E397" i="1"/>
  <c r="K391" i="1"/>
  <c r="P385" i="1"/>
  <c r="T379" i="1"/>
  <c r="Z373" i="1"/>
  <c r="D369" i="1"/>
  <c r="L365" i="1"/>
  <c r="Y361" i="1"/>
  <c r="M358" i="1"/>
  <c r="L351" i="1"/>
  <c r="Y347" i="1"/>
  <c r="P344" i="1"/>
  <c r="Z341" i="1"/>
  <c r="G339" i="1"/>
  <c r="Q336" i="1"/>
  <c r="I331" i="1"/>
  <c r="R328" i="1"/>
  <c r="B326" i="1"/>
  <c r="J323" i="1"/>
  <c r="S320" i="1"/>
  <c r="F315" i="1"/>
  <c r="M312" i="1"/>
  <c r="S309" i="1"/>
  <c r="B447" i="1"/>
  <c r="M418" i="1"/>
  <c r="R404" i="1"/>
  <c r="B393" i="1"/>
  <c r="L381" i="1"/>
  <c r="J370" i="1"/>
  <c r="Y362" i="1"/>
  <c r="B356" i="1"/>
  <c r="AA348" i="1"/>
  <c r="B343" i="1"/>
  <c r="M339" i="1"/>
  <c r="L332" i="1"/>
  <c r="Z328" i="1"/>
  <c r="K325" i="1"/>
  <c r="W321" i="1"/>
  <c r="I318" i="1"/>
  <c r="P314" i="1"/>
  <c r="W310" i="1"/>
  <c r="P307" i="1"/>
  <c r="Y304" i="1"/>
  <c r="I302" i="1"/>
  <c r="T299" i="1"/>
  <c r="B297" i="1"/>
  <c r="M294" i="1"/>
  <c r="W291" i="1"/>
  <c r="F289" i="1"/>
  <c r="M286" i="1"/>
  <c r="V283" i="1"/>
  <c r="E281" i="1"/>
  <c r="M278" i="1"/>
  <c r="W275" i="1"/>
  <c r="E273" i="1"/>
  <c r="M270" i="1"/>
  <c r="W267" i="1"/>
  <c r="F265" i="1"/>
  <c r="Q262" i="1"/>
  <c r="AA259" i="1"/>
  <c r="Q458" i="1"/>
  <c r="R425" i="1"/>
  <c r="F408" i="1"/>
  <c r="R396" i="1"/>
  <c r="K373" i="1"/>
  <c r="B365" i="1"/>
  <c r="E358" i="1"/>
  <c r="D351" i="1"/>
  <c r="I344" i="1"/>
  <c r="O340" i="1"/>
  <c r="B337" i="1"/>
  <c r="O333" i="1"/>
  <c r="AA329" i="1"/>
  <c r="L326" i="1"/>
  <c r="Z322" i="1"/>
  <c r="K319" i="1"/>
  <c r="S315" i="1"/>
  <c r="AA311" i="1"/>
  <c r="K308" i="1"/>
  <c r="S305" i="1"/>
  <c r="B303" i="1"/>
  <c r="Z300" i="1"/>
  <c r="E299" i="1"/>
  <c r="O297" i="1"/>
  <c r="S295" i="1"/>
  <c r="Y293" i="1"/>
  <c r="I292" i="1"/>
  <c r="N290" i="1"/>
  <c r="W288" i="1"/>
  <c r="L287" i="1"/>
  <c r="B286" i="1"/>
  <c r="U284" i="1"/>
  <c r="M283" i="1"/>
  <c r="C282" i="1"/>
  <c r="V280" i="1"/>
  <c r="L279" i="1"/>
  <c r="B278" i="1"/>
  <c r="U276" i="1"/>
  <c r="N275" i="1"/>
  <c r="D274" i="1"/>
  <c r="U272" i="1"/>
  <c r="K271" i="1"/>
  <c r="B270" i="1"/>
  <c r="V268" i="1"/>
  <c r="N267" i="1"/>
  <c r="D266" i="1"/>
  <c r="W264" i="1"/>
  <c r="P263" i="1"/>
  <c r="G262" i="1"/>
  <c r="Z260" i="1"/>
  <c r="Q259" i="1"/>
  <c r="J258" i="1"/>
  <c r="AA256" i="1"/>
  <c r="R255" i="1"/>
  <c r="J254" i="1"/>
  <c r="S251" i="1"/>
  <c r="L250" i="1"/>
  <c r="C249" i="1"/>
  <c r="V247" i="1"/>
  <c r="N246" i="1"/>
  <c r="D245" i="1"/>
  <c r="W243" i="1"/>
  <c r="O242" i="1"/>
  <c r="E241" i="1"/>
  <c r="W239" i="1"/>
  <c r="P238" i="1"/>
  <c r="I237" i="1"/>
  <c r="Z235" i="1"/>
  <c r="Q234" i="1"/>
  <c r="I233" i="1"/>
  <c r="Z231" i="1"/>
  <c r="Q230" i="1"/>
  <c r="I229" i="1"/>
  <c r="AA227" i="1"/>
  <c r="P226" i="1"/>
  <c r="H225" i="1"/>
  <c r="Z223" i="1"/>
  <c r="O222" i="1"/>
  <c r="E221" i="1"/>
  <c r="V219" i="1"/>
  <c r="L218" i="1"/>
  <c r="C217" i="1"/>
  <c r="U215" i="1"/>
  <c r="K214" i="1"/>
  <c r="C213" i="1"/>
  <c r="T211" i="1"/>
  <c r="O210" i="1"/>
  <c r="I209" i="1"/>
  <c r="C208" i="1"/>
  <c r="W206" i="1"/>
  <c r="R205" i="1"/>
  <c r="M204" i="1"/>
  <c r="H203" i="1"/>
  <c r="B202" i="1"/>
  <c r="V200" i="1"/>
  <c r="P199" i="1"/>
  <c r="J198" i="1"/>
  <c r="E197" i="1"/>
  <c r="Z195" i="1"/>
  <c r="S194" i="1"/>
  <c r="N193" i="1"/>
  <c r="I192" i="1"/>
  <c r="B446" i="1"/>
  <c r="I404" i="1"/>
  <c r="S392" i="1"/>
  <c r="B381" i="1"/>
  <c r="B370" i="1"/>
  <c r="S362" i="1"/>
  <c r="W355" i="1"/>
  <c r="S348" i="1"/>
  <c r="AA342" i="1"/>
  <c r="J339" i="1"/>
  <c r="Y335" i="1"/>
  <c r="J332" i="1"/>
  <c r="V328" i="1"/>
  <c r="H325" i="1"/>
  <c r="T321" i="1"/>
  <c r="D318" i="1"/>
  <c r="M314" i="1"/>
  <c r="U310" i="1"/>
  <c r="N307" i="1"/>
  <c r="V304" i="1"/>
  <c r="E302" i="1"/>
  <c r="R299" i="1"/>
  <c r="AA296" i="1"/>
  <c r="K294" i="1"/>
  <c r="U291" i="1"/>
  <c r="D289" i="1"/>
  <c r="K286" i="1"/>
  <c r="T283" i="1"/>
  <c r="C281" i="1"/>
  <c r="K278" i="1"/>
  <c r="U275" i="1"/>
  <c r="C273" i="1"/>
  <c r="K270" i="1"/>
  <c r="U267" i="1"/>
  <c r="D265" i="1"/>
  <c r="O262" i="1"/>
  <c r="Y259" i="1"/>
  <c r="Q257" i="1"/>
  <c r="W255" i="1"/>
  <c r="B254" i="1"/>
  <c r="J252" i="1"/>
  <c r="Q250" i="1"/>
  <c r="X248" i="1"/>
  <c r="C247" i="1"/>
  <c r="K245" i="1"/>
  <c r="F244" i="1"/>
  <c r="Z242" i="1"/>
  <c r="V241" i="1"/>
  <c r="T240" i="1"/>
  <c r="L239" i="1"/>
  <c r="J238" i="1"/>
  <c r="F237" i="1"/>
  <c r="D236" i="1"/>
  <c r="F235" i="1"/>
  <c r="K234" i="1"/>
  <c r="N233" i="1"/>
  <c r="P232" i="1"/>
  <c r="S231" i="1"/>
  <c r="V230" i="1"/>
  <c r="Y229" i="1"/>
  <c r="E228" i="1"/>
  <c r="F227" i="1"/>
  <c r="J226" i="1"/>
  <c r="M225" i="1"/>
  <c r="O224" i="1"/>
  <c r="S223" i="1"/>
  <c r="U222" i="1"/>
  <c r="V221" i="1"/>
  <c r="Z220" i="1"/>
  <c r="B219" i="1"/>
  <c r="E218" i="1"/>
  <c r="I217" i="1"/>
  <c r="K216" i="1"/>
  <c r="N215" i="1"/>
  <c r="P214" i="1"/>
  <c r="R213" i="1"/>
  <c r="W212" i="1"/>
  <c r="Z211" i="1"/>
  <c r="C211" i="1"/>
  <c r="I210" i="1"/>
  <c r="N209" i="1"/>
  <c r="R208" i="1"/>
  <c r="W207" i="1"/>
  <c r="B207" i="1"/>
  <c r="F206" i="1"/>
  <c r="L205" i="1"/>
  <c r="R204" i="1"/>
  <c r="W203" i="1"/>
  <c r="B203" i="1"/>
  <c r="G202" i="1"/>
  <c r="K201" i="1"/>
  <c r="P200" i="1"/>
  <c r="V199" i="1"/>
  <c r="Z198" i="1"/>
  <c r="D198" i="1"/>
  <c r="J197" i="1"/>
  <c r="N196" i="1"/>
  <c r="T195" i="1"/>
  <c r="Z194" i="1"/>
  <c r="B194" i="1"/>
  <c r="H193" i="1"/>
  <c r="N192" i="1"/>
  <c r="R191" i="1"/>
  <c r="B191" i="1"/>
  <c r="M190" i="1"/>
  <c r="X189" i="1"/>
  <c r="H189" i="1"/>
  <c r="S188" i="1"/>
  <c r="C188" i="1"/>
  <c r="N187" i="1"/>
  <c r="Y186" i="1"/>
  <c r="H186" i="1"/>
  <c r="S185" i="1"/>
  <c r="C185" i="1"/>
  <c r="N184" i="1"/>
  <c r="Y183" i="1"/>
  <c r="I183" i="1"/>
  <c r="T182" i="1"/>
  <c r="C182" i="1"/>
  <c r="N181" i="1"/>
  <c r="Y180" i="1"/>
  <c r="Y449" i="1"/>
  <c r="K434" i="1"/>
  <c r="Y419" i="1"/>
  <c r="C412" i="1"/>
  <c r="S405" i="1"/>
  <c r="Z399" i="1"/>
  <c r="C394" i="1"/>
  <c r="I388" i="1"/>
  <c r="M382" i="1"/>
  <c r="R376" i="1"/>
  <c r="AA370" i="1"/>
  <c r="D367" i="1"/>
  <c r="O363" i="1"/>
  <c r="C360" i="1"/>
  <c r="R356" i="1"/>
  <c r="D353" i="1"/>
  <c r="O349" i="1"/>
  <c r="I343" i="1"/>
  <c r="O341" i="1"/>
  <c r="V339" i="1"/>
  <c r="B338" i="1"/>
  <c r="G336" i="1"/>
  <c r="O334" i="1"/>
  <c r="T332" i="1"/>
  <c r="AA330" i="1"/>
  <c r="F329" i="1"/>
  <c r="K327" i="1"/>
  <c r="R325" i="1"/>
  <c r="Z323" i="1"/>
  <c r="D322" i="1"/>
  <c r="I320" i="1"/>
  <c r="P318" i="1"/>
  <c r="T316" i="1"/>
  <c r="W314" i="1"/>
  <c r="D311" i="1"/>
  <c r="I309" i="1"/>
  <c r="U307" i="1"/>
  <c r="M306" i="1"/>
  <c r="C305" i="1"/>
  <c r="V303" i="1"/>
  <c r="N302" i="1"/>
  <c r="E301" i="1"/>
  <c r="Y299" i="1"/>
  <c r="Q298" i="1"/>
  <c r="I297" i="1"/>
  <c r="Z295" i="1"/>
  <c r="R294" i="1"/>
  <c r="J293" i="1"/>
  <c r="T290" i="1"/>
  <c r="M289" i="1"/>
  <c r="AA287" i="1"/>
  <c r="S286" i="1"/>
  <c r="J285" i="1"/>
  <c r="S282" i="1"/>
  <c r="L281" i="1"/>
  <c r="B280" i="1"/>
  <c r="S278" i="1"/>
  <c r="K277" i="1"/>
  <c r="T274" i="1"/>
  <c r="L273" i="1"/>
  <c r="Z271" i="1"/>
  <c r="R270" i="1"/>
  <c r="K269" i="1"/>
  <c r="B268" i="1"/>
  <c r="T266" i="1"/>
  <c r="M265" i="1"/>
  <c r="C264" i="1"/>
  <c r="V262" i="1"/>
  <c r="O261" i="1"/>
  <c r="E260" i="1"/>
  <c r="X258" i="1"/>
  <c r="U257" i="1"/>
  <c r="Y256" i="1"/>
  <c r="C255" i="1"/>
  <c r="F254" i="1"/>
  <c r="L253" i="1"/>
  <c r="N252" i="1"/>
  <c r="Q251" i="1"/>
  <c r="U250" i="1"/>
  <c r="X249" i="1"/>
  <c r="D248" i="1"/>
  <c r="I247" i="1"/>
  <c r="L246" i="1"/>
  <c r="D444" i="1"/>
  <c r="Q428" i="1"/>
  <c r="K409" i="1"/>
  <c r="P403" i="1"/>
  <c r="V397" i="1"/>
  <c r="AA391" i="1"/>
  <c r="D386" i="1"/>
  <c r="J380" i="1"/>
  <c r="O374" i="1"/>
  <c r="Q369" i="1"/>
  <c r="V365" i="1"/>
  <c r="G362" i="1"/>
  <c r="Z358" i="1"/>
  <c r="J355" i="1"/>
  <c r="W351" i="1"/>
  <c r="H348" i="1"/>
  <c r="X344" i="1"/>
  <c r="S342" i="1"/>
  <c r="AA340" i="1"/>
  <c r="E339" i="1"/>
  <c r="K337" i="1"/>
  <c r="S335" i="1"/>
  <c r="Z333" i="1"/>
  <c r="D332" i="1"/>
  <c r="J330" i="1"/>
  <c r="P328" i="1"/>
  <c r="W326" i="1"/>
  <c r="C325" i="1"/>
  <c r="H323" i="1"/>
  <c r="M321" i="1"/>
  <c r="L432" i="1"/>
  <c r="E399" i="1"/>
  <c r="Z375" i="1"/>
  <c r="T359" i="1"/>
  <c r="O345" i="1"/>
  <c r="W337" i="1"/>
  <c r="T330" i="1"/>
  <c r="R323" i="1"/>
  <c r="V318" i="1"/>
  <c r="C315" i="1"/>
  <c r="K311" i="1"/>
  <c r="Z307" i="1"/>
  <c r="I305" i="1"/>
  <c r="R302" i="1"/>
  <c r="B300" i="1"/>
  <c r="M297" i="1"/>
  <c r="V294" i="1"/>
  <c r="E292" i="1"/>
  <c r="Q289" i="1"/>
  <c r="W286" i="1"/>
  <c r="E284" i="1"/>
  <c r="P281" i="1"/>
  <c r="W278" i="1"/>
  <c r="E276" i="1"/>
  <c r="P273" i="1"/>
  <c r="W270" i="1"/>
  <c r="F268" i="1"/>
  <c r="Q265" i="1"/>
  <c r="AA262" i="1"/>
  <c r="K260" i="1"/>
  <c r="Y257" i="1"/>
  <c r="C256" i="1"/>
  <c r="K254" i="1"/>
  <c r="Q252" i="1"/>
  <c r="W250" i="1"/>
  <c r="D249" i="1"/>
  <c r="L247" i="1"/>
  <c r="S245" i="1"/>
  <c r="O244" i="1"/>
  <c r="J243" i="1"/>
  <c r="D242" i="1"/>
  <c r="AA240" i="1"/>
  <c r="U239" i="1"/>
  <c r="R238" i="1"/>
  <c r="O237" i="1"/>
  <c r="J236" i="1"/>
  <c r="D235" i="1"/>
  <c r="AA233" i="1"/>
  <c r="T232" i="1"/>
  <c r="P231" i="1"/>
  <c r="L230" i="1"/>
  <c r="E229" i="1"/>
  <c r="B228" i="1"/>
  <c r="W226" i="1"/>
  <c r="R225" i="1"/>
  <c r="M224" i="1"/>
  <c r="I223" i="1"/>
  <c r="AA221" i="1"/>
  <c r="V220" i="1"/>
  <c r="P219" i="1"/>
  <c r="J218" i="1"/>
  <c r="E217" i="1"/>
  <c r="U214" i="1"/>
  <c r="P213" i="1"/>
  <c r="K212" i="1"/>
  <c r="G211" i="1"/>
  <c r="F210" i="1"/>
  <c r="D209" i="1"/>
  <c r="Z206" i="1"/>
  <c r="X205" i="1"/>
  <c r="V204" i="1"/>
  <c r="U203" i="1"/>
  <c r="S202" i="1"/>
  <c r="O201" i="1"/>
  <c r="M200" i="1"/>
  <c r="K199" i="1"/>
  <c r="H198" i="1"/>
  <c r="G197" i="1"/>
  <c r="E196" i="1"/>
  <c r="C195" i="1"/>
  <c r="AA193" i="1"/>
  <c r="Z192" i="1"/>
  <c r="W191" i="1"/>
  <c r="AA190" i="1"/>
  <c r="F190" i="1"/>
  <c r="K189" i="1"/>
  <c r="Q188" i="1"/>
  <c r="W187" i="1"/>
  <c r="F186" i="1"/>
  <c r="L185" i="1"/>
  <c r="Q184" i="1"/>
  <c r="W183" i="1"/>
  <c r="B183" i="1"/>
  <c r="F182" i="1"/>
  <c r="L181" i="1"/>
  <c r="R180" i="1"/>
  <c r="AA179" i="1"/>
  <c r="H179" i="1"/>
  <c r="R178" i="1"/>
  <c r="B178" i="1"/>
  <c r="M177" i="1"/>
  <c r="W176" i="1"/>
  <c r="G176" i="1"/>
  <c r="O175" i="1"/>
  <c r="Z174" i="1"/>
  <c r="I174" i="1"/>
  <c r="R173" i="1"/>
  <c r="B173" i="1"/>
  <c r="J172" i="1"/>
  <c r="T171" i="1"/>
  <c r="D171" i="1"/>
  <c r="O170" i="1"/>
  <c r="Z169" i="1"/>
  <c r="H169" i="1"/>
  <c r="R168" i="1"/>
  <c r="B168" i="1"/>
  <c r="L167" i="1"/>
  <c r="S166" i="1"/>
  <c r="C166" i="1"/>
  <c r="M165" i="1"/>
  <c r="W164" i="1"/>
  <c r="F164" i="1"/>
  <c r="P163" i="1"/>
  <c r="AA162" i="1"/>
  <c r="K162" i="1"/>
  <c r="V161" i="1"/>
  <c r="F161" i="1"/>
  <c r="P160" i="1"/>
  <c r="AA159" i="1"/>
  <c r="J159" i="1"/>
  <c r="T158" i="1"/>
  <c r="D158" i="1"/>
  <c r="N157" i="1"/>
  <c r="Y156" i="1"/>
  <c r="G156" i="1"/>
  <c r="R155" i="1"/>
  <c r="B155" i="1"/>
  <c r="M154" i="1"/>
  <c r="W153" i="1"/>
  <c r="G153" i="1"/>
  <c r="R152" i="1"/>
  <c r="B152" i="1"/>
  <c r="M151" i="1"/>
  <c r="W150" i="1"/>
  <c r="E150" i="1"/>
  <c r="N149" i="1"/>
  <c r="Y148" i="1"/>
  <c r="H148" i="1"/>
  <c r="S147" i="1"/>
  <c r="C147" i="1"/>
  <c r="M146" i="1"/>
  <c r="X145" i="1"/>
  <c r="H145" i="1"/>
  <c r="S144" i="1"/>
  <c r="C144" i="1"/>
  <c r="N143" i="1"/>
  <c r="Y142" i="1"/>
  <c r="I142" i="1"/>
  <c r="T141" i="1"/>
  <c r="D141" i="1"/>
  <c r="O140" i="1"/>
  <c r="Z139" i="1"/>
  <c r="J139" i="1"/>
  <c r="T138" i="1"/>
  <c r="D138" i="1"/>
  <c r="N137" i="1"/>
  <c r="Y136" i="1"/>
  <c r="H136" i="1"/>
  <c r="S135" i="1"/>
  <c r="C135" i="1"/>
  <c r="N134" i="1"/>
  <c r="Y133" i="1"/>
  <c r="H133" i="1"/>
  <c r="S132" i="1"/>
  <c r="C132" i="1"/>
  <c r="N131" i="1"/>
  <c r="Y130" i="1"/>
  <c r="I130" i="1"/>
  <c r="Q129" i="1"/>
  <c r="J128" i="1"/>
  <c r="S127" i="1"/>
  <c r="C127" i="1"/>
  <c r="M126" i="1"/>
  <c r="X125" i="1"/>
  <c r="H125" i="1"/>
  <c r="R124" i="1"/>
  <c r="B124" i="1"/>
  <c r="M123" i="1"/>
  <c r="X122" i="1"/>
  <c r="H122" i="1"/>
  <c r="R121" i="1"/>
  <c r="B121" i="1"/>
  <c r="K120" i="1"/>
  <c r="U119" i="1"/>
  <c r="E119" i="1"/>
  <c r="P118" i="1"/>
  <c r="AA117" i="1"/>
  <c r="J117" i="1"/>
  <c r="U116" i="1"/>
  <c r="E116" i="1"/>
  <c r="N115" i="1"/>
  <c r="Y114" i="1"/>
  <c r="H114" i="1"/>
  <c r="S113" i="1"/>
  <c r="C113" i="1"/>
  <c r="M112" i="1"/>
  <c r="X111" i="1"/>
  <c r="H111" i="1"/>
  <c r="S110" i="1"/>
  <c r="C110" i="1"/>
  <c r="N109" i="1"/>
  <c r="Y108" i="1"/>
  <c r="F108" i="1"/>
  <c r="P107" i="1"/>
  <c r="AA106" i="1"/>
  <c r="J106" i="1"/>
  <c r="U105" i="1"/>
  <c r="E105" i="1"/>
  <c r="M104" i="1"/>
  <c r="X103" i="1"/>
  <c r="H103" i="1"/>
  <c r="Q102" i="1"/>
  <c r="K101" i="1"/>
  <c r="V100" i="1"/>
  <c r="F100" i="1"/>
  <c r="Q99" i="1"/>
  <c r="K98" i="1"/>
  <c r="V97" i="1"/>
  <c r="F97" i="1"/>
  <c r="Q96" i="1"/>
  <c r="J95" i="1"/>
  <c r="U94" i="1"/>
  <c r="E94" i="1"/>
  <c r="M93" i="1"/>
  <c r="W92" i="1"/>
  <c r="G92" i="1"/>
  <c r="N91" i="1"/>
  <c r="Y90" i="1"/>
  <c r="H90" i="1"/>
  <c r="S89" i="1"/>
  <c r="C89" i="1"/>
  <c r="L88" i="1"/>
  <c r="T87" i="1"/>
  <c r="D87" i="1"/>
  <c r="N86" i="1"/>
  <c r="Y85" i="1"/>
  <c r="H85" i="1"/>
  <c r="R84" i="1"/>
  <c r="B84" i="1"/>
  <c r="AA416" i="1"/>
  <c r="Z391" i="1"/>
  <c r="O369" i="1"/>
  <c r="I355" i="1"/>
  <c r="R342" i="1"/>
  <c r="Q335" i="1"/>
  <c r="O328" i="1"/>
  <c r="L321" i="1"/>
  <c r="M317" i="1"/>
  <c r="U313" i="1"/>
  <c r="B310" i="1"/>
  <c r="AA306" i="1"/>
  <c r="J304" i="1"/>
  <c r="T301" i="1"/>
  <c r="D299" i="1"/>
  <c r="N296" i="1"/>
  <c r="W293" i="1"/>
  <c r="I291" i="1"/>
  <c r="O288" i="1"/>
  <c r="W285" i="1"/>
  <c r="F283" i="1"/>
  <c r="Q280" i="1"/>
  <c r="X277" i="1"/>
  <c r="I275" i="1"/>
  <c r="N272" i="1"/>
  <c r="X269" i="1"/>
  <c r="I267" i="1"/>
  <c r="R264" i="1"/>
  <c r="B262" i="1"/>
  <c r="L259" i="1"/>
  <c r="I257" i="1"/>
  <c r="O255" i="1"/>
  <c r="U253" i="1"/>
  <c r="AA251" i="1"/>
  <c r="I250" i="1"/>
  <c r="O248" i="1"/>
  <c r="U246" i="1"/>
  <c r="I245" i="1"/>
  <c r="C244" i="1"/>
  <c r="AA242" i="1"/>
  <c r="U241" i="1"/>
  <c r="Q240" i="1"/>
  <c r="M239" i="1"/>
  <c r="I238" i="1"/>
  <c r="D237" i="1"/>
  <c r="AA235" i="1"/>
  <c r="T234" i="1"/>
  <c r="P233" i="1"/>
  <c r="L232" i="1"/>
  <c r="E231" i="1"/>
  <c r="Y228" i="1"/>
  <c r="S227" i="1"/>
  <c r="M226" i="1"/>
  <c r="I225" i="1"/>
  <c r="B224" i="1"/>
  <c r="W222" i="1"/>
  <c r="R221" i="1"/>
  <c r="L220" i="1"/>
  <c r="E219" i="1"/>
  <c r="V216" i="1"/>
  <c r="R215" i="1"/>
  <c r="L214" i="1"/>
  <c r="F213" i="1"/>
  <c r="Z210" i="1"/>
  <c r="W209" i="1"/>
  <c r="U208" i="1"/>
  <c r="S207" i="1"/>
  <c r="P206" i="1"/>
  <c r="O205" i="1"/>
  <c r="N204" i="1"/>
  <c r="K203" i="1"/>
  <c r="I202" i="1"/>
  <c r="G201" i="1"/>
  <c r="D200" i="1"/>
  <c r="B199" i="1"/>
  <c r="AA197" i="1"/>
  <c r="Y196" i="1"/>
  <c r="W195" i="1"/>
  <c r="T194" i="1"/>
  <c r="Q193" i="1"/>
  <c r="P192" i="1"/>
  <c r="O191" i="1"/>
  <c r="T190" i="1"/>
  <c r="Z189" i="1"/>
  <c r="E189" i="1"/>
  <c r="J188" i="1"/>
  <c r="P187" i="1"/>
  <c r="U186" i="1"/>
  <c r="Z185" i="1"/>
  <c r="E185" i="1"/>
  <c r="K184" i="1"/>
  <c r="P183" i="1"/>
  <c r="V182" i="1"/>
  <c r="AA181" i="1"/>
  <c r="E181" i="1"/>
  <c r="K180" i="1"/>
  <c r="S179" i="1"/>
  <c r="C179" i="1"/>
  <c r="M178" i="1"/>
  <c r="X177" i="1"/>
  <c r="H177" i="1"/>
  <c r="R176" i="1"/>
  <c r="B176" i="1"/>
  <c r="J175" i="1"/>
  <c r="T174" i="1"/>
  <c r="D174" i="1"/>
  <c r="M173" i="1"/>
  <c r="W172" i="1"/>
  <c r="E172" i="1"/>
  <c r="O171" i="1"/>
  <c r="Z170" i="1"/>
  <c r="J170" i="1"/>
  <c r="S169" i="1"/>
  <c r="C169" i="1"/>
  <c r="M168" i="1"/>
  <c r="W167" i="1"/>
  <c r="F167" i="1"/>
  <c r="N166" i="1"/>
  <c r="Y165" i="1"/>
  <c r="H165" i="1"/>
  <c r="R164" i="1"/>
  <c r="K163" i="1"/>
  <c r="V162" i="1"/>
  <c r="F162" i="1"/>
  <c r="Q161" i="1"/>
  <c r="K160" i="1"/>
  <c r="U159" i="1"/>
  <c r="E159" i="1"/>
  <c r="O158" i="1"/>
  <c r="Z157" i="1"/>
  <c r="I157" i="1"/>
  <c r="R156" i="1"/>
  <c r="B156" i="1"/>
  <c r="M155" i="1"/>
  <c r="X154" i="1"/>
  <c r="H154" i="1"/>
  <c r="R153" i="1"/>
  <c r="B153" i="1"/>
  <c r="M152" i="1"/>
  <c r="Y407" i="1"/>
  <c r="W364" i="1"/>
  <c r="L340" i="1"/>
  <c r="I326" i="1"/>
  <c r="N316" i="1"/>
  <c r="B309" i="1"/>
  <c r="R303" i="1"/>
  <c r="M298" i="1"/>
  <c r="D293" i="1"/>
  <c r="V287" i="1"/>
  <c r="O282" i="1"/>
  <c r="E277" i="1"/>
  <c r="U271" i="1"/>
  <c r="P266" i="1"/>
  <c r="K261" i="1"/>
  <c r="U256" i="1"/>
  <c r="I253" i="1"/>
  <c r="V249" i="1"/>
  <c r="I246" i="1"/>
  <c r="U243" i="1"/>
  <c r="M241" i="1"/>
  <c r="B239" i="1"/>
  <c r="T236" i="1"/>
  <c r="L234" i="1"/>
  <c r="R229" i="1"/>
  <c r="J227" i="1"/>
  <c r="Y224" i="1"/>
  <c r="M222" i="1"/>
  <c r="B220" i="1"/>
  <c r="R217" i="1"/>
  <c r="E215" i="1"/>
  <c r="Y212" i="1"/>
  <c r="Q210" i="1"/>
  <c r="L208" i="1"/>
  <c r="H206" i="1"/>
  <c r="D204" i="1"/>
  <c r="AA201" i="1"/>
  <c r="W199" i="1"/>
  <c r="R197" i="1"/>
  <c r="M195" i="1"/>
  <c r="I193" i="1"/>
  <c r="H191" i="1"/>
  <c r="S189" i="1"/>
  <c r="D188" i="1"/>
  <c r="N186" i="1"/>
  <c r="Y184" i="1"/>
  <c r="J183" i="1"/>
  <c r="T181" i="1"/>
  <c r="F180" i="1"/>
  <c r="Y178" i="1"/>
  <c r="S177" i="1"/>
  <c r="M176" i="1"/>
  <c r="E175" i="1"/>
  <c r="Z173" i="1"/>
  <c r="P172" i="1"/>
  <c r="J171" i="1"/>
  <c r="E170" i="1"/>
  <c r="Y168" i="1"/>
  <c r="R167" i="1"/>
  <c r="I166" i="1"/>
  <c r="C165" i="1"/>
  <c r="V163" i="1"/>
  <c r="Q162" i="1"/>
  <c r="L161" i="1"/>
  <c r="F160" i="1"/>
  <c r="AA158" i="1"/>
  <c r="T157" i="1"/>
  <c r="M156" i="1"/>
  <c r="H155" i="1"/>
  <c r="C154" i="1"/>
  <c r="X152" i="1"/>
  <c r="X151" i="1"/>
  <c r="C151" i="1"/>
  <c r="F150" i="1"/>
  <c r="I149" i="1"/>
  <c r="N148" i="1"/>
  <c r="T147" i="1"/>
  <c r="Y146" i="1"/>
  <c r="C146" i="1"/>
  <c r="I145" i="1"/>
  <c r="N144" i="1"/>
  <c r="T143" i="1"/>
  <c r="Z142" i="1"/>
  <c r="D142" i="1"/>
  <c r="J141" i="1"/>
  <c r="P140" i="1"/>
  <c r="U139" i="1"/>
  <c r="AA138" i="1"/>
  <c r="E138" i="1"/>
  <c r="I137" i="1"/>
  <c r="N136" i="1"/>
  <c r="T135" i="1"/>
  <c r="Y134" i="1"/>
  <c r="D134" i="1"/>
  <c r="I133" i="1"/>
  <c r="N132" i="1"/>
  <c r="T131" i="1"/>
  <c r="Z130" i="1"/>
  <c r="D130" i="1"/>
  <c r="G129" i="1"/>
  <c r="K128" i="1"/>
  <c r="N127" i="1"/>
  <c r="S126" i="1"/>
  <c r="Y125" i="1"/>
  <c r="C125" i="1"/>
  <c r="H124" i="1"/>
  <c r="N123" i="1"/>
  <c r="S122" i="1"/>
  <c r="Y121" i="1"/>
  <c r="C121" i="1"/>
  <c r="F120" i="1"/>
  <c r="K119" i="1"/>
  <c r="Q118" i="1"/>
  <c r="U117" i="1"/>
  <c r="AA116" i="1"/>
  <c r="F116" i="1"/>
  <c r="I115" i="1"/>
  <c r="N114" i="1"/>
  <c r="T113" i="1"/>
  <c r="Y112" i="1"/>
  <c r="C112" i="1"/>
  <c r="I111" i="1"/>
  <c r="N110" i="1"/>
  <c r="T109" i="1"/>
  <c r="Z108" i="1"/>
  <c r="F107" i="1"/>
  <c r="K106" i="1"/>
  <c r="P105" i="1"/>
  <c r="S104" i="1"/>
  <c r="Y103" i="1"/>
  <c r="C103" i="1"/>
  <c r="G102" i="1"/>
  <c r="L101" i="1"/>
  <c r="Q100" i="1"/>
  <c r="W99" i="1"/>
  <c r="B99" i="1"/>
  <c r="F98" i="1"/>
  <c r="L97" i="1"/>
  <c r="R96" i="1"/>
  <c r="V95" i="1"/>
  <c r="AA94" i="1"/>
  <c r="F94" i="1"/>
  <c r="H93" i="1"/>
  <c r="M92" i="1"/>
  <c r="O91" i="1"/>
  <c r="S90" i="1"/>
  <c r="Y89" i="1"/>
  <c r="D89" i="1"/>
  <c r="G88" i="1"/>
  <c r="J87" i="1"/>
  <c r="O86" i="1"/>
  <c r="S85" i="1"/>
  <c r="Y84" i="1"/>
  <c r="C84" i="1"/>
  <c r="L83" i="1"/>
  <c r="T82" i="1"/>
  <c r="D82" i="1"/>
  <c r="M81" i="1"/>
  <c r="W80" i="1"/>
  <c r="G80" i="1"/>
  <c r="R79" i="1"/>
  <c r="B79" i="1"/>
  <c r="M78" i="1"/>
  <c r="X77" i="1"/>
  <c r="H77" i="1"/>
  <c r="S76" i="1"/>
  <c r="C76" i="1"/>
  <c r="M75" i="1"/>
  <c r="X74" i="1"/>
  <c r="Y412" i="1"/>
  <c r="I409" i="1"/>
  <c r="Y393" i="1"/>
  <c r="J381" i="1"/>
  <c r="W370" i="1"/>
  <c r="V363" i="1"/>
  <c r="S358" i="1"/>
  <c r="K353" i="1"/>
  <c r="C348" i="1"/>
  <c r="W443" i="1"/>
  <c r="J428" i="1"/>
  <c r="W416" i="1"/>
  <c r="F409" i="1"/>
  <c r="L403" i="1"/>
  <c r="R397" i="1"/>
  <c r="W391" i="1"/>
  <c r="E380" i="1"/>
  <c r="K374" i="1"/>
  <c r="O452" i="1"/>
  <c r="K421" i="1"/>
  <c r="R406" i="1"/>
  <c r="B395" i="1"/>
  <c r="L383" i="1"/>
  <c r="W371" i="1"/>
  <c r="C364" i="1"/>
  <c r="G357" i="1"/>
  <c r="E350" i="1"/>
  <c r="H345" i="1"/>
  <c r="O459" i="1"/>
  <c r="R441" i="1"/>
  <c r="D426" i="1"/>
  <c r="T415" i="1"/>
  <c r="L408" i="1"/>
  <c r="R402" i="1"/>
  <c r="W396" i="1"/>
  <c r="E385" i="1"/>
  <c r="K379" i="1"/>
  <c r="P373" i="1"/>
  <c r="Z368" i="1"/>
  <c r="E365" i="1"/>
  <c r="S361" i="1"/>
  <c r="H358" i="1"/>
  <c r="V354" i="1"/>
  <c r="F351" i="1"/>
  <c r="R347" i="1"/>
  <c r="K344" i="1"/>
  <c r="T341" i="1"/>
  <c r="C339" i="1"/>
  <c r="L336" i="1"/>
  <c r="W333" i="1"/>
  <c r="E331" i="1"/>
  <c r="M328" i="1"/>
  <c r="Y325" i="1"/>
  <c r="F323" i="1"/>
  <c r="O320" i="1"/>
  <c r="W317" i="1"/>
  <c r="B315" i="1"/>
  <c r="I312" i="1"/>
  <c r="N309" i="1"/>
  <c r="C445" i="1"/>
  <c r="O417" i="1"/>
  <c r="Z403" i="1"/>
  <c r="J392" i="1"/>
  <c r="S380" i="1"/>
  <c r="W369" i="1"/>
  <c r="L362" i="1"/>
  <c r="Q355" i="1"/>
  <c r="M348" i="1"/>
  <c r="W342" i="1"/>
  <c r="H339" i="1"/>
  <c r="V335" i="1"/>
  <c r="G332" i="1"/>
  <c r="S328" i="1"/>
  <c r="E325" i="1"/>
  <c r="Q321" i="1"/>
  <c r="B318" i="1"/>
  <c r="J314" i="1"/>
  <c r="R310" i="1"/>
  <c r="L307" i="1"/>
  <c r="T304" i="1"/>
  <c r="C302" i="1"/>
  <c r="P299" i="1"/>
  <c r="Y296" i="1"/>
  <c r="I294" i="1"/>
  <c r="S291" i="1"/>
  <c r="B289" i="1"/>
  <c r="I286" i="1"/>
  <c r="R283" i="1"/>
  <c r="I278" i="1"/>
  <c r="S275" i="1"/>
  <c r="I270" i="1"/>
  <c r="S267" i="1"/>
  <c r="B265" i="1"/>
  <c r="M262" i="1"/>
  <c r="V259" i="1"/>
  <c r="S455" i="1"/>
  <c r="S423" i="1"/>
  <c r="O407" i="1"/>
  <c r="Z395" i="1"/>
  <c r="I384" i="1"/>
  <c r="S372" i="1"/>
  <c r="Q364" i="1"/>
  <c r="T357" i="1"/>
  <c r="R350" i="1"/>
  <c r="I340" i="1"/>
  <c r="W336" i="1"/>
  <c r="H333" i="1"/>
  <c r="T329" i="1"/>
  <c r="G326" i="1"/>
  <c r="R322" i="1"/>
  <c r="D319" i="1"/>
  <c r="M315" i="1"/>
  <c r="T311" i="1"/>
  <c r="E308" i="1"/>
  <c r="O305" i="1"/>
  <c r="Y302" i="1"/>
  <c r="V300" i="1"/>
  <c r="E297" i="1"/>
  <c r="O295" i="1"/>
  <c r="T293" i="1"/>
  <c r="Z291" i="1"/>
  <c r="J290" i="1"/>
  <c r="P288" i="1"/>
  <c r="F287" i="1"/>
  <c r="Y285" i="1"/>
  <c r="Q284" i="1"/>
  <c r="I283" i="1"/>
  <c r="Z281" i="1"/>
  <c r="R280" i="1"/>
  <c r="F279" i="1"/>
  <c r="Y277" i="1"/>
  <c r="Q276" i="1"/>
  <c r="J275" i="1"/>
  <c r="AA273" i="1"/>
  <c r="O272" i="1"/>
  <c r="F271" i="1"/>
  <c r="Y269" i="1"/>
  <c r="R268" i="1"/>
  <c r="J267" i="1"/>
  <c r="AA265" i="1"/>
  <c r="S264" i="1"/>
  <c r="L263" i="1"/>
  <c r="C262" i="1"/>
  <c r="U260" i="1"/>
  <c r="M259" i="1"/>
  <c r="D258" i="1"/>
  <c r="V256" i="1"/>
  <c r="N255" i="1"/>
  <c r="D254" i="1"/>
  <c r="W252" i="1"/>
  <c r="O251" i="1"/>
  <c r="F250" i="1"/>
  <c r="Z248" i="1"/>
  <c r="R247" i="1"/>
  <c r="J246" i="1"/>
  <c r="AA244" i="1"/>
  <c r="S243" i="1"/>
  <c r="K242" i="1"/>
  <c r="S239" i="1"/>
  <c r="L238" i="1"/>
  <c r="C237" i="1"/>
  <c r="U235" i="1"/>
  <c r="M234" i="1"/>
  <c r="C233" i="1"/>
  <c r="U231" i="1"/>
  <c r="M230" i="1"/>
  <c r="C229" i="1"/>
  <c r="V227" i="1"/>
  <c r="L226" i="1"/>
  <c r="C225" i="1"/>
  <c r="U223" i="1"/>
  <c r="K222" i="1"/>
  <c r="R219" i="1"/>
  <c r="H218" i="1"/>
  <c r="Z216" i="1"/>
  <c r="P215" i="1"/>
  <c r="F214" i="1"/>
  <c r="Z212" i="1"/>
  <c r="P211" i="1"/>
  <c r="K210" i="1"/>
  <c r="E209" i="1"/>
  <c r="Z207" i="1"/>
  <c r="S206" i="1"/>
  <c r="N205" i="1"/>
  <c r="I204" i="1"/>
  <c r="D203" i="1"/>
  <c r="Y201" i="1"/>
  <c r="R200" i="1"/>
  <c r="L199" i="1"/>
  <c r="F198" i="1"/>
  <c r="V195" i="1"/>
  <c r="O194" i="1"/>
  <c r="J193" i="1"/>
  <c r="E192" i="1"/>
  <c r="E442" i="1"/>
  <c r="B416" i="1"/>
  <c r="Y402" i="1"/>
  <c r="F391" i="1"/>
  <c r="Q379" i="1"/>
  <c r="C369" i="1"/>
  <c r="W361" i="1"/>
  <c r="AA354" i="1"/>
  <c r="W347" i="1"/>
  <c r="M342" i="1"/>
  <c r="AA338" i="1"/>
  <c r="L335" i="1"/>
  <c r="Z331" i="1"/>
  <c r="J328" i="1"/>
  <c r="W324" i="1"/>
  <c r="H321" i="1"/>
  <c r="T317" i="1"/>
  <c r="AA313" i="1"/>
  <c r="I310" i="1"/>
  <c r="D307" i="1"/>
  <c r="N304" i="1"/>
  <c r="X301" i="1"/>
  <c r="J299" i="1"/>
  <c r="R296" i="1"/>
  <c r="M291" i="1"/>
  <c r="S288" i="1"/>
  <c r="L283" i="1"/>
  <c r="U280" i="1"/>
  <c r="M275" i="1"/>
  <c r="T272" i="1"/>
  <c r="M267" i="1"/>
  <c r="V264" i="1"/>
  <c r="F262" i="1"/>
  <c r="P259" i="1"/>
  <c r="L257" i="1"/>
  <c r="Q255" i="1"/>
  <c r="X253" i="1"/>
  <c r="C252" i="1"/>
  <c r="K250" i="1"/>
  <c r="R248" i="1"/>
  <c r="Y246" i="1"/>
  <c r="C245" i="1"/>
  <c r="V243" i="1"/>
  <c r="T242" i="1"/>
  <c r="Q241" i="1"/>
  <c r="I240" i="1"/>
  <c r="D239" i="1"/>
  <c r="C238" i="1"/>
  <c r="V236" i="1"/>
  <c r="Y235" i="1"/>
  <c r="D234" i="1"/>
  <c r="F233" i="1"/>
  <c r="K232" i="1"/>
  <c r="N231" i="1"/>
  <c r="P230" i="1"/>
  <c r="S229" i="1"/>
  <c r="W228" i="1"/>
  <c r="Z227" i="1"/>
  <c r="D226" i="1"/>
  <c r="F225" i="1"/>
  <c r="J224" i="1"/>
  <c r="M223" i="1"/>
  <c r="N222" i="1"/>
  <c r="P221" i="1"/>
  <c r="T220" i="1"/>
  <c r="U219" i="1"/>
  <c r="W218" i="1"/>
  <c r="AA217" i="1"/>
  <c r="B217" i="1"/>
  <c r="E216" i="1"/>
  <c r="I215" i="1"/>
  <c r="J214" i="1"/>
  <c r="M213" i="1"/>
  <c r="O212" i="1"/>
  <c r="S211" i="1"/>
  <c r="Y210" i="1"/>
  <c r="D210" i="1"/>
  <c r="H209" i="1"/>
  <c r="M208" i="1"/>
  <c r="R207" i="1"/>
  <c r="V206" i="1"/>
  <c r="G205" i="1"/>
  <c r="L204" i="1"/>
  <c r="R203" i="1"/>
  <c r="W202" i="1"/>
  <c r="F201" i="1"/>
  <c r="K200" i="1"/>
  <c r="O199" i="1"/>
  <c r="T198" i="1"/>
  <c r="Z197" i="1"/>
  <c r="D197" i="1"/>
  <c r="I196" i="1"/>
  <c r="O195" i="1"/>
  <c r="R194" i="1"/>
  <c r="X193" i="1"/>
  <c r="C193" i="1"/>
  <c r="H192" i="1"/>
  <c r="N191" i="1"/>
  <c r="Y190" i="1"/>
  <c r="I190" i="1"/>
  <c r="T189" i="1"/>
  <c r="D189" i="1"/>
  <c r="O188" i="1"/>
  <c r="Z187" i="1"/>
  <c r="J187" i="1"/>
  <c r="T186" i="1"/>
  <c r="D186" i="1"/>
  <c r="O185" i="1"/>
  <c r="Z184" i="1"/>
  <c r="J184" i="1"/>
  <c r="U183" i="1"/>
  <c r="E183" i="1"/>
  <c r="O182" i="1"/>
  <c r="Z181" i="1"/>
  <c r="J181" i="1"/>
  <c r="U180" i="1"/>
  <c r="O430" i="1"/>
  <c r="Z417" i="1"/>
  <c r="E410" i="1"/>
  <c r="F404" i="1"/>
  <c r="M398" i="1"/>
  <c r="R392" i="1"/>
  <c r="W386" i="1"/>
  <c r="E375" i="1"/>
  <c r="F366" i="1"/>
  <c r="Q362" i="1"/>
  <c r="H359" i="1"/>
  <c r="V355" i="1"/>
  <c r="F352" i="1"/>
  <c r="R348" i="1"/>
  <c r="D345" i="1"/>
  <c r="Y342" i="1"/>
  <c r="D341" i="1"/>
  <c r="I339" i="1"/>
  <c r="P337" i="1"/>
  <c r="X335" i="1"/>
  <c r="C334" i="1"/>
  <c r="H332" i="1"/>
  <c r="O330" i="1"/>
  <c r="T328" i="1"/>
  <c r="AA326" i="1"/>
  <c r="G325" i="1"/>
  <c r="L323" i="1"/>
  <c r="R321" i="1"/>
  <c r="AA319" i="1"/>
  <c r="C318" i="1"/>
  <c r="F316" i="1"/>
  <c r="L314" i="1"/>
  <c r="O312" i="1"/>
  <c r="S310" i="1"/>
  <c r="W308" i="1"/>
  <c r="M307" i="1"/>
  <c r="C306" i="1"/>
  <c r="U304" i="1"/>
  <c r="N303" i="1"/>
  <c r="D302" i="1"/>
  <c r="X300" i="1"/>
  <c r="Q299" i="1"/>
  <c r="I298" i="1"/>
  <c r="Z296" i="1"/>
  <c r="Q295" i="1"/>
  <c r="J294" i="1"/>
  <c r="AA292" i="1"/>
  <c r="T291" i="1"/>
  <c r="L290" i="1"/>
  <c r="C289" i="1"/>
  <c r="R287" i="1"/>
  <c r="J286" i="1"/>
  <c r="AA284" i="1"/>
  <c r="S283" i="1"/>
  <c r="K282" i="1"/>
  <c r="B281" i="1"/>
  <c r="R279" i="1"/>
  <c r="J278" i="1"/>
  <c r="T275" i="1"/>
  <c r="L274" i="1"/>
  <c r="B273" i="1"/>
  <c r="Q271" i="1"/>
  <c r="J270" i="1"/>
  <c r="T267" i="1"/>
  <c r="L266" i="1"/>
  <c r="C265" i="1"/>
  <c r="V263" i="1"/>
  <c r="N262" i="1"/>
  <c r="E261" i="1"/>
  <c r="W259" i="1"/>
  <c r="P258" i="1"/>
  <c r="P257" i="1"/>
  <c r="S256" i="1"/>
  <c r="U255" i="1"/>
  <c r="Y254" i="1"/>
  <c r="D253" i="1"/>
  <c r="I252" i="1"/>
  <c r="L251" i="1"/>
  <c r="O250" i="1"/>
  <c r="S249" i="1"/>
  <c r="W248" i="1"/>
  <c r="Y247" i="1"/>
  <c r="B247" i="1"/>
  <c r="E246" i="1"/>
  <c r="B457" i="1"/>
  <c r="F440" i="1"/>
  <c r="T424" i="1"/>
  <c r="C415" i="1"/>
  <c r="Z407" i="1"/>
  <c r="D402" i="1"/>
  <c r="J396" i="1"/>
  <c r="O390" i="1"/>
  <c r="S384" i="1"/>
  <c r="Y378" i="1"/>
  <c r="B373" i="1"/>
  <c r="Q368" i="1"/>
  <c r="Y364" i="1"/>
  <c r="L361" i="1"/>
  <c r="M354" i="1"/>
  <c r="AA350" i="1"/>
  <c r="J347" i="1"/>
  <c r="F344" i="1"/>
  <c r="H342" i="1"/>
  <c r="M340" i="1"/>
  <c r="T338" i="1"/>
  <c r="G335" i="1"/>
  <c r="L333" i="1"/>
  <c r="S331" i="1"/>
  <c r="Z329" i="1"/>
  <c r="D328" i="1"/>
  <c r="K326" i="1"/>
  <c r="Q324" i="1"/>
  <c r="W322" i="1"/>
  <c r="C321" i="1"/>
  <c r="Z418" i="1"/>
  <c r="K393" i="1"/>
  <c r="O370" i="1"/>
  <c r="F356" i="1"/>
  <c r="D343" i="1"/>
  <c r="B336" i="1"/>
  <c r="AA328" i="1"/>
  <c r="Z321" i="1"/>
  <c r="Y317" i="1"/>
  <c r="D314" i="1"/>
  <c r="M310" i="1"/>
  <c r="I307" i="1"/>
  <c r="Q304" i="1"/>
  <c r="AA301" i="1"/>
  <c r="M299" i="1"/>
  <c r="U296" i="1"/>
  <c r="D294" i="1"/>
  <c r="P291" i="1"/>
  <c r="Z288" i="1"/>
  <c r="D286" i="1"/>
  <c r="O283" i="1"/>
  <c r="Y280" i="1"/>
  <c r="D278" i="1"/>
  <c r="P275" i="1"/>
  <c r="W272" i="1"/>
  <c r="D270" i="1"/>
  <c r="P267" i="1"/>
  <c r="Z264" i="1"/>
  <c r="J262" i="1"/>
  <c r="S259" i="1"/>
  <c r="M257" i="1"/>
  <c r="S255" i="1"/>
  <c r="Y253" i="1"/>
  <c r="D252" i="1"/>
  <c r="M250" i="1"/>
  <c r="S248" i="1"/>
  <c r="Z246" i="1"/>
  <c r="L245" i="1"/>
  <c r="E244" i="1"/>
  <c r="B243" i="1"/>
  <c r="Y241" i="1"/>
  <c r="R240" i="1"/>
  <c r="N239" i="1"/>
  <c r="K238" i="1"/>
  <c r="E237" i="1"/>
  <c r="W234" i="1"/>
  <c r="R233" i="1"/>
  <c r="N232" i="1"/>
  <c r="J231" i="1"/>
  <c r="B230" i="1"/>
  <c r="Z228" i="1"/>
  <c r="U227" i="1"/>
  <c r="N226" i="1"/>
  <c r="J225" i="1"/>
  <c r="E224" i="1"/>
  <c r="Z222" i="1"/>
  <c r="T221" i="1"/>
  <c r="O220" i="1"/>
  <c r="F219" i="1"/>
  <c r="B218" i="1"/>
  <c r="Y216" i="1"/>
  <c r="S215" i="1"/>
  <c r="M214" i="1"/>
  <c r="I213" i="1"/>
  <c r="C212" i="1"/>
  <c r="AA209" i="1"/>
  <c r="V208" i="1"/>
  <c r="T207" i="1"/>
  <c r="R206" i="1"/>
  <c r="P205" i="1"/>
  <c r="O204" i="1"/>
  <c r="N203" i="1"/>
  <c r="K202" i="1"/>
  <c r="I201" i="1"/>
  <c r="G200" i="1"/>
  <c r="C199" i="1"/>
  <c r="AA196" i="1"/>
  <c r="X195" i="1"/>
  <c r="W194" i="1"/>
  <c r="T193" i="1"/>
  <c r="R192" i="1"/>
  <c r="P191" i="1"/>
  <c r="V190" i="1"/>
  <c r="AA189" i="1"/>
  <c r="F189" i="1"/>
  <c r="L188" i="1"/>
  <c r="Q187" i="1"/>
  <c r="V186" i="1"/>
  <c r="F185" i="1"/>
  <c r="L184" i="1"/>
  <c r="R183" i="1"/>
  <c r="W182" i="1"/>
  <c r="G181" i="1"/>
  <c r="L180" i="1"/>
  <c r="T179" i="1"/>
  <c r="D179" i="1"/>
  <c r="N178" i="1"/>
  <c r="Y177" i="1"/>
  <c r="I177" i="1"/>
  <c r="S176" i="1"/>
  <c r="C176" i="1"/>
  <c r="K175" i="1"/>
  <c r="U174" i="1"/>
  <c r="E174" i="1"/>
  <c r="N173" i="1"/>
  <c r="Y172" i="1"/>
  <c r="F172" i="1"/>
  <c r="P171" i="1"/>
  <c r="AA170" i="1"/>
  <c r="K170" i="1"/>
  <c r="T169" i="1"/>
  <c r="D169" i="1"/>
  <c r="N168" i="1"/>
  <c r="Y167" i="1"/>
  <c r="H167" i="1"/>
  <c r="O166" i="1"/>
  <c r="Z165" i="1"/>
  <c r="I165" i="1"/>
  <c r="S164" i="1"/>
  <c r="B164" i="1"/>
  <c r="L163" i="1"/>
  <c r="W162" i="1"/>
  <c r="G162" i="1"/>
  <c r="R161" i="1"/>
  <c r="B161" i="1"/>
  <c r="L160" i="1"/>
  <c r="V159" i="1"/>
  <c r="F159" i="1"/>
  <c r="P158" i="1"/>
  <c r="AA157" i="1"/>
  <c r="J157" i="1"/>
  <c r="S156" i="1"/>
  <c r="C156" i="1"/>
  <c r="N155" i="1"/>
  <c r="Y154" i="1"/>
  <c r="I154" i="1"/>
  <c r="S153" i="1"/>
  <c r="C153" i="1"/>
  <c r="N152" i="1"/>
  <c r="Y151" i="1"/>
  <c r="I151" i="1"/>
  <c r="Q150" i="1"/>
  <c r="J149" i="1"/>
  <c r="T148" i="1"/>
  <c r="D148" i="1"/>
  <c r="O147" i="1"/>
  <c r="Z146" i="1"/>
  <c r="I146" i="1"/>
  <c r="T145" i="1"/>
  <c r="D145" i="1"/>
  <c r="O144" i="1"/>
  <c r="Z143" i="1"/>
  <c r="J143" i="1"/>
  <c r="U142" i="1"/>
  <c r="E142" i="1"/>
  <c r="P141" i="1"/>
  <c r="AA140" i="1"/>
  <c r="K140" i="1"/>
  <c r="V139" i="1"/>
  <c r="F139" i="1"/>
  <c r="P138" i="1"/>
  <c r="AA137" i="1"/>
  <c r="J137" i="1"/>
  <c r="T136" i="1"/>
  <c r="D136" i="1"/>
  <c r="O135" i="1"/>
  <c r="Z134" i="1"/>
  <c r="J134" i="1"/>
  <c r="T133" i="1"/>
  <c r="D133" i="1"/>
  <c r="O132" i="1"/>
  <c r="Z131" i="1"/>
  <c r="J131" i="1"/>
  <c r="U130" i="1"/>
  <c r="E130" i="1"/>
  <c r="M129" i="1"/>
  <c r="X128" i="1"/>
  <c r="F128" i="1"/>
  <c r="O127" i="1"/>
  <c r="Z126" i="1"/>
  <c r="I126" i="1"/>
  <c r="T125" i="1"/>
  <c r="D125" i="1"/>
  <c r="N124" i="1"/>
  <c r="Y123" i="1"/>
  <c r="I123" i="1"/>
  <c r="T122" i="1"/>
  <c r="D122" i="1"/>
  <c r="N121" i="1"/>
  <c r="Y120" i="1"/>
  <c r="G120" i="1"/>
  <c r="Q119" i="1"/>
  <c r="L118" i="1"/>
  <c r="V117" i="1"/>
  <c r="F117" i="1"/>
  <c r="Q116" i="1"/>
  <c r="J115" i="1"/>
  <c r="T114" i="1"/>
  <c r="D114" i="1"/>
  <c r="O113" i="1"/>
  <c r="Z112" i="1"/>
  <c r="I112" i="1"/>
  <c r="T111" i="1"/>
  <c r="D111" i="1"/>
  <c r="O110" i="1"/>
  <c r="Z109" i="1"/>
  <c r="J109" i="1"/>
  <c r="R108" i="1"/>
  <c r="B108" i="1"/>
  <c r="L107" i="1"/>
  <c r="V106" i="1"/>
  <c r="F106" i="1"/>
  <c r="Q105" i="1"/>
  <c r="I104" i="1"/>
  <c r="T103" i="1"/>
  <c r="D103" i="1"/>
  <c r="M102" i="1"/>
  <c r="W101" i="1"/>
  <c r="G101" i="1"/>
  <c r="R100" i="1"/>
  <c r="B100" i="1"/>
  <c r="M99" i="1"/>
  <c r="W98" i="1"/>
  <c r="G98" i="1"/>
  <c r="R97" i="1"/>
  <c r="B97" i="1"/>
  <c r="M96" i="1"/>
  <c r="W95" i="1"/>
  <c r="F95" i="1"/>
  <c r="Q94" i="1"/>
  <c r="I93" i="1"/>
  <c r="S92" i="1"/>
  <c r="C92" i="1"/>
  <c r="J91" i="1"/>
  <c r="T90" i="1"/>
  <c r="D90" i="1"/>
  <c r="O89" i="1"/>
  <c r="Z88" i="1"/>
  <c r="H88" i="1"/>
  <c r="P87" i="1"/>
  <c r="AA86" i="1"/>
  <c r="J86" i="1"/>
  <c r="T85" i="1"/>
  <c r="D85" i="1"/>
  <c r="N84" i="1"/>
  <c r="J409" i="1"/>
  <c r="C386" i="1"/>
  <c r="U365" i="1"/>
  <c r="V351" i="1"/>
  <c r="Y340" i="1"/>
  <c r="Y333" i="1"/>
  <c r="V326" i="1"/>
  <c r="E320" i="1"/>
  <c r="O316" i="1"/>
  <c r="W312" i="1"/>
  <c r="C309" i="1"/>
  <c r="J306" i="1"/>
  <c r="S303" i="1"/>
  <c r="B301" i="1"/>
  <c r="N298" i="1"/>
  <c r="V295" i="1"/>
  <c r="E293" i="1"/>
  <c r="Q290" i="1"/>
  <c r="W287" i="1"/>
  <c r="E285" i="1"/>
  <c r="P282" i="1"/>
  <c r="Z279" i="1"/>
  <c r="F277" i="1"/>
  <c r="Q274" i="1"/>
  <c r="V271" i="1"/>
  <c r="F269" i="1"/>
  <c r="Q266" i="1"/>
  <c r="AA263" i="1"/>
  <c r="L261" i="1"/>
  <c r="U258" i="1"/>
  <c r="W256" i="1"/>
  <c r="B255" i="1"/>
  <c r="J253" i="1"/>
  <c r="P251" i="1"/>
  <c r="W249" i="1"/>
  <c r="B248" i="1"/>
  <c r="K246" i="1"/>
  <c r="X243" i="1"/>
  <c r="R242" i="1"/>
  <c r="N241" i="1"/>
  <c r="J240" i="1"/>
  <c r="C239" i="1"/>
  <c r="AA237" i="1"/>
  <c r="W236" i="1"/>
  <c r="R235" i="1"/>
  <c r="N234" i="1"/>
  <c r="J233" i="1"/>
  <c r="B232" i="1"/>
  <c r="Y230" i="1"/>
  <c r="T229" i="1"/>
  <c r="O228" i="1"/>
  <c r="K227" i="1"/>
  <c r="E226" i="1"/>
  <c r="AA224" i="1"/>
  <c r="V223" i="1"/>
  <c r="P222" i="1"/>
  <c r="I221" i="1"/>
  <c r="C220" i="1"/>
  <c r="Y218" i="1"/>
  <c r="S217" i="1"/>
  <c r="N216" i="1"/>
  <c r="J215" i="1"/>
  <c r="C214" i="1"/>
  <c r="AA212" i="1"/>
  <c r="U211" i="1"/>
  <c r="R210" i="1"/>
  <c r="P209" i="1"/>
  <c r="N208" i="1"/>
  <c r="K207" i="1"/>
  <c r="I206" i="1"/>
  <c r="H205" i="1"/>
  <c r="F204" i="1"/>
  <c r="E203" i="1"/>
  <c r="C202" i="1"/>
  <c r="Z200" i="1"/>
  <c r="X199" i="1"/>
  <c r="U198" i="1"/>
  <c r="S197" i="1"/>
  <c r="Q196" i="1"/>
  <c r="P195" i="1"/>
  <c r="L194" i="1"/>
  <c r="K193" i="1"/>
  <c r="J192" i="1"/>
  <c r="I191" i="1"/>
  <c r="O190" i="1"/>
  <c r="U189" i="1"/>
  <c r="Z188" i="1"/>
  <c r="E188" i="1"/>
  <c r="K187" i="1"/>
  <c r="O186" i="1"/>
  <c r="U185" i="1"/>
  <c r="AA184" i="1"/>
  <c r="E184" i="1"/>
  <c r="K183" i="1"/>
  <c r="P182" i="1"/>
  <c r="U181" i="1"/>
  <c r="AA180" i="1"/>
  <c r="G180" i="1"/>
  <c r="O179" i="1"/>
  <c r="Z178" i="1"/>
  <c r="I178" i="1"/>
  <c r="T177" i="1"/>
  <c r="D177" i="1"/>
  <c r="N176" i="1"/>
  <c r="Y175" i="1"/>
  <c r="F175" i="1"/>
  <c r="P174" i="1"/>
  <c r="AA173" i="1"/>
  <c r="I173" i="1"/>
  <c r="Q172" i="1"/>
  <c r="K171" i="1"/>
  <c r="V170" i="1"/>
  <c r="F170" i="1"/>
  <c r="O169" i="1"/>
  <c r="Z168" i="1"/>
  <c r="I168" i="1"/>
  <c r="S167" i="1"/>
  <c r="B167" i="1"/>
  <c r="J166" i="1"/>
  <c r="T165" i="1"/>
  <c r="D165" i="1"/>
  <c r="M164" i="1"/>
  <c r="W163" i="1"/>
  <c r="G163" i="1"/>
  <c r="R162" i="1"/>
  <c r="B162" i="1"/>
  <c r="M161" i="1"/>
  <c r="W160" i="1"/>
  <c r="G160" i="1"/>
  <c r="Q159" i="1"/>
  <c r="K158" i="1"/>
  <c r="U157" i="1"/>
  <c r="E157" i="1"/>
  <c r="N156" i="1"/>
  <c r="Y155" i="1"/>
  <c r="I155" i="1"/>
  <c r="T154" i="1"/>
  <c r="D154" i="1"/>
  <c r="N153" i="1"/>
  <c r="Y152" i="1"/>
  <c r="I152" i="1"/>
  <c r="I396" i="1"/>
  <c r="AA357" i="1"/>
  <c r="Z336" i="1"/>
  <c r="V322" i="1"/>
  <c r="R314" i="1"/>
  <c r="Q307" i="1"/>
  <c r="J302" i="1"/>
  <c r="C297" i="1"/>
  <c r="X291" i="1"/>
  <c r="N286" i="1"/>
  <c r="F281" i="1"/>
  <c r="X275" i="1"/>
  <c r="N270" i="1"/>
  <c r="I265" i="1"/>
  <c r="Y255" i="1"/>
  <c r="L252" i="1"/>
  <c r="Y248" i="1"/>
  <c r="O245" i="1"/>
  <c r="F243" i="1"/>
  <c r="V240" i="1"/>
  <c r="N238" i="1"/>
  <c r="E236" i="1"/>
  <c r="V233" i="1"/>
  <c r="L231" i="1"/>
  <c r="B229" i="1"/>
  <c r="S226" i="1"/>
  <c r="I224" i="1"/>
  <c r="Y221" i="1"/>
  <c r="L219" i="1"/>
  <c r="R214" i="1"/>
  <c r="G212" i="1"/>
  <c r="B210" i="1"/>
  <c r="Y207" i="1"/>
  <c r="T205" i="1"/>
  <c r="Q203" i="1"/>
  <c r="M201" i="1"/>
  <c r="G199" i="1"/>
  <c r="C197" i="1"/>
  <c r="AA194" i="1"/>
  <c r="V192" i="1"/>
  <c r="X190" i="1"/>
  <c r="I189" i="1"/>
  <c r="T187" i="1"/>
  <c r="C186" i="1"/>
  <c r="O184" i="1"/>
  <c r="Z182" i="1"/>
  <c r="I181" i="1"/>
  <c r="Y179" i="1"/>
  <c r="P178" i="1"/>
  <c r="K177" i="1"/>
  <c r="E176" i="1"/>
  <c r="W174" i="1"/>
  <c r="P173" i="1"/>
  <c r="H172" i="1"/>
  <c r="B171" i="1"/>
  <c r="X169" i="1"/>
  <c r="P168" i="1"/>
  <c r="J167" i="1"/>
  <c r="U164" i="1"/>
  <c r="N163" i="1"/>
  <c r="I162" i="1"/>
  <c r="D161" i="1"/>
  <c r="Y159" i="1"/>
  <c r="R158" i="1"/>
  <c r="L157" i="1"/>
  <c r="E156" i="1"/>
  <c r="AA154" i="1"/>
  <c r="U153" i="1"/>
  <c r="P152" i="1"/>
  <c r="S151" i="1"/>
  <c r="Y150" i="1"/>
  <c r="AA149" i="1"/>
  <c r="D149" i="1"/>
  <c r="I148" i="1"/>
  <c r="N147" i="1"/>
  <c r="S146" i="1"/>
  <c r="Y145" i="1"/>
  <c r="C145" i="1"/>
  <c r="I144" i="1"/>
  <c r="O143" i="1"/>
  <c r="T142" i="1"/>
  <c r="Z141" i="1"/>
  <c r="E141" i="1"/>
  <c r="J140" i="1"/>
  <c r="P139" i="1"/>
  <c r="U138" i="1"/>
  <c r="Z137" i="1"/>
  <c r="D137" i="1"/>
  <c r="I136" i="1"/>
  <c r="N135" i="1"/>
  <c r="T134" i="1"/>
  <c r="Z133" i="1"/>
  <c r="C133" i="1"/>
  <c r="I132" i="1"/>
  <c r="O131" i="1"/>
  <c r="T130" i="1"/>
  <c r="Z129" i="1"/>
  <c r="B129" i="1"/>
  <c r="E128" i="1"/>
  <c r="I127" i="1"/>
  <c r="N126" i="1"/>
  <c r="S125" i="1"/>
  <c r="Y124" i="1"/>
  <c r="C124" i="1"/>
  <c r="H123" i="1"/>
  <c r="N122" i="1"/>
  <c r="S121" i="1"/>
  <c r="X120" i="1"/>
  <c r="F119" i="1"/>
  <c r="K118" i="1"/>
  <c r="P117" i="1"/>
  <c r="V116" i="1"/>
  <c r="AA115" i="1"/>
  <c r="D115" i="1"/>
  <c r="I114" i="1"/>
  <c r="N113" i="1"/>
  <c r="S112" i="1"/>
  <c r="Y111" i="1"/>
  <c r="C111" i="1"/>
  <c r="I110" i="1"/>
  <c r="O109" i="1"/>
  <c r="Q108" i="1"/>
  <c r="V107" i="1"/>
  <c r="E106" i="1"/>
  <c r="K105" i="1"/>
  <c r="N104" i="1"/>
  <c r="S103" i="1"/>
  <c r="Y102" i="1"/>
  <c r="B102" i="1"/>
  <c r="F101" i="1"/>
  <c r="L100" i="1"/>
  <c r="R99" i="1"/>
  <c r="V98" i="1"/>
  <c r="G97" i="1"/>
  <c r="L96" i="1"/>
  <c r="P95" i="1"/>
  <c r="V94" i="1"/>
  <c r="AA93" i="1"/>
  <c r="C93" i="1"/>
  <c r="H92" i="1"/>
  <c r="I91" i="1"/>
  <c r="N90" i="1"/>
  <c r="T89" i="1"/>
  <c r="Y88" i="1"/>
  <c r="B88" i="1"/>
  <c r="E87" i="1"/>
  <c r="I86" i="1"/>
  <c r="N85" i="1"/>
  <c r="S84" i="1"/>
  <c r="Y83" i="1"/>
  <c r="H83" i="1"/>
  <c r="P82" i="1"/>
  <c r="AA81" i="1"/>
  <c r="I81" i="1"/>
  <c r="S80" i="1"/>
  <c r="C80" i="1"/>
  <c r="N79" i="1"/>
  <c r="Y78" i="1"/>
  <c r="I78" i="1"/>
  <c r="T77" i="1"/>
  <c r="D77" i="1"/>
  <c r="O76" i="1"/>
  <c r="Z75" i="1"/>
  <c r="I75" i="1"/>
  <c r="R74" i="1"/>
  <c r="I433" i="1"/>
  <c r="L402" i="1"/>
  <c r="L376" i="1"/>
  <c r="K361" i="1"/>
  <c r="Z350" i="1"/>
  <c r="C452" i="1"/>
  <c r="D421" i="1"/>
  <c r="O406" i="1"/>
  <c r="Z394" i="1"/>
  <c r="I383" i="1"/>
  <c r="S371" i="1"/>
  <c r="Y413" i="1"/>
  <c r="Q389" i="1"/>
  <c r="AA353" i="1"/>
  <c r="V343" i="1"/>
  <c r="Y434" i="1"/>
  <c r="K412" i="1"/>
  <c r="C400" i="1"/>
  <c r="M388" i="1"/>
  <c r="W376" i="1"/>
  <c r="I367" i="1"/>
  <c r="F360" i="1"/>
  <c r="F353" i="1"/>
  <c r="D346" i="1"/>
  <c r="P340" i="1"/>
  <c r="I335" i="1"/>
  <c r="S324" i="1"/>
  <c r="L319" i="1"/>
  <c r="W313" i="1"/>
  <c r="T410" i="1"/>
  <c r="F387" i="1"/>
  <c r="O366" i="1"/>
  <c r="M352" i="1"/>
  <c r="H341" i="1"/>
  <c r="G334" i="1"/>
  <c r="D327" i="1"/>
  <c r="C320" i="1"/>
  <c r="T312" i="1"/>
  <c r="F306" i="1"/>
  <c r="AA300" i="1"/>
  <c r="T295" i="1"/>
  <c r="O290" i="1"/>
  <c r="C285" i="1"/>
  <c r="X279" i="1"/>
  <c r="O274" i="1"/>
  <c r="D269" i="1"/>
  <c r="Y263" i="1"/>
  <c r="S258" i="1"/>
  <c r="O415" i="1"/>
  <c r="W390" i="1"/>
  <c r="V368" i="1"/>
  <c r="R354" i="1"/>
  <c r="I342" i="1"/>
  <c r="H335" i="1"/>
  <c r="F328" i="1"/>
  <c r="D321" i="1"/>
  <c r="V313" i="1"/>
  <c r="U301" i="1"/>
  <c r="K298" i="1"/>
  <c r="X294" i="1"/>
  <c r="J291" i="1"/>
  <c r="B288" i="1"/>
  <c r="L285" i="1"/>
  <c r="U282" i="1"/>
  <c r="D280" i="1"/>
  <c r="M277" i="1"/>
  <c r="V274" i="1"/>
  <c r="M269" i="1"/>
  <c r="V266" i="1"/>
  <c r="E264" i="1"/>
  <c r="Q261" i="1"/>
  <c r="Z258" i="1"/>
  <c r="J256" i="1"/>
  <c r="S253" i="1"/>
  <c r="M248" i="1"/>
  <c r="V245" i="1"/>
  <c r="E243" i="1"/>
  <c r="O240" i="1"/>
  <c r="Y237" i="1"/>
  <c r="I235" i="1"/>
  <c r="Q232" i="1"/>
  <c r="Z229" i="1"/>
  <c r="I227" i="1"/>
  <c r="P224" i="1"/>
  <c r="W221" i="1"/>
  <c r="C219" i="1"/>
  <c r="L216" i="1"/>
  <c r="S213" i="1"/>
  <c r="D211" i="1"/>
  <c r="S208" i="1"/>
  <c r="G206" i="1"/>
  <c r="X203" i="1"/>
  <c r="L201" i="1"/>
  <c r="AA198" i="1"/>
  <c r="O196" i="1"/>
  <c r="C194" i="1"/>
  <c r="F410" i="1"/>
  <c r="Y386" i="1"/>
  <c r="I366" i="1"/>
  <c r="H352" i="1"/>
  <c r="E341" i="1"/>
  <c r="D334" i="1"/>
  <c r="B327" i="1"/>
  <c r="P312" i="1"/>
  <c r="D306" i="1"/>
  <c r="Y300" i="1"/>
  <c r="R295" i="1"/>
  <c r="M290" i="1"/>
  <c r="S279" i="1"/>
  <c r="M274" i="1"/>
  <c r="B269" i="1"/>
  <c r="W263" i="1"/>
  <c r="Q258" i="1"/>
  <c r="Z254" i="1"/>
  <c r="M251" i="1"/>
  <c r="AA247" i="1"/>
  <c r="S244" i="1"/>
  <c r="N242" i="1"/>
  <c r="B240" i="1"/>
  <c r="S237" i="1"/>
  <c r="S235" i="1"/>
  <c r="Y233" i="1"/>
  <c r="D232" i="1"/>
  <c r="K230" i="1"/>
  <c r="P228" i="1"/>
  <c r="V226" i="1"/>
  <c r="E223" i="1"/>
  <c r="K221" i="1"/>
  <c r="O219" i="1"/>
  <c r="T217" i="1"/>
  <c r="AA215" i="1"/>
  <c r="D214" i="1"/>
  <c r="I212" i="1"/>
  <c r="T210" i="1"/>
  <c r="C209" i="1"/>
  <c r="L207" i="1"/>
  <c r="W205" i="1"/>
  <c r="G204" i="1"/>
  <c r="Q202" i="1"/>
  <c r="J199" i="1"/>
  <c r="T197" i="1"/>
  <c r="D196" i="1"/>
  <c r="M194" i="1"/>
  <c r="X192" i="1"/>
  <c r="J191" i="1"/>
  <c r="E190" i="1"/>
  <c r="AA188" i="1"/>
  <c r="V187" i="1"/>
  <c r="P186" i="1"/>
  <c r="K185" i="1"/>
  <c r="F184" i="1"/>
  <c r="V181" i="1"/>
  <c r="Q180" i="1"/>
  <c r="D442" i="1"/>
  <c r="W402" i="1"/>
  <c r="E391" i="1"/>
  <c r="P379" i="1"/>
  <c r="B369" i="1"/>
  <c r="V361" i="1"/>
  <c r="Y354" i="1"/>
  <c r="V347" i="1"/>
  <c r="L342" i="1"/>
  <c r="Y338" i="1"/>
  <c r="K335" i="1"/>
  <c r="Y331" i="1"/>
  <c r="H328" i="1"/>
  <c r="V324" i="1"/>
  <c r="G321" i="1"/>
  <c r="R317" i="1"/>
  <c r="Z313" i="1"/>
  <c r="F310" i="1"/>
  <c r="C307" i="1"/>
  <c r="M304" i="1"/>
  <c r="W301" i="1"/>
  <c r="I299" i="1"/>
  <c r="Q296" i="1"/>
  <c r="AA293" i="1"/>
  <c r="L291" i="1"/>
  <c r="R288" i="1"/>
  <c r="AA285" i="1"/>
  <c r="K283" i="1"/>
  <c r="T280" i="1"/>
  <c r="AA277" i="1"/>
  <c r="L275" i="1"/>
  <c r="S272" i="1"/>
  <c r="AA269" i="1"/>
  <c r="L267" i="1"/>
  <c r="U264" i="1"/>
  <c r="E262" i="1"/>
  <c r="O259" i="1"/>
  <c r="K257" i="1"/>
  <c r="P255" i="1"/>
  <c r="V253" i="1"/>
  <c r="B252" i="1"/>
  <c r="J250" i="1"/>
  <c r="P248" i="1"/>
  <c r="W246" i="1"/>
  <c r="Y451" i="1"/>
  <c r="M406" i="1"/>
  <c r="Y394" i="1"/>
  <c r="F383" i="1"/>
  <c r="R371" i="1"/>
  <c r="D357" i="1"/>
  <c r="B350" i="1"/>
  <c r="Q343" i="1"/>
  <c r="B340" i="1"/>
  <c r="O336" i="1"/>
  <c r="B333" i="1"/>
  <c r="L329" i="1"/>
  <c r="AA325" i="1"/>
  <c r="K322" i="1"/>
  <c r="D411" i="1"/>
  <c r="S366" i="1"/>
  <c r="I341" i="1"/>
  <c r="F327" i="1"/>
  <c r="Z316" i="1"/>
  <c r="O309" i="1"/>
  <c r="AA303" i="1"/>
  <c r="U298" i="1"/>
  <c r="N293" i="1"/>
  <c r="D288" i="1"/>
  <c r="W282" i="1"/>
  <c r="O277" i="1"/>
  <c r="C272" i="1"/>
  <c r="Y266" i="1"/>
  <c r="S261" i="1"/>
  <c r="N253" i="1"/>
  <c r="AA249" i="1"/>
  <c r="O246" i="1"/>
  <c r="Y243" i="1"/>
  <c r="P241" i="1"/>
  <c r="F239" i="1"/>
  <c r="Y236" i="1"/>
  <c r="O234" i="1"/>
  <c r="E232" i="1"/>
  <c r="W229" i="1"/>
  <c r="L227" i="1"/>
  <c r="B225" i="1"/>
  <c r="R222" i="1"/>
  <c r="E220" i="1"/>
  <c r="V217" i="1"/>
  <c r="K215" i="1"/>
  <c r="U210" i="1"/>
  <c r="P208" i="1"/>
  <c r="J206" i="1"/>
  <c r="H204" i="1"/>
  <c r="D202" i="1"/>
  <c r="Z199" i="1"/>
  <c r="V197" i="1"/>
  <c r="Q195" i="1"/>
  <c r="L193" i="1"/>
  <c r="K191" i="1"/>
  <c r="V189" i="1"/>
  <c r="F188" i="1"/>
  <c r="Q186" i="1"/>
  <c r="L183" i="1"/>
  <c r="W181" i="1"/>
  <c r="H180" i="1"/>
  <c r="AA178" i="1"/>
  <c r="U177" i="1"/>
  <c r="O176" i="1"/>
  <c r="G175" i="1"/>
  <c r="R172" i="1"/>
  <c r="L171" i="1"/>
  <c r="G170" i="1"/>
  <c r="AA168" i="1"/>
  <c r="T167" i="1"/>
  <c r="K166" i="1"/>
  <c r="E165" i="1"/>
  <c r="Y163" i="1"/>
  <c r="S162" i="1"/>
  <c r="N161" i="1"/>
  <c r="H160" i="1"/>
  <c r="B159" i="1"/>
  <c r="V157" i="1"/>
  <c r="O156" i="1"/>
  <c r="J155" i="1"/>
  <c r="E154" i="1"/>
  <c r="Z152" i="1"/>
  <c r="U151" i="1"/>
  <c r="M150" i="1"/>
  <c r="F149" i="1"/>
  <c r="AA147" i="1"/>
  <c r="U146" i="1"/>
  <c r="P145" i="1"/>
  <c r="K144" i="1"/>
  <c r="F143" i="1"/>
  <c r="W140" i="1"/>
  <c r="R139" i="1"/>
  <c r="L138" i="1"/>
  <c r="F137" i="1"/>
  <c r="AA135" i="1"/>
  <c r="V134" i="1"/>
  <c r="P133" i="1"/>
  <c r="K132" i="1"/>
  <c r="F131" i="1"/>
  <c r="R128" i="1"/>
  <c r="K127" i="1"/>
  <c r="E126" i="1"/>
  <c r="AA124" i="1"/>
  <c r="U123" i="1"/>
  <c r="P122" i="1"/>
  <c r="J121" i="1"/>
  <c r="C120" i="1"/>
  <c r="X118" i="1"/>
  <c r="R117" i="1"/>
  <c r="M116" i="1"/>
  <c r="F115" i="1"/>
  <c r="AA113" i="1"/>
  <c r="U112" i="1"/>
  <c r="P111" i="1"/>
  <c r="K110" i="1"/>
  <c r="F109" i="1"/>
  <c r="Y107" i="1"/>
  <c r="R106" i="1"/>
  <c r="M105" i="1"/>
  <c r="E104" i="1"/>
  <c r="AA102" i="1"/>
  <c r="S101" i="1"/>
  <c r="N100" i="1"/>
  <c r="I99" i="1"/>
  <c r="C98" i="1"/>
  <c r="Y96" i="1"/>
  <c r="S95" i="1"/>
  <c r="M94" i="1"/>
  <c r="E93" i="1"/>
  <c r="Z91" i="1"/>
  <c r="P90" i="1"/>
  <c r="K89" i="1"/>
  <c r="D88" i="1"/>
  <c r="V86" i="1"/>
  <c r="P85" i="1"/>
  <c r="J84" i="1"/>
  <c r="O403" i="1"/>
  <c r="F362" i="1"/>
  <c r="D339" i="1"/>
  <c r="R315" i="1"/>
  <c r="J308" i="1"/>
  <c r="V297" i="1"/>
  <c r="P292" i="1"/>
  <c r="E287" i="1"/>
  <c r="Y281" i="1"/>
  <c r="P276" i="1"/>
  <c r="E271" i="1"/>
  <c r="Z265" i="1"/>
  <c r="T260" i="1"/>
  <c r="L256" i="1"/>
  <c r="Y252" i="1"/>
  <c r="L249" i="1"/>
  <c r="Y245" i="1"/>
  <c r="P243" i="1"/>
  <c r="F241" i="1"/>
  <c r="W238" i="1"/>
  <c r="O236" i="1"/>
  <c r="E234" i="1"/>
  <c r="V231" i="1"/>
  <c r="L229" i="1"/>
  <c r="B227" i="1"/>
  <c r="S224" i="1"/>
  <c r="F222" i="1"/>
  <c r="W219" i="1"/>
  <c r="K217" i="1"/>
  <c r="AA214" i="1"/>
  <c r="P212" i="1"/>
  <c r="L210" i="1"/>
  <c r="F208" i="1"/>
  <c r="B206" i="1"/>
  <c r="Z203" i="1"/>
  <c r="U201" i="1"/>
  <c r="R199" i="1"/>
  <c r="L197" i="1"/>
  <c r="H195" i="1"/>
  <c r="D193" i="1"/>
  <c r="D191" i="1"/>
  <c r="O189" i="1"/>
  <c r="AA187" i="1"/>
  <c r="J186" i="1"/>
  <c r="U184" i="1"/>
  <c r="F183" i="1"/>
  <c r="P181" i="1"/>
  <c r="C180" i="1"/>
  <c r="U178" i="1"/>
  <c r="P177" i="1"/>
  <c r="J176" i="1"/>
  <c r="B175" i="1"/>
  <c r="W173" i="1"/>
  <c r="M172" i="1"/>
  <c r="G171" i="1"/>
  <c r="B170" i="1"/>
  <c r="U168" i="1"/>
  <c r="O167" i="1"/>
  <c r="F166" i="1"/>
  <c r="AA164" i="1"/>
  <c r="S163" i="1"/>
  <c r="N162" i="1"/>
  <c r="I161" i="1"/>
  <c r="C160" i="1"/>
  <c r="W158" i="1"/>
  <c r="Q157" i="1"/>
  <c r="J156" i="1"/>
  <c r="E155" i="1"/>
  <c r="AA153" i="1"/>
  <c r="U152" i="1"/>
  <c r="R384" i="1"/>
  <c r="K333" i="1"/>
  <c r="U312" i="1"/>
  <c r="P290" i="1"/>
  <c r="Y279" i="1"/>
  <c r="E269" i="1"/>
  <c r="T258" i="1"/>
  <c r="N251" i="1"/>
  <c r="Z244" i="1"/>
  <c r="F240" i="1"/>
  <c r="P235" i="1"/>
  <c r="W230" i="1"/>
  <c r="B226" i="1"/>
  <c r="H221" i="1"/>
  <c r="M216" i="1"/>
  <c r="R211" i="1"/>
  <c r="J207" i="1"/>
  <c r="C203" i="1"/>
  <c r="S198" i="1"/>
  <c r="J194" i="1"/>
  <c r="N190" i="1"/>
  <c r="I187" i="1"/>
  <c r="D184" i="1"/>
  <c r="Z180" i="1"/>
  <c r="H178" i="1"/>
  <c r="W175" i="1"/>
  <c r="H173" i="1"/>
  <c r="U170" i="1"/>
  <c r="H168" i="1"/>
  <c r="S165" i="1"/>
  <c r="F163" i="1"/>
  <c r="V160" i="1"/>
  <c r="J158" i="1"/>
  <c r="X155" i="1"/>
  <c r="M153" i="1"/>
  <c r="N151" i="1"/>
  <c r="T149" i="1"/>
  <c r="C148" i="1"/>
  <c r="N146" i="1"/>
  <c r="Y144" i="1"/>
  <c r="I143" i="1"/>
  <c r="U141" i="1"/>
  <c r="E140" i="1"/>
  <c r="O138" i="1"/>
  <c r="Z136" i="1"/>
  <c r="I135" i="1"/>
  <c r="S133" i="1"/>
  <c r="D132" i="1"/>
  <c r="O130" i="1"/>
  <c r="W128" i="1"/>
  <c r="D127" i="1"/>
  <c r="N125" i="1"/>
  <c r="X123" i="1"/>
  <c r="I122" i="1"/>
  <c r="Q120" i="1"/>
  <c r="AA118" i="1"/>
  <c r="K117" i="1"/>
  <c r="T115" i="1"/>
  <c r="C114" i="1"/>
  <c r="N112" i="1"/>
  <c r="Y110" i="1"/>
  <c r="I109" i="1"/>
  <c r="Q107" i="1"/>
  <c r="AA105" i="1"/>
  <c r="H104" i="1"/>
  <c r="R102" i="1"/>
  <c r="L99" i="1"/>
  <c r="W97" i="1"/>
  <c r="G96" i="1"/>
  <c r="P94" i="1"/>
  <c r="Y92" i="1"/>
  <c r="D91" i="1"/>
  <c r="N89" i="1"/>
  <c r="W87" i="1"/>
  <c r="D86" i="1"/>
  <c r="M84" i="1"/>
  <c r="D83" i="1"/>
  <c r="W81" i="1"/>
  <c r="O80" i="1"/>
  <c r="J79" i="1"/>
  <c r="E78" i="1"/>
  <c r="AA76" i="1"/>
  <c r="V75" i="1"/>
  <c r="N74" i="1"/>
  <c r="Y73" i="1"/>
  <c r="E73" i="1"/>
  <c r="P72" i="1"/>
  <c r="AA71" i="1"/>
  <c r="K71" i="1"/>
  <c r="U70" i="1"/>
  <c r="E70" i="1"/>
  <c r="O69" i="1"/>
  <c r="Z68" i="1"/>
  <c r="J68" i="1"/>
  <c r="U67" i="1"/>
  <c r="E67" i="1"/>
  <c r="P66" i="1"/>
  <c r="AA65" i="1"/>
  <c r="K65" i="1"/>
  <c r="V64" i="1"/>
  <c r="F64" i="1"/>
  <c r="Q63" i="1"/>
  <c r="J62" i="1"/>
  <c r="T61" i="1"/>
  <c r="D61" i="1"/>
  <c r="O60" i="1"/>
  <c r="Z59" i="1"/>
  <c r="G59" i="1"/>
  <c r="R58" i="1"/>
  <c r="B58" i="1"/>
  <c r="J57" i="1"/>
  <c r="T56" i="1"/>
  <c r="D56" i="1"/>
  <c r="N55" i="1"/>
  <c r="Y54" i="1"/>
  <c r="H54" i="1"/>
  <c r="Q53" i="1"/>
  <c r="K52" i="1"/>
  <c r="V51" i="1"/>
  <c r="F51" i="1"/>
  <c r="P50" i="1"/>
  <c r="AA49" i="1"/>
  <c r="I49" i="1"/>
  <c r="S48" i="1"/>
  <c r="C48" i="1"/>
  <c r="M47" i="1"/>
  <c r="X46" i="1"/>
  <c r="H46" i="1"/>
  <c r="R45" i="1"/>
  <c r="AA44" i="1"/>
  <c r="J44" i="1"/>
  <c r="T43" i="1"/>
  <c r="D43" i="1"/>
  <c r="N42" i="1"/>
  <c r="Y41" i="1"/>
  <c r="H41" i="1"/>
  <c r="R40" i="1"/>
  <c r="B40" i="1"/>
  <c r="M39" i="1"/>
  <c r="X38" i="1"/>
  <c r="H38" i="1"/>
  <c r="Q37" i="1"/>
  <c r="K36" i="1"/>
  <c r="U35" i="1"/>
  <c r="E35" i="1"/>
  <c r="P34" i="1"/>
  <c r="AA33" i="1"/>
  <c r="K33" i="1"/>
  <c r="V32" i="1"/>
  <c r="F32" i="1"/>
  <c r="Q31" i="1"/>
  <c r="L30" i="1"/>
  <c r="W29" i="1"/>
  <c r="G29" i="1"/>
  <c r="R28" i="1"/>
  <c r="B28" i="1"/>
  <c r="M27" i="1"/>
  <c r="W26" i="1"/>
  <c r="G26" i="1"/>
  <c r="P25" i="1"/>
  <c r="AA24" i="1"/>
  <c r="I24" i="1"/>
  <c r="T23" i="1"/>
  <c r="D23" i="1"/>
  <c r="N22" i="1"/>
  <c r="Y21" i="1"/>
  <c r="H21" i="1"/>
  <c r="S20" i="1"/>
  <c r="C20" i="1"/>
  <c r="N19" i="1"/>
  <c r="Y18" i="1"/>
  <c r="G18" i="1"/>
  <c r="R17" i="1"/>
  <c r="B17" i="1"/>
  <c r="M16" i="1"/>
  <c r="W15" i="1"/>
  <c r="G15" i="1"/>
  <c r="R14" i="1"/>
  <c r="B14" i="1"/>
  <c r="L13" i="1"/>
  <c r="W12" i="1"/>
  <c r="G12" i="1"/>
  <c r="R11" i="1"/>
  <c r="B11" i="1"/>
  <c r="L10" i="1"/>
  <c r="W9" i="1"/>
  <c r="G9" i="1"/>
  <c r="R8" i="1"/>
  <c r="B8" i="1"/>
  <c r="L7" i="1"/>
  <c r="W6" i="1"/>
  <c r="G6" i="1"/>
  <c r="R5" i="1"/>
  <c r="B5" i="1"/>
  <c r="M4" i="1"/>
  <c r="X3" i="1"/>
  <c r="H3" i="1"/>
  <c r="R2" i="1"/>
  <c r="B2" i="1"/>
  <c r="X1" i="1"/>
  <c r="H1" i="1"/>
  <c r="M74" i="1"/>
  <c r="W73" i="1"/>
  <c r="D73" i="1"/>
  <c r="O72" i="1"/>
  <c r="Z71" i="1"/>
  <c r="J71" i="1"/>
  <c r="T70" i="1"/>
  <c r="AA69" i="1"/>
  <c r="J69" i="1"/>
  <c r="U68" i="1"/>
  <c r="E68" i="1"/>
  <c r="P67" i="1"/>
  <c r="AA66" i="1"/>
  <c r="G66" i="1"/>
  <c r="J65" i="1"/>
  <c r="E64" i="1"/>
  <c r="AA62" i="1"/>
  <c r="S61" i="1"/>
  <c r="R60" i="1"/>
  <c r="J59" i="1"/>
  <c r="I58" i="1"/>
  <c r="R57" i="1"/>
  <c r="K56" i="1"/>
  <c r="U55" i="1"/>
  <c r="E55" i="1"/>
  <c r="G54" i="1"/>
  <c r="D53" i="1"/>
  <c r="Y51" i="1"/>
  <c r="O50" i="1"/>
  <c r="D49" i="1"/>
  <c r="T47" i="1"/>
  <c r="S46" i="1"/>
  <c r="C46" i="1"/>
  <c r="L45" i="1"/>
  <c r="U44" i="1"/>
  <c r="E44" i="1"/>
  <c r="O43" i="1"/>
  <c r="Q42" i="1"/>
  <c r="G41" i="1"/>
  <c r="E40" i="1"/>
  <c r="AA38" i="1"/>
  <c r="Z37" i="1"/>
  <c r="R36" i="1"/>
  <c r="L35" i="1"/>
  <c r="O34" i="1"/>
  <c r="Z33" i="1"/>
  <c r="J33" i="1"/>
  <c r="U32" i="1"/>
  <c r="E32" i="1"/>
  <c r="P31" i="1"/>
  <c r="W30" i="1"/>
  <c r="Z29" i="1"/>
  <c r="U28" i="1"/>
  <c r="T27" i="1"/>
  <c r="R26" i="1"/>
  <c r="O25" i="1"/>
  <c r="H24" i="1"/>
  <c r="G23" i="1"/>
  <c r="Q22" i="1"/>
  <c r="K21" i="1"/>
  <c r="V20" i="1"/>
  <c r="F20" i="1"/>
  <c r="M19" i="1"/>
  <c r="J18" i="1"/>
  <c r="E17" i="1"/>
  <c r="AA15" i="1"/>
  <c r="Y14" i="1"/>
  <c r="S13" i="1"/>
  <c r="R12" i="1"/>
  <c r="Q11" i="1"/>
  <c r="K10" i="1"/>
  <c r="V9" i="1"/>
  <c r="F9" i="1"/>
  <c r="Q8" i="1"/>
  <c r="W7" i="1"/>
  <c r="V6" i="1"/>
  <c r="U5" i="1"/>
  <c r="T4" i="1"/>
  <c r="O3" i="1"/>
  <c r="M2" i="1"/>
  <c r="W1" i="1"/>
  <c r="G1" i="1"/>
  <c r="M390" i="1"/>
  <c r="L354" i="1"/>
  <c r="F335" i="1"/>
  <c r="I319" i="1"/>
  <c r="W311" i="1"/>
  <c r="Q305" i="1"/>
  <c r="L300" i="1"/>
  <c r="V293" i="1"/>
  <c r="V285" i="1"/>
  <c r="Y273" i="1"/>
  <c r="J263" i="1"/>
  <c r="P254" i="1"/>
  <c r="T246" i="1"/>
  <c r="T241" i="1"/>
  <c r="J239" i="1"/>
  <c r="B237" i="1"/>
  <c r="S234" i="1"/>
  <c r="J232" i="1"/>
  <c r="K229" i="1"/>
  <c r="E225" i="1"/>
  <c r="K220" i="1"/>
  <c r="D216" i="1"/>
  <c r="X210" i="1"/>
  <c r="N206" i="1"/>
  <c r="U202" i="1"/>
  <c r="Q200" i="1"/>
  <c r="L198" i="1"/>
  <c r="H196" i="1"/>
  <c r="P193" i="1"/>
  <c r="C191" i="1"/>
  <c r="Y187" i="1"/>
  <c r="T184" i="1"/>
  <c r="Y181" i="1"/>
  <c r="B179" i="1"/>
  <c r="I176" i="1"/>
  <c r="T173" i="1"/>
  <c r="L172" i="1"/>
  <c r="F171" i="1"/>
  <c r="R169" i="1"/>
  <c r="N167" i="1"/>
  <c r="Z164" i="1"/>
  <c r="M162" i="1"/>
  <c r="T159" i="1"/>
  <c r="H157" i="1"/>
  <c r="W154" i="1"/>
  <c r="Q153" i="1"/>
  <c r="L152" i="1"/>
  <c r="P151" i="1"/>
  <c r="S150" i="1"/>
  <c r="Q149" i="1"/>
  <c r="P146" i="1"/>
  <c r="V145" i="1"/>
  <c r="F144" i="1"/>
  <c r="L143" i="1"/>
  <c r="R142" i="1"/>
  <c r="W141" i="1"/>
  <c r="B141" i="1"/>
  <c r="H140" i="1"/>
  <c r="M139" i="1"/>
  <c r="M138" i="1"/>
  <c r="G137" i="1"/>
  <c r="Q135" i="1"/>
  <c r="V132" i="1"/>
  <c r="L131" i="1"/>
  <c r="B130" i="1"/>
  <c r="M128" i="1"/>
  <c r="Q127" i="1"/>
  <c r="V126" i="1"/>
  <c r="AA125" i="1"/>
  <c r="F125" i="1"/>
  <c r="E124" i="1"/>
  <c r="V122" i="1"/>
  <c r="E121" i="1"/>
  <c r="H119" i="1"/>
  <c r="S117" i="1"/>
  <c r="Y115" i="1"/>
  <c r="K114" i="1"/>
  <c r="L113" i="1"/>
  <c r="P112" i="1"/>
  <c r="V111" i="1"/>
  <c r="F110" i="1"/>
  <c r="G109" i="1"/>
  <c r="S107" i="1"/>
  <c r="X105" i="1"/>
  <c r="F104" i="1"/>
  <c r="O102" i="1"/>
  <c r="Y100" i="1"/>
  <c r="D99" i="1"/>
  <c r="D98" i="1"/>
  <c r="I97" i="1"/>
  <c r="O96" i="1"/>
  <c r="T95" i="1"/>
  <c r="S94" i="1"/>
  <c r="F93" i="1"/>
  <c r="L91" i="1"/>
  <c r="Q89" i="1"/>
  <c r="Z87" i="1"/>
  <c r="U84" i="1"/>
  <c r="AA83" i="1"/>
  <c r="J83" i="1"/>
  <c r="R82" i="1"/>
  <c r="B82" i="1"/>
  <c r="C81" i="1"/>
  <c r="T79" i="1"/>
  <c r="O78" i="1"/>
  <c r="J77" i="1"/>
  <c r="Z74" i="1"/>
  <c r="D74" i="1"/>
  <c r="K73" i="1"/>
  <c r="V72" i="1"/>
  <c r="F72" i="1"/>
  <c r="Q71" i="1"/>
  <c r="K70" i="1"/>
  <c r="E69" i="1"/>
  <c r="W67" i="1"/>
  <c r="N66" i="1"/>
  <c r="I65" i="1"/>
  <c r="AA63" i="1"/>
  <c r="K63" i="1"/>
  <c r="T62" i="1"/>
  <c r="D62" i="1"/>
  <c r="N61" i="1"/>
  <c r="U60" i="1"/>
  <c r="Q59" i="1"/>
  <c r="W451" i="1"/>
  <c r="E383" i="1"/>
  <c r="AA332" i="1"/>
  <c r="V319" i="1"/>
  <c r="K312" i="1"/>
  <c r="AA305" i="1"/>
  <c r="U300" i="1"/>
  <c r="N295" i="1"/>
  <c r="I290" i="1"/>
  <c r="X284" i="1"/>
  <c r="O279" i="1"/>
  <c r="I274" i="1"/>
  <c r="Y268" i="1"/>
  <c r="S263" i="1"/>
  <c r="M258" i="1"/>
  <c r="W254" i="1"/>
  <c r="J251" i="1"/>
  <c r="X247" i="1"/>
  <c r="W244" i="1"/>
  <c r="P242" i="1"/>
  <c r="D240" i="1"/>
  <c r="W237" i="1"/>
  <c r="O235" i="1"/>
  <c r="D233" i="1"/>
  <c r="T230" i="1"/>
  <c r="L228" i="1"/>
  <c r="R223" i="1"/>
  <c r="F221" i="1"/>
  <c r="T218" i="1"/>
  <c r="J216" i="1"/>
  <c r="AA213" i="1"/>
  <c r="Q211" i="1"/>
  <c r="L209" i="1"/>
  <c r="H207" i="1"/>
  <c r="D205" i="1"/>
  <c r="W200" i="1"/>
  <c r="Q198" i="1"/>
  <c r="M196" i="1"/>
  <c r="I194" i="1"/>
  <c r="F192" i="1"/>
  <c r="L190" i="1"/>
  <c r="X188" i="1"/>
  <c r="H187" i="1"/>
  <c r="R185" i="1"/>
  <c r="C184" i="1"/>
  <c r="M182" i="1"/>
  <c r="X180" i="1"/>
  <c r="M179" i="1"/>
  <c r="G178" i="1"/>
  <c r="B177" i="1"/>
  <c r="T175" i="1"/>
  <c r="N174" i="1"/>
  <c r="G173" i="1"/>
  <c r="Z171" i="1"/>
  <c r="T170" i="1"/>
  <c r="M169" i="1"/>
  <c r="G168" i="1"/>
  <c r="AA166" i="1"/>
  <c r="R165" i="1"/>
  <c r="K164" i="1"/>
  <c r="E163" i="1"/>
  <c r="AA161" i="1"/>
  <c r="U160" i="1"/>
  <c r="O159" i="1"/>
  <c r="I158" i="1"/>
  <c r="C157" i="1"/>
  <c r="W155" i="1"/>
  <c r="R154" i="1"/>
  <c r="L153" i="1"/>
  <c r="G152" i="1"/>
  <c r="L151" i="1"/>
  <c r="O150" i="1"/>
  <c r="S149" i="1"/>
  <c r="W148" i="1"/>
  <c r="B148" i="1"/>
  <c r="H147" i="1"/>
  <c r="L146" i="1"/>
  <c r="R145" i="1"/>
  <c r="X144" i="1"/>
  <c r="B144" i="1"/>
  <c r="H143" i="1"/>
  <c r="N142" i="1"/>
  <c r="S141" i="1"/>
  <c r="Y140" i="1"/>
  <c r="D140" i="1"/>
  <c r="I139" i="1"/>
  <c r="N138" i="1"/>
  <c r="S137" i="1"/>
  <c r="W136" i="1"/>
  <c r="B136" i="1"/>
  <c r="H135" i="1"/>
  <c r="M134" i="1"/>
  <c r="R133" i="1"/>
  <c r="X132" i="1"/>
  <c r="B132" i="1"/>
  <c r="H131" i="1"/>
  <c r="N130" i="1"/>
  <c r="P129" i="1"/>
  <c r="T128" i="1"/>
  <c r="Z127" i="1"/>
  <c r="B127" i="1"/>
  <c r="G126" i="1"/>
  <c r="M125" i="1"/>
  <c r="Q124" i="1"/>
  <c r="W123" i="1"/>
  <c r="B123" i="1"/>
  <c r="G122" i="1"/>
  <c r="L121" i="1"/>
  <c r="P120" i="1"/>
  <c r="T119" i="1"/>
  <c r="Z118" i="1"/>
  <c r="E118" i="1"/>
  <c r="I117" i="1"/>
  <c r="O116" i="1"/>
  <c r="S115" i="1"/>
  <c r="W114" i="1"/>
  <c r="B114" i="1"/>
  <c r="H113" i="1"/>
  <c r="L112" i="1"/>
  <c r="R111" i="1"/>
  <c r="X110" i="1"/>
  <c r="B110" i="1"/>
  <c r="H109" i="1"/>
  <c r="K108" i="1"/>
  <c r="O107" i="1"/>
  <c r="T106" i="1"/>
  <c r="Z105" i="1"/>
  <c r="D105" i="1"/>
  <c r="G104" i="1"/>
  <c r="M103" i="1"/>
  <c r="P102" i="1"/>
  <c r="U101" i="1"/>
  <c r="AA100" i="1"/>
  <c r="E100" i="1"/>
  <c r="K99" i="1"/>
  <c r="P98" i="1"/>
  <c r="U97" i="1"/>
  <c r="AA96" i="1"/>
  <c r="F96" i="1"/>
  <c r="I95" i="1"/>
  <c r="O94" i="1"/>
  <c r="R93" i="1"/>
  <c r="V92" i="1"/>
  <c r="C91" i="1"/>
  <c r="G90" i="1"/>
  <c r="M89" i="1"/>
  <c r="R88" i="1"/>
  <c r="S87" i="1"/>
  <c r="Y86" i="1"/>
  <c r="C86" i="1"/>
  <c r="G85" i="1"/>
  <c r="L84" i="1"/>
  <c r="S83" i="1"/>
  <c r="C83" i="1"/>
  <c r="K82" i="1"/>
  <c r="T81" i="1"/>
  <c r="D81" i="1"/>
  <c r="N80" i="1"/>
  <c r="Y79" i="1"/>
  <c r="I79" i="1"/>
  <c r="T78" i="1"/>
  <c r="D78" i="1"/>
  <c r="O77" i="1"/>
  <c r="Z76" i="1"/>
  <c r="J76" i="1"/>
  <c r="P75" i="1"/>
  <c r="AA74" i="1"/>
  <c r="Z65" i="1"/>
  <c r="Q64" i="1"/>
  <c r="P63" i="1"/>
  <c r="E62" i="1"/>
  <c r="V60" i="1"/>
  <c r="N59" i="1"/>
  <c r="L53" i="1"/>
  <c r="B52" i="1"/>
  <c r="U49" i="1"/>
  <c r="R48" i="1"/>
  <c r="P47" i="1"/>
  <c r="U42" i="1"/>
  <c r="S41" i="1"/>
  <c r="I40" i="1"/>
  <c r="D39" i="1"/>
  <c r="T37" i="1"/>
  <c r="N36" i="1"/>
  <c r="H35" i="1"/>
  <c r="G30" i="1"/>
  <c r="Y28" i="1"/>
  <c r="L27" i="1"/>
  <c r="F26" i="1"/>
  <c r="T24" i="1"/>
  <c r="O23" i="1"/>
  <c r="R18" i="1"/>
  <c r="I17" i="1"/>
  <c r="D16" i="1"/>
  <c r="U14" i="1"/>
  <c r="O13" i="1"/>
  <c r="F12" i="1"/>
  <c r="K7" i="1"/>
  <c r="Y5" i="1"/>
  <c r="P4" i="1"/>
  <c r="G3" i="1"/>
  <c r="C295" i="1"/>
  <c r="E283" i="1"/>
  <c r="M272" i="1"/>
  <c r="T253" i="1"/>
  <c r="Q247" i="1"/>
  <c r="J242" i="1"/>
  <c r="K226" i="1"/>
  <c r="AA220" i="1"/>
  <c r="O215" i="1"/>
  <c r="K211" i="1"/>
  <c r="C207" i="1"/>
  <c r="D194" i="1"/>
  <c r="C189" i="1"/>
  <c r="Y185" i="1"/>
  <c r="I182" i="1"/>
  <c r="R179" i="1"/>
  <c r="G177" i="1"/>
  <c r="L168" i="1"/>
  <c r="O165" i="1"/>
  <c r="J163" i="1"/>
  <c r="AA160" i="1"/>
  <c r="V158" i="1"/>
  <c r="I156" i="1"/>
  <c r="L149" i="1"/>
  <c r="V147" i="1"/>
  <c r="W137" i="1"/>
  <c r="F136" i="1"/>
  <c r="Q134" i="1"/>
  <c r="Q132" i="1"/>
  <c r="W130" i="1"/>
  <c r="Z128" i="1"/>
  <c r="AA122" i="1"/>
  <c r="K121" i="1"/>
  <c r="Y119" i="1"/>
  <c r="I118" i="1"/>
  <c r="S116" i="1"/>
  <c r="T108" i="1"/>
  <c r="C107" i="1"/>
  <c r="S105" i="1"/>
  <c r="AA103" i="1"/>
  <c r="J102" i="1"/>
  <c r="T100" i="1"/>
  <c r="J99" i="1"/>
  <c r="Y93" i="1"/>
  <c r="E92" i="1"/>
  <c r="Q90" i="1"/>
  <c r="G87" i="1"/>
  <c r="V85" i="1"/>
  <c r="Z80" i="1"/>
  <c r="X79" i="1"/>
  <c r="S78" i="1"/>
  <c r="N77" i="1"/>
  <c r="M76" i="1"/>
  <c r="C75" i="1"/>
  <c r="W70" i="1"/>
  <c r="Q69" i="1"/>
  <c r="P68" i="1"/>
  <c r="K67" i="1"/>
  <c r="J66" i="1"/>
  <c r="E65" i="1"/>
  <c r="D64" i="1"/>
  <c r="W59" i="1"/>
  <c r="P58" i="1"/>
  <c r="F331" i="1"/>
  <c r="C300" i="1"/>
  <c r="X278" i="1"/>
  <c r="Z257" i="1"/>
  <c r="P244" i="1"/>
  <c r="E235" i="1"/>
  <c r="T225" i="1"/>
  <c r="B216" i="1"/>
  <c r="AA206" i="1"/>
  <c r="K198" i="1"/>
  <c r="G190" i="1"/>
  <c r="X183" i="1"/>
  <c r="C178" i="1"/>
  <c r="C173" i="1"/>
  <c r="C168" i="1"/>
  <c r="E158" i="1"/>
  <c r="H153" i="1"/>
  <c r="P149" i="1"/>
  <c r="J146" i="1"/>
  <c r="E143" i="1"/>
  <c r="U136" i="1"/>
  <c r="O133" i="1"/>
  <c r="K130" i="1"/>
  <c r="AA126" i="1"/>
  <c r="T123" i="1"/>
  <c r="M120" i="1"/>
  <c r="G117" i="1"/>
  <c r="Z113" i="1"/>
  <c r="U110" i="1"/>
  <c r="M107" i="1"/>
  <c r="D104" i="1"/>
  <c r="X100" i="1"/>
  <c r="S97" i="1"/>
  <c r="L94" i="1"/>
  <c r="AA90" i="1"/>
  <c r="Q87" i="1"/>
  <c r="I84" i="1"/>
  <c r="R81" i="1"/>
  <c r="G79" i="1"/>
  <c r="X76" i="1"/>
  <c r="K74" i="1"/>
  <c r="X71" i="1"/>
  <c r="L69" i="1"/>
  <c r="B67" i="1"/>
  <c r="S64" i="1"/>
  <c r="G62" i="1"/>
  <c r="T59" i="1"/>
  <c r="Z57" i="1"/>
  <c r="Q56" i="1"/>
  <c r="K55" i="1"/>
  <c r="E54" i="1"/>
  <c r="Y52" i="1"/>
  <c r="S51" i="1"/>
  <c r="M50" i="1"/>
  <c r="F49" i="1"/>
  <c r="AA47" i="1"/>
  <c r="U46" i="1"/>
  <c r="N45" i="1"/>
  <c r="G44" i="1"/>
  <c r="U41" i="1"/>
  <c r="O40" i="1"/>
  <c r="J39" i="1"/>
  <c r="E38" i="1"/>
  <c r="Y36" i="1"/>
  <c r="R35" i="1"/>
  <c r="M34" i="1"/>
  <c r="H33" i="1"/>
  <c r="C32" i="1"/>
  <c r="Y30" i="1"/>
  <c r="T29" i="1"/>
  <c r="O28" i="1"/>
  <c r="J27" i="1"/>
  <c r="D26" i="1"/>
  <c r="W24" i="1"/>
  <c r="Q23" i="1"/>
  <c r="K22" i="1"/>
  <c r="E21" i="1"/>
  <c r="AA19" i="1"/>
  <c r="T18" i="1"/>
  <c r="O17" i="1"/>
  <c r="J16" i="1"/>
  <c r="D15" i="1"/>
  <c r="Z13" i="1"/>
  <c r="T12" i="1"/>
  <c r="O11" i="1"/>
  <c r="I10" i="1"/>
  <c r="D9" i="1"/>
  <c r="Z7" i="1"/>
  <c r="T6" i="1"/>
  <c r="O5" i="1"/>
  <c r="J4" i="1"/>
  <c r="E3" i="1"/>
  <c r="A1" i="1"/>
  <c r="T104" i="1"/>
  <c r="M101" i="1"/>
  <c r="H98" i="1"/>
  <c r="P91" i="1"/>
  <c r="I88" i="1"/>
  <c r="Z84" i="1"/>
  <c r="E82" i="1"/>
  <c r="S79" i="1"/>
  <c r="I77" i="1"/>
  <c r="Y74" i="1"/>
  <c r="I72" i="1"/>
  <c r="Y69" i="1"/>
  <c r="N67" i="1"/>
  <c r="D65" i="1"/>
  <c r="S62" i="1"/>
  <c r="H60" i="1"/>
  <c r="D58" i="1"/>
  <c r="V56" i="1"/>
  <c r="P55" i="1"/>
  <c r="J54" i="1"/>
  <c r="C53" i="1"/>
  <c r="X51" i="1"/>
  <c r="R50" i="1"/>
  <c r="K49" i="1"/>
  <c r="E48" i="1"/>
  <c r="Z46" i="1"/>
  <c r="T45" i="1"/>
  <c r="L44" i="1"/>
  <c r="F43" i="1"/>
  <c r="AA41" i="1"/>
  <c r="T40" i="1"/>
  <c r="O39" i="1"/>
  <c r="J38" i="1"/>
  <c r="C37" i="1"/>
  <c r="W35" i="1"/>
  <c r="R34" i="1"/>
  <c r="M33" i="1"/>
  <c r="H32" i="1"/>
  <c r="C31" i="1"/>
  <c r="Y29" i="1"/>
  <c r="T28" i="1"/>
  <c r="O27" i="1"/>
  <c r="I26" i="1"/>
  <c r="B25" i="1"/>
  <c r="V23" i="1"/>
  <c r="P22" i="1"/>
  <c r="J21" i="1"/>
  <c r="E20" i="1"/>
  <c r="AA18" i="1"/>
  <c r="T17" i="1"/>
  <c r="O16" i="1"/>
  <c r="I15" i="1"/>
  <c r="D14" i="1"/>
  <c r="Y12" i="1"/>
  <c r="T11" i="1"/>
  <c r="N10" i="1"/>
  <c r="I9" i="1"/>
  <c r="D8" i="1"/>
  <c r="Y6" i="1"/>
  <c r="T5" i="1"/>
  <c r="O4" i="1"/>
  <c r="J3" i="1"/>
  <c r="D2" i="1"/>
  <c r="N1" i="1"/>
  <c r="G338" i="1"/>
  <c r="S302" i="1"/>
  <c r="Q281" i="1"/>
  <c r="L260" i="1"/>
  <c r="T245" i="1"/>
  <c r="L236" i="1"/>
  <c r="Y226" i="1"/>
  <c r="F217" i="1"/>
  <c r="D208" i="1"/>
  <c r="M199" i="1"/>
  <c r="S184" i="1"/>
  <c r="S178" i="1"/>
  <c r="S173" i="1"/>
  <c r="S168" i="1"/>
  <c r="Q163" i="1"/>
  <c r="U158" i="1"/>
  <c r="Y153" i="1"/>
  <c r="B150" i="1"/>
  <c r="T146" i="1"/>
  <c r="P143" i="1"/>
  <c r="L140" i="1"/>
  <c r="E137" i="1"/>
  <c r="AA133" i="1"/>
  <c r="V130" i="1"/>
  <c r="J127" i="1"/>
  <c r="D124" i="1"/>
  <c r="Z120" i="1"/>
  <c r="Q117" i="1"/>
  <c r="J114" i="1"/>
  <c r="E111" i="1"/>
  <c r="W107" i="1"/>
  <c r="O104" i="1"/>
  <c r="H101" i="1"/>
  <c r="B98" i="1"/>
  <c r="W94" i="1"/>
  <c r="K91" i="1"/>
  <c r="C88" i="1"/>
  <c r="T84" i="1"/>
  <c r="O79" i="1"/>
  <c r="E77" i="1"/>
  <c r="S74" i="1"/>
  <c r="E72" i="1"/>
  <c r="T69" i="1"/>
  <c r="J67" i="1"/>
  <c r="AA64" i="1"/>
  <c r="O62" i="1"/>
  <c r="D60" i="1"/>
  <c r="C58" i="1"/>
  <c r="U56" i="1"/>
  <c r="O55" i="1"/>
  <c r="I54" i="1"/>
  <c r="B53" i="1"/>
  <c r="W51" i="1"/>
  <c r="Q50" i="1"/>
  <c r="J49" i="1"/>
  <c r="D48" i="1"/>
  <c r="Y46" i="1"/>
  <c r="S45" i="1"/>
  <c r="K44" i="1"/>
  <c r="E43" i="1"/>
  <c r="Z41" i="1"/>
  <c r="S40" i="1"/>
  <c r="N39" i="1"/>
  <c r="I38" i="1"/>
  <c r="B37" i="1"/>
  <c r="V35" i="1"/>
  <c r="Q34" i="1"/>
  <c r="L33" i="1"/>
  <c r="G32" i="1"/>
  <c r="B31" i="1"/>
  <c r="X29" i="1"/>
  <c r="S28" i="1"/>
  <c r="N27" i="1"/>
  <c r="H26" i="1"/>
  <c r="U23" i="1"/>
  <c r="O22" i="1"/>
  <c r="I21" i="1"/>
  <c r="D20" i="1"/>
  <c r="Z18" i="1"/>
  <c r="S17" i="1"/>
  <c r="N16" i="1"/>
  <c r="H15" i="1"/>
  <c r="C14" i="1"/>
  <c r="X12" i="1"/>
  <c r="S11" i="1"/>
  <c r="E10" i="1"/>
  <c r="AA8" i="1"/>
  <c r="U7" i="1"/>
  <c r="P6" i="1"/>
  <c r="C5" i="1"/>
  <c r="I3" i="1"/>
  <c r="C2" i="1"/>
  <c r="M1" i="1"/>
  <c r="Z290" i="1"/>
  <c r="M240" i="1"/>
  <c r="H214" i="1"/>
  <c r="P194" i="1"/>
  <c r="X185" i="1"/>
  <c r="R174" i="1"/>
  <c r="I163" i="1"/>
  <c r="W149" i="1"/>
  <c r="L139" i="1"/>
  <c r="S129" i="1"/>
  <c r="W119" i="1"/>
  <c r="E110" i="1"/>
  <c r="H100" i="1"/>
  <c r="T93" i="1"/>
  <c r="Y87" i="1"/>
  <c r="X81" i="1"/>
  <c r="W75" i="1"/>
  <c r="AA68" i="1"/>
  <c r="U61" i="1"/>
  <c r="B56" i="1"/>
  <c r="H44" i="1"/>
  <c r="W41" i="1"/>
  <c r="S39" i="1"/>
  <c r="G37" i="1"/>
  <c r="N34" i="1"/>
  <c r="G31" i="1"/>
  <c r="S27" i="1"/>
  <c r="B23" i="1"/>
  <c r="L19" i="1"/>
  <c r="M15" i="1"/>
  <c r="X11" i="1"/>
  <c r="E9" i="1"/>
  <c r="B7" i="1"/>
  <c r="S4" i="1"/>
  <c r="V341" i="1"/>
  <c r="Y282" i="1"/>
  <c r="T261" i="1"/>
  <c r="P246" i="1"/>
  <c r="AA236" i="1"/>
  <c r="O227" i="1"/>
  <c r="W217" i="1"/>
  <c r="Q208" i="1"/>
  <c r="L191" i="1"/>
  <c r="B185" i="1"/>
  <c r="B174" i="1"/>
  <c r="Z163" i="1"/>
  <c r="C159" i="1"/>
  <c r="F154" i="1"/>
  <c r="G150" i="1"/>
  <c r="AA146" i="1"/>
  <c r="U143" i="1"/>
  <c r="Q140" i="1"/>
  <c r="K137" i="1"/>
  <c r="E134" i="1"/>
  <c r="AA130" i="1"/>
  <c r="P127" i="1"/>
  <c r="I124" i="1"/>
  <c r="D121" i="1"/>
  <c r="W117" i="1"/>
  <c r="O114" i="1"/>
  <c r="J111" i="1"/>
  <c r="C108" i="1"/>
  <c r="O353" i="1"/>
  <c r="J264" i="1"/>
  <c r="T228" i="1"/>
  <c r="V154" i="1"/>
  <c r="E144" i="1"/>
  <c r="J135" i="1"/>
  <c r="J126" i="1"/>
  <c r="W115" i="1"/>
  <c r="Z73" i="1"/>
  <c r="AA57" i="1"/>
  <c r="N54" i="1"/>
  <c r="L51" i="1"/>
  <c r="S47" i="1"/>
  <c r="C35" i="1"/>
  <c r="R30" i="1"/>
  <c r="C27" i="1"/>
  <c r="R23" i="1"/>
  <c r="S16" i="1"/>
  <c r="M12" i="1"/>
  <c r="B1" i="1"/>
  <c r="L301" i="1"/>
  <c r="E245" i="1"/>
  <c r="M221" i="1"/>
  <c r="K205" i="1"/>
  <c r="H184" i="1"/>
  <c r="K173" i="1"/>
  <c r="Z160" i="1"/>
  <c r="E148" i="1"/>
  <c r="Q138" i="1"/>
  <c r="L117" i="1"/>
  <c r="M108" i="1"/>
  <c r="N99" i="1"/>
  <c r="D92" i="1"/>
  <c r="J85" i="1"/>
  <c r="AA79" i="1"/>
  <c r="F75" i="1"/>
  <c r="V67" i="1"/>
  <c r="E61" i="1"/>
  <c r="R56" i="1"/>
  <c r="Q52" i="1"/>
  <c r="G49" i="1"/>
  <c r="O45" i="1"/>
  <c r="T42" i="1"/>
  <c r="H40" i="1"/>
  <c r="O37" i="1"/>
  <c r="V34" i="1"/>
  <c r="W31" i="1"/>
  <c r="H28" i="1"/>
  <c r="Y24" i="1"/>
  <c r="N21" i="1"/>
  <c r="P17" i="1"/>
  <c r="H14" i="1"/>
  <c r="P11" i="1"/>
  <c r="M9" i="1"/>
  <c r="U6" i="1"/>
  <c r="K4" i="1"/>
  <c r="Z1" i="1"/>
  <c r="V386" i="1"/>
  <c r="T366" i="1"/>
  <c r="P345" i="1"/>
  <c r="E413" i="1"/>
  <c r="C389" i="1"/>
  <c r="W437" i="1"/>
  <c r="AA377" i="1"/>
  <c r="AA347" i="1"/>
  <c r="C420" i="1"/>
  <c r="R382" i="1"/>
  <c r="Q363" i="1"/>
  <c r="R349" i="1"/>
  <c r="AA337" i="1"/>
  <c r="I327" i="1"/>
  <c r="R316" i="1"/>
  <c r="O431" i="1"/>
  <c r="Q375" i="1"/>
  <c r="J345" i="1"/>
  <c r="S330" i="1"/>
  <c r="L316" i="1"/>
  <c r="L298" i="1"/>
  <c r="U287" i="1"/>
  <c r="D277" i="1"/>
  <c r="O266" i="1"/>
  <c r="D441" i="1"/>
  <c r="E379" i="1"/>
  <c r="O347" i="1"/>
  <c r="T331" i="1"/>
  <c r="O317" i="1"/>
  <c r="K304" i="1"/>
  <c r="O296" i="1"/>
  <c r="S289" i="1"/>
  <c r="C284" i="1"/>
  <c r="U278" i="1"/>
  <c r="T270" i="1"/>
  <c r="O265" i="1"/>
  <c r="I260" i="1"/>
  <c r="AA254" i="1"/>
  <c r="U249" i="1"/>
  <c r="N244" i="1"/>
  <c r="E239" i="1"/>
  <c r="Z233" i="1"/>
  <c r="R228" i="1"/>
  <c r="F223" i="1"/>
  <c r="B215" i="1"/>
  <c r="Z209" i="1"/>
  <c r="B205" i="1"/>
  <c r="F200" i="1"/>
  <c r="U197" i="1"/>
  <c r="J195" i="1"/>
  <c r="Y192" i="1"/>
  <c r="P430" i="1"/>
  <c r="O398" i="1"/>
  <c r="F375" i="1"/>
  <c r="I359" i="1"/>
  <c r="E345" i="1"/>
  <c r="R337" i="1"/>
  <c r="P330" i="1"/>
  <c r="J316" i="1"/>
  <c r="O303" i="1"/>
  <c r="L282" i="1"/>
  <c r="R271" i="1"/>
  <c r="F261" i="1"/>
  <c r="F253" i="1"/>
  <c r="F246" i="1"/>
  <c r="D241" i="1"/>
  <c r="P236" i="1"/>
  <c r="N229" i="1"/>
  <c r="Y225" i="1"/>
  <c r="I222" i="1"/>
  <c r="M220" i="1"/>
  <c r="W216" i="1"/>
  <c r="H213" i="1"/>
  <c r="Y209" i="1"/>
  <c r="Q206" i="1"/>
  <c r="M203" i="1"/>
  <c r="E200" i="1"/>
  <c r="Z196" i="1"/>
  <c r="S193" i="1"/>
  <c r="U190" i="1"/>
  <c r="K188" i="1"/>
  <c r="AA185" i="1"/>
  <c r="Q183" i="1"/>
  <c r="F181" i="1"/>
  <c r="Q426" i="1"/>
  <c r="T373" i="1"/>
  <c r="K358" i="1"/>
  <c r="M344" i="1"/>
  <c r="E337" i="1"/>
  <c r="C330" i="1"/>
  <c r="V315" i="1"/>
  <c r="M308" i="1"/>
  <c r="D303" i="1"/>
  <c r="Z297" i="1"/>
  <c r="S292" i="1"/>
  <c r="J287" i="1"/>
  <c r="S276" i="1"/>
  <c r="I271" i="1"/>
  <c r="B266" i="1"/>
  <c r="W260" i="1"/>
  <c r="M256" i="1"/>
  <c r="Z252" i="1"/>
  <c r="N249" i="1"/>
  <c r="T247" i="1"/>
  <c r="K436" i="1"/>
  <c r="B389" i="1"/>
  <c r="T367" i="1"/>
  <c r="Q353" i="1"/>
  <c r="W341" i="1"/>
  <c r="V334" i="1"/>
  <c r="S327" i="1"/>
  <c r="R352" i="1"/>
  <c r="P320" i="1"/>
  <c r="Q306" i="1"/>
  <c r="C296" i="1"/>
  <c r="N285" i="1"/>
  <c r="Y274" i="1"/>
  <c r="I264" i="1"/>
  <c r="F255" i="1"/>
  <c r="F248" i="1"/>
  <c r="U242" i="1"/>
  <c r="K233" i="1"/>
  <c r="S228" i="1"/>
  <c r="W223" i="1"/>
  <c r="AA218" i="1"/>
  <c r="E214" i="1"/>
  <c r="R209" i="1"/>
  <c r="I205" i="1"/>
  <c r="B201" i="1"/>
  <c r="R196" i="1"/>
  <c r="K192" i="1"/>
  <c r="V185" i="1"/>
  <c r="R182" i="1"/>
  <c r="P179" i="1"/>
  <c r="E177" i="1"/>
  <c r="Q174" i="1"/>
  <c r="B172" i="1"/>
  <c r="P169" i="1"/>
  <c r="C167" i="1"/>
  <c r="N164" i="1"/>
  <c r="C162" i="1"/>
  <c r="R159" i="1"/>
  <c r="F157" i="1"/>
  <c r="U154" i="1"/>
  <c r="J152" i="1"/>
  <c r="X149" i="1"/>
  <c r="E146" i="1"/>
  <c r="V143" i="1"/>
  <c r="L141" i="1"/>
  <c r="B139" i="1"/>
  <c r="V137" i="1"/>
  <c r="K135" i="1"/>
  <c r="AA132" i="1"/>
  <c r="Q130" i="1"/>
  <c r="B128" i="1"/>
  <c r="P125" i="1"/>
  <c r="E123" i="1"/>
  <c r="S120" i="1"/>
  <c r="H118" i="1"/>
  <c r="X115" i="1"/>
  <c r="K113" i="1"/>
  <c r="AA110" i="1"/>
  <c r="N108" i="1"/>
  <c r="B106" i="1"/>
  <c r="P103" i="1"/>
  <c r="C101" i="1"/>
  <c r="S98" i="1"/>
  <c r="I96" i="1"/>
  <c r="W93" i="1"/>
  <c r="F91" i="1"/>
  <c r="U88" i="1"/>
  <c r="F86" i="1"/>
  <c r="B444" i="1"/>
  <c r="F348" i="1"/>
  <c r="J319" i="1"/>
  <c r="Y311" i="1"/>
  <c r="M300" i="1"/>
  <c r="Z289" i="1"/>
  <c r="E279" i="1"/>
  <c r="Q268" i="1"/>
  <c r="E258" i="1"/>
  <c r="C251" i="1"/>
  <c r="T244" i="1"/>
  <c r="AA239" i="1"/>
  <c r="K235" i="1"/>
  <c r="R230" i="1"/>
  <c r="W225" i="1"/>
  <c r="B221" i="1"/>
  <c r="F216" i="1"/>
  <c r="M211" i="1"/>
  <c r="AA204" i="1"/>
  <c r="S200" i="1"/>
  <c r="J196" i="1"/>
  <c r="B192" i="1"/>
  <c r="U188" i="1"/>
  <c r="P185" i="1"/>
  <c r="J182" i="1"/>
  <c r="V180" i="1"/>
  <c r="E178" i="1"/>
  <c r="L174" i="1"/>
  <c r="W171" i="1"/>
  <c r="K169" i="1"/>
  <c r="Y166" i="1"/>
  <c r="I164" i="1"/>
  <c r="Y161" i="1"/>
  <c r="M159" i="1"/>
  <c r="P154" i="1"/>
  <c r="AA456" i="1"/>
  <c r="D320" i="1"/>
  <c r="U295" i="1"/>
  <c r="P274" i="1"/>
  <c r="Q242" i="1"/>
  <c r="E233" i="1"/>
  <c r="T223" i="1"/>
  <c r="Y200" i="1"/>
  <c r="G192" i="1"/>
  <c r="T185" i="1"/>
  <c r="N179" i="1"/>
  <c r="O174" i="1"/>
  <c r="N169" i="1"/>
  <c r="D157" i="1"/>
  <c r="H152" i="1"/>
  <c r="Z148" i="1"/>
  <c r="S145" i="1"/>
  <c r="O142" i="1"/>
  <c r="K139" i="1"/>
  <c r="C136" i="1"/>
  <c r="Y132" i="1"/>
  <c r="R129" i="1"/>
  <c r="H126" i="1"/>
  <c r="M121" i="1"/>
  <c r="F118" i="1"/>
  <c r="Z114" i="1"/>
  <c r="S111" i="1"/>
  <c r="L108" i="1"/>
  <c r="F105" i="1"/>
  <c r="V101" i="1"/>
  <c r="Q98" i="1"/>
  <c r="S93" i="1"/>
  <c r="I90" i="1"/>
  <c r="I85" i="1"/>
  <c r="L82" i="1"/>
  <c r="E81" i="1"/>
  <c r="U78" i="1"/>
  <c r="P77" i="1"/>
  <c r="E75" i="1"/>
  <c r="M73" i="1"/>
  <c r="H72" i="1"/>
  <c r="C71" i="1"/>
  <c r="G69" i="1"/>
  <c r="B68" i="1"/>
  <c r="X66" i="1"/>
  <c r="S65" i="1"/>
  <c r="N64" i="1"/>
  <c r="R62" i="1"/>
  <c r="L61" i="1"/>
  <c r="G60" i="1"/>
  <c r="Z58" i="1"/>
  <c r="S57" i="1"/>
  <c r="L56" i="1"/>
  <c r="F55" i="1"/>
  <c r="P54" i="1"/>
  <c r="I53" i="1"/>
  <c r="C52" i="1"/>
  <c r="Y50" i="1"/>
  <c r="R49" i="1"/>
  <c r="K48" i="1"/>
  <c r="E47" i="1"/>
  <c r="AA45" i="1"/>
  <c r="R44" i="1"/>
  <c r="L43" i="1"/>
  <c r="F42" i="1"/>
  <c r="AA40" i="1"/>
  <c r="U39" i="1"/>
  <c r="P38" i="1"/>
  <c r="I37" i="1"/>
  <c r="C36" i="1"/>
  <c r="X34" i="1"/>
  <c r="S33" i="1"/>
  <c r="N32" i="1"/>
  <c r="I31" i="1"/>
  <c r="D30" i="1"/>
  <c r="Z28" i="1"/>
  <c r="AA20" i="1"/>
  <c r="V19" i="1"/>
  <c r="O18" i="1"/>
  <c r="J17" i="1"/>
  <c r="E16" i="1"/>
  <c r="Z14" i="1"/>
  <c r="T13" i="1"/>
  <c r="O12" i="1"/>
  <c r="J11" i="1"/>
  <c r="D10" i="1"/>
  <c r="Z8" i="1"/>
  <c r="T7" i="1"/>
  <c r="O6" i="1"/>
  <c r="J5" i="1"/>
  <c r="E4" i="1"/>
  <c r="AA2" i="1"/>
  <c r="U75" i="1"/>
  <c r="L73" i="1"/>
  <c r="G72" i="1"/>
  <c r="B71" i="1"/>
  <c r="L70" i="1"/>
  <c r="B69" i="1"/>
  <c r="X67" i="1"/>
  <c r="S66" i="1"/>
  <c r="L63" i="1"/>
  <c r="G61" i="1"/>
  <c r="Y58" i="1"/>
  <c r="I57" i="1"/>
  <c r="C56" i="1"/>
  <c r="P53" i="1"/>
  <c r="N52" i="1"/>
  <c r="Z49" i="1"/>
  <c r="D47" i="1"/>
  <c r="U45" i="1"/>
  <c r="M44" i="1"/>
  <c r="C43" i="1"/>
  <c r="U40" i="1"/>
  <c r="O38" i="1"/>
  <c r="B36" i="1"/>
  <c r="R33" i="1"/>
  <c r="M32" i="1"/>
  <c r="D31" i="1"/>
  <c r="J29" i="1"/>
  <c r="H27" i="1"/>
  <c r="Z24" i="1"/>
  <c r="S23" i="1"/>
  <c r="I22" i="1"/>
  <c r="C21" i="1"/>
  <c r="U19" i="1"/>
  <c r="U17" i="1"/>
  <c r="N15" i="1"/>
  <c r="G13" i="1"/>
  <c r="I11" i="1"/>
  <c r="C10" i="1"/>
  <c r="Y8" i="1"/>
  <c r="G7" i="1"/>
  <c r="I5" i="1"/>
  <c r="C3" i="1"/>
  <c r="O1" i="1"/>
  <c r="P368" i="1"/>
  <c r="P324" i="1"/>
  <c r="I308" i="1"/>
  <c r="U297" i="1"/>
  <c r="P280" i="1"/>
  <c r="C258" i="1"/>
  <c r="B244" i="1"/>
  <c r="E238" i="1"/>
  <c r="O233" i="1"/>
  <c r="AA226" i="1"/>
  <c r="N218" i="1"/>
  <c r="T208" i="1"/>
  <c r="S201" i="1"/>
  <c r="K197" i="1"/>
  <c r="O192" i="1"/>
  <c r="I186" i="1"/>
  <c r="B180" i="1"/>
  <c r="Q175" i="1"/>
  <c r="D173" i="1"/>
  <c r="I170" i="1"/>
  <c r="M166" i="1"/>
  <c r="H161" i="1"/>
  <c r="F151" i="1"/>
  <c r="V148" i="1"/>
  <c r="F146" i="1"/>
  <c r="Q144" i="1"/>
  <c r="M141" i="1"/>
  <c r="X139" i="1"/>
  <c r="B138" i="1"/>
  <c r="W134" i="1"/>
  <c r="D129" i="1"/>
  <c r="F127" i="1"/>
  <c r="Q125" i="1"/>
  <c r="P123" i="1"/>
  <c r="I120" i="1"/>
  <c r="G115" i="1"/>
  <c r="K111" i="1"/>
  <c r="W109" i="1"/>
  <c r="Y106" i="1"/>
  <c r="F103" i="1"/>
  <c r="Z99" i="1"/>
  <c r="T97" i="1"/>
  <c r="D96" i="1"/>
  <c r="C94" i="1"/>
  <c r="K90" i="1"/>
  <c r="W86" i="1"/>
  <c r="K84" i="1"/>
  <c r="B83" i="1"/>
  <c r="O81" i="1"/>
  <c r="H79" i="1"/>
  <c r="Q76" i="1"/>
  <c r="L74" i="1"/>
  <c r="C73" i="1"/>
  <c r="Y71" i="1"/>
  <c r="U69" i="1"/>
  <c r="G67" i="1"/>
  <c r="T64" i="1"/>
  <c r="C63" i="1"/>
  <c r="V61" i="1"/>
  <c r="I60" i="1"/>
  <c r="L406" i="1"/>
  <c r="B316" i="1"/>
  <c r="K303" i="1"/>
  <c r="X292" i="1"/>
  <c r="F282" i="1"/>
  <c r="N271" i="1"/>
  <c r="B261" i="1"/>
  <c r="C253" i="1"/>
  <c r="T243" i="1"/>
  <c r="AA238" i="1"/>
  <c r="J234" i="1"/>
  <c r="P229" i="1"/>
  <c r="W224" i="1"/>
  <c r="Z219" i="1"/>
  <c r="D215" i="1"/>
  <c r="P210" i="1"/>
  <c r="E206" i="1"/>
  <c r="Z201" i="1"/>
  <c r="P197" i="1"/>
  <c r="G193" i="1"/>
  <c r="R189" i="1"/>
  <c r="M186" i="1"/>
  <c r="H183" i="1"/>
  <c r="S181" i="1"/>
  <c r="W178" i="1"/>
  <c r="L176" i="1"/>
  <c r="Y173" i="1"/>
  <c r="I171" i="1"/>
  <c r="W168" i="1"/>
  <c r="H166" i="1"/>
  <c r="U163" i="1"/>
  <c r="K161" i="1"/>
  <c r="Z158" i="1"/>
  <c r="L156" i="1"/>
  <c r="G155" i="1"/>
  <c r="W152" i="1"/>
  <c r="B151" i="1"/>
  <c r="H149" i="1"/>
  <c r="R147" i="1"/>
  <c r="B146" i="1"/>
  <c r="M144" i="1"/>
  <c r="X142" i="1"/>
  <c r="I141" i="1"/>
  <c r="T139" i="1"/>
  <c r="H137" i="1"/>
  <c r="M136" i="1"/>
  <c r="X134" i="1"/>
  <c r="G133" i="1"/>
  <c r="S131" i="1"/>
  <c r="C130" i="1"/>
  <c r="I128" i="1"/>
  <c r="R126" i="1"/>
  <c r="B125" i="1"/>
  <c r="L123" i="1"/>
  <c r="W121" i="1"/>
  <c r="E120" i="1"/>
  <c r="O118" i="1"/>
  <c r="Z116" i="1"/>
  <c r="H115" i="1"/>
  <c r="R113" i="1"/>
  <c r="B112" i="1"/>
  <c r="M110" i="1"/>
  <c r="W108" i="1"/>
  <c r="E107" i="1"/>
  <c r="O105" i="1"/>
  <c r="W103" i="1"/>
  <c r="F102" i="1"/>
  <c r="V99" i="1"/>
  <c r="E98" i="1"/>
  <c r="P96" i="1"/>
  <c r="Z94" i="1"/>
  <c r="G93" i="1"/>
  <c r="M91" i="1"/>
  <c r="X89" i="1"/>
  <c r="F88" i="1"/>
  <c r="M86" i="1"/>
  <c r="W84" i="1"/>
  <c r="K83" i="1"/>
  <c r="C82" i="1"/>
  <c r="V80" i="1"/>
  <c r="Q79" i="1"/>
  <c r="L78" i="1"/>
  <c r="G77" i="1"/>
  <c r="B76" i="1"/>
  <c r="H70" i="1"/>
  <c r="W62" i="1"/>
  <c r="F60" i="1"/>
  <c r="C54" i="1"/>
  <c r="M51" i="1"/>
  <c r="H49" i="1"/>
  <c r="AA46" i="1"/>
  <c r="C41" i="1"/>
  <c r="K38" i="1"/>
  <c r="H37" i="1"/>
  <c r="H31" i="1"/>
  <c r="E28" i="1"/>
  <c r="K25" i="1"/>
  <c r="I19" i="1"/>
  <c r="T16" i="1"/>
  <c r="E14" i="1"/>
  <c r="I8" i="1"/>
  <c r="E5" i="1"/>
  <c r="Q2" i="1"/>
  <c r="D287" i="1"/>
  <c r="F267" i="1"/>
  <c r="E250" i="1"/>
  <c r="U228" i="1"/>
  <c r="Y217" i="1"/>
  <c r="G209" i="1"/>
  <c r="S190" i="1"/>
  <c r="I184" i="1"/>
  <c r="Y430" i="1"/>
  <c r="S401" i="1"/>
  <c r="F376" i="1"/>
  <c r="G361" i="1"/>
  <c r="T350" i="1"/>
  <c r="Q451" i="1"/>
  <c r="V420" i="1"/>
  <c r="J406" i="1"/>
  <c r="T394" i="1"/>
  <c r="C383" i="1"/>
  <c r="O371" i="1"/>
  <c r="K413" i="1"/>
  <c r="F389" i="1"/>
  <c r="W367" i="1"/>
  <c r="S353" i="1"/>
  <c r="Y433" i="1"/>
  <c r="Y411" i="1"/>
  <c r="T399" i="1"/>
  <c r="C388" i="1"/>
  <c r="M376" i="1"/>
  <c r="Y345" i="1"/>
  <c r="K340" i="1"/>
  <c r="E335" i="1"/>
  <c r="W329" i="1"/>
  <c r="O324" i="1"/>
  <c r="F319" i="1"/>
  <c r="S313" i="1"/>
  <c r="T409" i="1"/>
  <c r="O386" i="1"/>
  <c r="B366" i="1"/>
  <c r="B352" i="1"/>
  <c r="B341" i="1"/>
  <c r="B334" i="1"/>
  <c r="Z326" i="1"/>
  <c r="Y319" i="1"/>
  <c r="N312" i="1"/>
  <c r="B306" i="1"/>
  <c r="W300" i="1"/>
  <c r="P295" i="1"/>
  <c r="K290" i="1"/>
  <c r="Z284" i="1"/>
  <c r="Q279" i="1"/>
  <c r="K274" i="1"/>
  <c r="AA268" i="1"/>
  <c r="U263" i="1"/>
  <c r="O258" i="1"/>
  <c r="P414" i="1"/>
  <c r="C390" i="1"/>
  <c r="J368" i="1"/>
  <c r="F354" i="1"/>
  <c r="D342" i="1"/>
  <c r="C335" i="1"/>
  <c r="AA327" i="1"/>
  <c r="Z320" i="1"/>
  <c r="P313" i="1"/>
  <c r="W306" i="1"/>
  <c r="Q301" i="1"/>
  <c r="E298" i="1"/>
  <c r="P294" i="1"/>
  <c r="D291" i="1"/>
  <c r="Y287" i="1"/>
  <c r="F285" i="1"/>
  <c r="Q282" i="1"/>
  <c r="AA279" i="1"/>
  <c r="I277" i="1"/>
  <c r="R274" i="1"/>
  <c r="W271" i="1"/>
  <c r="I269" i="1"/>
  <c r="R266" i="1"/>
  <c r="M261" i="1"/>
  <c r="V258" i="1"/>
  <c r="D256" i="1"/>
  <c r="O253" i="1"/>
  <c r="X250" i="1"/>
  <c r="I248" i="1"/>
  <c r="R245" i="1"/>
  <c r="K240" i="1"/>
  <c r="U237" i="1"/>
  <c r="C235" i="1"/>
  <c r="M232" i="1"/>
  <c r="U229" i="1"/>
  <c r="C227" i="1"/>
  <c r="L224" i="1"/>
  <c r="S221" i="1"/>
  <c r="Z218" i="1"/>
  <c r="H216" i="1"/>
  <c r="O213" i="1"/>
  <c r="AA210" i="1"/>
  <c r="O208" i="1"/>
  <c r="C206" i="1"/>
  <c r="T203" i="1"/>
  <c r="H201" i="1"/>
  <c r="V198" i="1"/>
  <c r="K196" i="1"/>
  <c r="Z193" i="1"/>
  <c r="Q460" i="1"/>
  <c r="R408" i="1"/>
  <c r="L385" i="1"/>
  <c r="K365" i="1"/>
  <c r="J351" i="1"/>
  <c r="S340" i="1"/>
  <c r="S333" i="1"/>
  <c r="Q326" i="1"/>
  <c r="O319" i="1"/>
  <c r="D312" i="1"/>
  <c r="V305" i="1"/>
  <c r="Q300" i="1"/>
  <c r="J295" i="1"/>
  <c r="C290" i="1"/>
  <c r="T284" i="1"/>
  <c r="K279" i="1"/>
  <c r="C274" i="1"/>
  <c r="U268" i="1"/>
  <c r="O263" i="1"/>
  <c r="I258" i="1"/>
  <c r="T254" i="1"/>
  <c r="F251" i="1"/>
  <c r="U247" i="1"/>
  <c r="M244" i="1"/>
  <c r="B242" i="1"/>
  <c r="V239" i="1"/>
  <c r="N237" i="1"/>
  <c r="N235" i="1"/>
  <c r="S233" i="1"/>
  <c r="Y231" i="1"/>
  <c r="D230" i="1"/>
  <c r="K228" i="1"/>
  <c r="O226" i="1"/>
  <c r="V224" i="1"/>
  <c r="AA222" i="1"/>
  <c r="D221" i="1"/>
  <c r="J219" i="1"/>
  <c r="N217" i="1"/>
  <c r="T215" i="1"/>
  <c r="Z213" i="1"/>
  <c r="D212" i="1"/>
  <c r="N210" i="1"/>
  <c r="Y208" i="1"/>
  <c r="G207" i="1"/>
  <c r="Q205" i="1"/>
  <c r="B204" i="1"/>
  <c r="L202" i="1"/>
  <c r="U200" i="1"/>
  <c r="E199" i="1"/>
  <c r="O197" i="1"/>
  <c r="Y195" i="1"/>
  <c r="H194" i="1"/>
  <c r="S192" i="1"/>
  <c r="F191" i="1"/>
  <c r="W188" i="1"/>
  <c r="R187" i="1"/>
  <c r="L186" i="1"/>
  <c r="G185" i="1"/>
  <c r="B184" i="1"/>
  <c r="X182" i="1"/>
  <c r="R181" i="1"/>
  <c r="M180" i="1"/>
  <c r="F438" i="1"/>
  <c r="B414" i="1"/>
  <c r="K401" i="1"/>
  <c r="T389" i="1"/>
  <c r="C378" i="1"/>
  <c r="B368" i="1"/>
  <c r="AA360" i="1"/>
  <c r="Y346" i="1"/>
  <c r="M338" i="1"/>
  <c r="AA334" i="1"/>
  <c r="K331" i="1"/>
  <c r="Y327" i="1"/>
  <c r="I324" i="1"/>
  <c r="V320" i="1"/>
  <c r="E317" i="1"/>
  <c r="M313" i="1"/>
  <c r="U309" i="1"/>
  <c r="U306" i="1"/>
  <c r="D304" i="1"/>
  <c r="O301" i="1"/>
  <c r="Z298" i="1"/>
  <c r="I296" i="1"/>
  <c r="R293" i="1"/>
  <c r="B291" i="1"/>
  <c r="J288" i="1"/>
  <c r="R285" i="1"/>
  <c r="L280" i="1"/>
  <c r="S277" i="1"/>
  <c r="B275" i="1"/>
  <c r="I272" i="1"/>
  <c r="S269" i="1"/>
  <c r="B267" i="1"/>
  <c r="M264" i="1"/>
  <c r="W261" i="1"/>
  <c r="E259" i="1"/>
  <c r="C257" i="1"/>
  <c r="K255" i="1"/>
  <c r="Q253" i="1"/>
  <c r="V251" i="1"/>
  <c r="C250" i="1"/>
  <c r="K248" i="1"/>
  <c r="Q246" i="1"/>
  <c r="AA418" i="1"/>
  <c r="L393" i="1"/>
  <c r="V381" i="1"/>
  <c r="P370" i="1"/>
  <c r="C363" i="1"/>
  <c r="H356" i="1"/>
  <c r="E349" i="1"/>
  <c r="E343" i="1"/>
  <c r="Q339" i="1"/>
  <c r="C336" i="1"/>
  <c r="P332" i="1"/>
  <c r="B329" i="1"/>
  <c r="M325" i="1"/>
  <c r="AA321" i="1"/>
  <c r="AA404" i="1"/>
  <c r="B363" i="1"/>
  <c r="O339" i="1"/>
  <c r="L325" i="1"/>
  <c r="R308" i="1"/>
  <c r="J303" i="1"/>
  <c r="C298" i="1"/>
  <c r="W292" i="1"/>
  <c r="N287" i="1"/>
  <c r="E282" i="1"/>
  <c r="W276" i="1"/>
  <c r="M271" i="1"/>
  <c r="F266" i="1"/>
  <c r="P256" i="1"/>
  <c r="B253" i="1"/>
  <c r="P249" i="1"/>
  <c r="B246" i="1"/>
  <c r="R243" i="1"/>
  <c r="I241" i="1"/>
  <c r="Y238" i="1"/>
  <c r="R236" i="1"/>
  <c r="F234" i="1"/>
  <c r="W231" i="1"/>
  <c r="O229" i="1"/>
  <c r="D227" i="1"/>
  <c r="T224" i="1"/>
  <c r="J222" i="1"/>
  <c r="Y219" i="1"/>
  <c r="M217" i="1"/>
  <c r="C215" i="1"/>
  <c r="Q212" i="1"/>
  <c r="M210" i="1"/>
  <c r="I208" i="1"/>
  <c r="D206" i="1"/>
  <c r="AA203" i="1"/>
  <c r="W201" i="1"/>
  <c r="S199" i="1"/>
  <c r="N197" i="1"/>
  <c r="K195" i="1"/>
  <c r="E193" i="1"/>
  <c r="E191" i="1"/>
  <c r="Q189" i="1"/>
  <c r="K186" i="1"/>
  <c r="W184" i="1"/>
  <c r="G183" i="1"/>
  <c r="Q181" i="1"/>
  <c r="D180" i="1"/>
  <c r="V178" i="1"/>
  <c r="Q177" i="1"/>
  <c r="K176" i="1"/>
  <c r="C175" i="1"/>
  <c r="X173" i="1"/>
  <c r="N172" i="1"/>
  <c r="H171" i="1"/>
  <c r="C170" i="1"/>
  <c r="V168" i="1"/>
  <c r="P167" i="1"/>
  <c r="G166" i="1"/>
  <c r="T163" i="1"/>
  <c r="O162" i="1"/>
  <c r="J161" i="1"/>
  <c r="D160" i="1"/>
  <c r="Y158" i="1"/>
  <c r="R157" i="1"/>
  <c r="K156" i="1"/>
  <c r="F155" i="1"/>
  <c r="V152" i="1"/>
  <c r="Q151" i="1"/>
  <c r="I150" i="1"/>
  <c r="B149" i="1"/>
  <c r="W147" i="1"/>
  <c r="Q146" i="1"/>
  <c r="L145" i="1"/>
  <c r="G144" i="1"/>
  <c r="B143" i="1"/>
  <c r="X141" i="1"/>
  <c r="S140" i="1"/>
  <c r="N139" i="1"/>
  <c r="H138" i="1"/>
  <c r="B137" i="1"/>
  <c r="W135" i="1"/>
  <c r="R134" i="1"/>
  <c r="L133" i="1"/>
  <c r="G132" i="1"/>
  <c r="B131" i="1"/>
  <c r="W129" i="1"/>
  <c r="N128" i="1"/>
  <c r="G127" i="1"/>
  <c r="V124" i="1"/>
  <c r="Q123" i="1"/>
  <c r="L122" i="1"/>
  <c r="F121" i="1"/>
  <c r="Z119" i="1"/>
  <c r="T118" i="1"/>
  <c r="N117" i="1"/>
  <c r="I116" i="1"/>
  <c r="B115" i="1"/>
  <c r="W113" i="1"/>
  <c r="Q112" i="1"/>
  <c r="L111" i="1"/>
  <c r="G110" i="1"/>
  <c r="B109" i="1"/>
  <c r="T107" i="1"/>
  <c r="N106" i="1"/>
  <c r="I105" i="1"/>
  <c r="W102" i="1"/>
  <c r="O101" i="1"/>
  <c r="J100" i="1"/>
  <c r="E99" i="1"/>
  <c r="Z97" i="1"/>
  <c r="U96" i="1"/>
  <c r="N95" i="1"/>
  <c r="I94" i="1"/>
  <c r="S91" i="1"/>
  <c r="L90" i="1"/>
  <c r="G89" i="1"/>
  <c r="AA87" i="1"/>
  <c r="R86" i="1"/>
  <c r="L85" i="1"/>
  <c r="F84" i="1"/>
  <c r="T397" i="1"/>
  <c r="W358" i="1"/>
  <c r="J337" i="1"/>
  <c r="G323" i="1"/>
  <c r="S314" i="1"/>
  <c r="R307" i="1"/>
  <c r="K302" i="1"/>
  <c r="D297" i="1"/>
  <c r="Y291" i="1"/>
  <c r="O286" i="1"/>
  <c r="I281" i="1"/>
  <c r="Y275" i="1"/>
  <c r="O270" i="1"/>
  <c r="J265" i="1"/>
  <c r="B260" i="1"/>
  <c r="Z255" i="1"/>
  <c r="M252" i="1"/>
  <c r="AA248" i="1"/>
  <c r="Q245" i="1"/>
  <c r="I243" i="1"/>
  <c r="Y240" i="1"/>
  <c r="Q238" i="1"/>
  <c r="F236" i="1"/>
  <c r="W233" i="1"/>
  <c r="O231" i="1"/>
  <c r="D229" i="1"/>
  <c r="T226" i="1"/>
  <c r="K224" i="1"/>
  <c r="Z221" i="1"/>
  <c r="N219" i="1"/>
  <c r="D217" i="1"/>
  <c r="S214" i="1"/>
  <c r="H212" i="1"/>
  <c r="E210" i="1"/>
  <c r="AA207" i="1"/>
  <c r="U205" i="1"/>
  <c r="S203" i="1"/>
  <c r="N201" i="1"/>
  <c r="I199" i="1"/>
  <c r="F197" i="1"/>
  <c r="W192" i="1"/>
  <c r="Z190" i="1"/>
  <c r="J189" i="1"/>
  <c r="U187" i="1"/>
  <c r="E186" i="1"/>
  <c r="P184" i="1"/>
  <c r="AA182" i="1"/>
  <c r="K181" i="1"/>
  <c r="Z179" i="1"/>
  <c r="Q178" i="1"/>
  <c r="L177" i="1"/>
  <c r="F176" i="1"/>
  <c r="Y174" i="1"/>
  <c r="Q173" i="1"/>
  <c r="I172" i="1"/>
  <c r="C171" i="1"/>
  <c r="Y169" i="1"/>
  <c r="Q168" i="1"/>
  <c r="K167" i="1"/>
  <c r="B166" i="1"/>
  <c r="V164" i="1"/>
  <c r="O163" i="1"/>
  <c r="J162" i="1"/>
  <c r="E161" i="1"/>
  <c r="Z159" i="1"/>
  <c r="S158" i="1"/>
  <c r="M157" i="1"/>
  <c r="F156" i="1"/>
  <c r="V153" i="1"/>
  <c r="Q152" i="1"/>
  <c r="Y329" i="1"/>
  <c r="Z310" i="1"/>
  <c r="U299" i="1"/>
  <c r="I289" i="1"/>
  <c r="N278" i="1"/>
  <c r="Y267" i="1"/>
  <c r="S257" i="1"/>
  <c r="R250" i="1"/>
  <c r="K244" i="1"/>
  <c r="R239" i="1"/>
  <c r="AA234" i="1"/>
  <c r="F230" i="1"/>
  <c r="N225" i="1"/>
  <c r="R220" i="1"/>
  <c r="W215" i="1"/>
  <c r="E211" i="1"/>
  <c r="U206" i="1"/>
  <c r="O202" i="1"/>
  <c r="E198" i="1"/>
  <c r="W193" i="1"/>
  <c r="C190" i="1"/>
  <c r="Z186" i="1"/>
  <c r="T183" i="1"/>
  <c r="O180" i="1"/>
  <c r="AA177" i="1"/>
  <c r="M175" i="1"/>
  <c r="AA172" i="1"/>
  <c r="M170" i="1"/>
  <c r="AA167" i="1"/>
  <c r="K165" i="1"/>
  <c r="Y162" i="1"/>
  <c r="N160" i="1"/>
  <c r="B158" i="1"/>
  <c r="P155" i="1"/>
  <c r="E153" i="1"/>
  <c r="H151" i="1"/>
  <c r="O149" i="1"/>
  <c r="Y147" i="1"/>
  <c r="H146" i="1"/>
  <c r="T144" i="1"/>
  <c r="D143" i="1"/>
  <c r="O141" i="1"/>
  <c r="AA139" i="1"/>
  <c r="J138" i="1"/>
  <c r="S136" i="1"/>
  <c r="D135" i="1"/>
  <c r="N133" i="1"/>
  <c r="Y131" i="1"/>
  <c r="J130" i="1"/>
  <c r="P128" i="1"/>
  <c r="Y126" i="1"/>
  <c r="I125" i="1"/>
  <c r="S123" i="1"/>
  <c r="C122" i="1"/>
  <c r="L120" i="1"/>
  <c r="V118" i="1"/>
  <c r="E117" i="1"/>
  <c r="O115" i="1"/>
  <c r="Y113" i="1"/>
  <c r="H112" i="1"/>
  <c r="T110" i="1"/>
  <c r="D109" i="1"/>
  <c r="K107" i="1"/>
  <c r="V105" i="1"/>
  <c r="C104" i="1"/>
  <c r="L102" i="1"/>
  <c r="W100" i="1"/>
  <c r="G99" i="1"/>
  <c r="Q97" i="1"/>
  <c r="B96" i="1"/>
  <c r="K94" i="1"/>
  <c r="R92" i="1"/>
  <c r="Z90" i="1"/>
  <c r="I89" i="1"/>
  <c r="O87" i="1"/>
  <c r="Z85" i="1"/>
  <c r="H84" i="1"/>
  <c r="AA82" i="1"/>
  <c r="Q81" i="1"/>
  <c r="K80" i="1"/>
  <c r="F79" i="1"/>
  <c r="W76" i="1"/>
  <c r="R75" i="1"/>
  <c r="J74" i="1"/>
  <c r="R73" i="1"/>
  <c r="L72" i="1"/>
  <c r="W71" i="1"/>
  <c r="G71" i="1"/>
  <c r="Q70" i="1"/>
  <c r="K69" i="1"/>
  <c r="V68" i="1"/>
  <c r="F68" i="1"/>
  <c r="Q67" i="1"/>
  <c r="L66" i="1"/>
  <c r="W65" i="1"/>
  <c r="G65" i="1"/>
  <c r="R64" i="1"/>
  <c r="B64" i="1"/>
  <c r="M63" i="1"/>
  <c r="X62" i="1"/>
  <c r="F62" i="1"/>
  <c r="P61" i="1"/>
  <c r="AA60" i="1"/>
  <c r="K60" i="1"/>
  <c r="S59" i="1"/>
  <c r="C59" i="1"/>
  <c r="N58" i="1"/>
  <c r="Y57" i="1"/>
  <c r="F57" i="1"/>
  <c r="P56" i="1"/>
  <c r="AA55" i="1"/>
  <c r="J55" i="1"/>
  <c r="T54" i="1"/>
  <c r="D54" i="1"/>
  <c r="M53" i="1"/>
  <c r="W52" i="1"/>
  <c r="G52" i="1"/>
  <c r="R51" i="1"/>
  <c r="B51" i="1"/>
  <c r="L50" i="1"/>
  <c r="V49" i="1"/>
  <c r="E49" i="1"/>
  <c r="O48" i="1"/>
  <c r="Z47" i="1"/>
  <c r="I47" i="1"/>
  <c r="T46" i="1"/>
  <c r="D46" i="1"/>
  <c r="M45" i="1"/>
  <c r="W44" i="1"/>
  <c r="F44" i="1"/>
  <c r="P43" i="1"/>
  <c r="AA42" i="1"/>
  <c r="J42" i="1"/>
  <c r="T41" i="1"/>
  <c r="D41" i="1"/>
  <c r="N40" i="1"/>
  <c r="Y39" i="1"/>
  <c r="I39" i="1"/>
  <c r="T38" i="1"/>
  <c r="D38" i="1"/>
  <c r="M37" i="1"/>
  <c r="W36" i="1"/>
  <c r="G36" i="1"/>
  <c r="Q35" i="1"/>
  <c r="L34" i="1"/>
  <c r="W33" i="1"/>
  <c r="G33" i="1"/>
  <c r="R32" i="1"/>
  <c r="B32" i="1"/>
  <c r="M31" i="1"/>
  <c r="X30" i="1"/>
  <c r="H30" i="1"/>
  <c r="S29" i="1"/>
  <c r="C29" i="1"/>
  <c r="N28" i="1"/>
  <c r="Y27" i="1"/>
  <c r="I27" i="1"/>
  <c r="S26" i="1"/>
  <c r="C26" i="1"/>
  <c r="L25" i="1"/>
  <c r="U24" i="1"/>
  <c r="E24" i="1"/>
  <c r="P23" i="1"/>
  <c r="AA22" i="1"/>
  <c r="J22" i="1"/>
  <c r="T21" i="1"/>
  <c r="D21" i="1"/>
  <c r="O20" i="1"/>
  <c r="Z19" i="1"/>
  <c r="J19" i="1"/>
  <c r="S18" i="1"/>
  <c r="C18" i="1"/>
  <c r="N17" i="1"/>
  <c r="Y16" i="1"/>
  <c r="I16" i="1"/>
  <c r="S15" i="1"/>
  <c r="C15" i="1"/>
  <c r="N14" i="1"/>
  <c r="Y13" i="1"/>
  <c r="H13" i="1"/>
  <c r="S12" i="1"/>
  <c r="C12" i="1"/>
  <c r="N11" i="1"/>
  <c r="Y10" i="1"/>
  <c r="H10" i="1"/>
  <c r="S9" i="1"/>
  <c r="C9" i="1"/>
  <c r="N8" i="1"/>
  <c r="Y7" i="1"/>
  <c r="H7" i="1"/>
  <c r="S6" i="1"/>
  <c r="C6" i="1"/>
  <c r="N5" i="1"/>
  <c r="Y4" i="1"/>
  <c r="I4" i="1"/>
  <c r="T3" i="1"/>
  <c r="D3" i="1"/>
  <c r="N2" i="1"/>
  <c r="T1" i="1"/>
  <c r="D1" i="1"/>
  <c r="I74" i="1"/>
  <c r="P73" i="1"/>
  <c r="AA72" i="1"/>
  <c r="K72" i="1"/>
  <c r="V71" i="1"/>
  <c r="F71" i="1"/>
  <c r="P70" i="1"/>
  <c r="V69" i="1"/>
  <c r="F69" i="1"/>
  <c r="Q68" i="1"/>
  <c r="L67" i="1"/>
  <c r="W66" i="1"/>
  <c r="C66" i="1"/>
  <c r="B65" i="1"/>
  <c r="X63" i="1"/>
  <c r="Q62" i="1"/>
  <c r="O61" i="1"/>
  <c r="J60" i="1"/>
  <c r="F59" i="1"/>
  <c r="E58" i="1"/>
  <c r="M57" i="1"/>
  <c r="W56" i="1"/>
  <c r="G56" i="1"/>
  <c r="Q55" i="1"/>
  <c r="X54" i="1"/>
  <c r="Z53" i="1"/>
  <c r="V52" i="1"/>
  <c r="Q51" i="1"/>
  <c r="G50" i="1"/>
  <c r="V48" i="1"/>
  <c r="L47" i="1"/>
  <c r="O46" i="1"/>
  <c r="Z45" i="1"/>
  <c r="H45" i="1"/>
  <c r="Q44" i="1"/>
  <c r="G43" i="1"/>
  <c r="E42" i="1"/>
  <c r="Z40" i="1"/>
  <c r="X39" i="1"/>
  <c r="W38" i="1"/>
  <c r="L37" i="1"/>
  <c r="J36" i="1"/>
  <c r="AA34" i="1"/>
  <c r="K34" i="1"/>
  <c r="V33" i="1"/>
  <c r="F33" i="1"/>
  <c r="Q32" i="1"/>
  <c r="L31" i="1"/>
  <c r="S30" i="1"/>
  <c r="R29" i="1"/>
  <c r="Q28" i="1"/>
  <c r="P27" i="1"/>
  <c r="J26" i="1"/>
  <c r="G25" i="1"/>
  <c r="AA23" i="1"/>
  <c r="C23" i="1"/>
  <c r="M22" i="1"/>
  <c r="W21" i="1"/>
  <c r="G21" i="1"/>
  <c r="R20" i="1"/>
  <c r="B20" i="1"/>
  <c r="E19" i="1"/>
  <c r="B18" i="1"/>
  <c r="X16" i="1"/>
  <c r="V15" i="1"/>
  <c r="Q14" i="1"/>
  <c r="K13" i="1"/>
  <c r="J12" i="1"/>
  <c r="M11" i="1"/>
  <c r="X10" i="1"/>
  <c r="G10" i="1"/>
  <c r="R9" i="1"/>
  <c r="B9" i="1"/>
  <c r="M8" i="1"/>
  <c r="O7" i="1"/>
  <c r="R6" i="1"/>
  <c r="Q5" i="1"/>
  <c r="L4" i="1"/>
  <c r="K3" i="1"/>
  <c r="E2" i="1"/>
  <c r="S1" i="1"/>
  <c r="C1" i="1"/>
  <c r="W378" i="1"/>
  <c r="I347" i="1"/>
  <c r="C328" i="1"/>
  <c r="L317" i="1"/>
  <c r="AA309" i="1"/>
  <c r="I304" i="1"/>
  <c r="C299" i="1"/>
  <c r="O292" i="1"/>
  <c r="X281" i="1"/>
  <c r="D271" i="1"/>
  <c r="S260" i="1"/>
  <c r="V252" i="1"/>
  <c r="F245" i="1"/>
  <c r="C241" i="1"/>
  <c r="V238" i="1"/>
  <c r="N236" i="1"/>
  <c r="B234" i="1"/>
  <c r="T231" i="1"/>
  <c r="F228" i="1"/>
  <c r="T219" i="1"/>
  <c r="Z214" i="1"/>
  <c r="V209" i="1"/>
  <c r="M205" i="1"/>
  <c r="H202" i="1"/>
  <c r="C200" i="1"/>
  <c r="X197" i="1"/>
  <c r="U195" i="1"/>
  <c r="H190" i="1"/>
  <c r="D187" i="1"/>
  <c r="Z183" i="1"/>
  <c r="D181" i="1"/>
  <c r="L178" i="1"/>
  <c r="S174" i="1"/>
  <c r="L173" i="1"/>
  <c r="D172" i="1"/>
  <c r="Y170" i="1"/>
  <c r="J169" i="1"/>
  <c r="E167" i="1"/>
  <c r="H164" i="1"/>
  <c r="X161" i="1"/>
  <c r="D159" i="1"/>
  <c r="Q156" i="1"/>
  <c r="O154" i="1"/>
  <c r="I153" i="1"/>
  <c r="E152" i="1"/>
  <c r="K151" i="1"/>
  <c r="N150" i="1"/>
  <c r="G149" i="1"/>
  <c r="Q147" i="1"/>
  <c r="K146" i="1"/>
  <c r="Q145" i="1"/>
  <c r="V144" i="1"/>
  <c r="G143" i="1"/>
  <c r="L142" i="1"/>
  <c r="R141" i="1"/>
  <c r="X140" i="1"/>
  <c r="B140" i="1"/>
  <c r="H139" i="1"/>
  <c r="G138" i="1"/>
  <c r="V136" i="1"/>
  <c r="F135" i="1"/>
  <c r="Q133" i="1"/>
  <c r="L132" i="1"/>
  <c r="O129" i="1"/>
  <c r="H128" i="1"/>
  <c r="L127" i="1"/>
  <c r="P126" i="1"/>
  <c r="V125" i="1"/>
  <c r="AA123" i="1"/>
  <c r="K122" i="1"/>
  <c r="T120" i="1"/>
  <c r="Y118" i="1"/>
  <c r="H117" i="1"/>
  <c r="L115" i="1"/>
  <c r="F113" i="1"/>
  <c r="K112" i="1"/>
  <c r="Q111" i="1"/>
  <c r="V110" i="1"/>
  <c r="I107" i="1"/>
  <c r="N105" i="1"/>
  <c r="Q103" i="1"/>
  <c r="D102" i="1"/>
  <c r="I100" i="1"/>
  <c r="T98" i="1"/>
  <c r="Y97" i="1"/>
  <c r="D97" i="1"/>
  <c r="J96" i="1"/>
  <c r="M95" i="1"/>
  <c r="N94" i="1"/>
  <c r="U92" i="1"/>
  <c r="F89" i="1"/>
  <c r="M87" i="1"/>
  <c r="Q85" i="1"/>
  <c r="P84" i="1"/>
  <c r="V83" i="1"/>
  <c r="F83" i="1"/>
  <c r="N82" i="1"/>
  <c r="S81" i="1"/>
  <c r="U80" i="1"/>
  <c r="P79" i="1"/>
  <c r="G78" i="1"/>
  <c r="B77" i="1"/>
  <c r="T75" i="1"/>
  <c r="P74" i="1"/>
  <c r="AA73" i="1"/>
  <c r="G73" i="1"/>
  <c r="R72" i="1"/>
  <c r="B72" i="1"/>
  <c r="I71" i="1"/>
  <c r="C70" i="1"/>
  <c r="X68" i="1"/>
  <c r="O67" i="1"/>
  <c r="F66" i="1"/>
  <c r="W63" i="1"/>
  <c r="G63" i="1"/>
  <c r="P62" i="1"/>
  <c r="AA61" i="1"/>
  <c r="J61" i="1"/>
  <c r="Q60" i="1"/>
  <c r="I59" i="1"/>
  <c r="AA420" i="1"/>
  <c r="Q371" i="1"/>
  <c r="O343" i="1"/>
  <c r="K329" i="1"/>
  <c r="Z317" i="1"/>
  <c r="N310" i="1"/>
  <c r="R304" i="1"/>
  <c r="N299" i="1"/>
  <c r="E294" i="1"/>
  <c r="AA288" i="1"/>
  <c r="P283" i="1"/>
  <c r="E278" i="1"/>
  <c r="Y272" i="1"/>
  <c r="Q267" i="1"/>
  <c r="K262" i="1"/>
  <c r="O257" i="1"/>
  <c r="Z253" i="1"/>
  <c r="N250" i="1"/>
  <c r="I244" i="1"/>
  <c r="Z241" i="1"/>
  <c r="P239" i="1"/>
  <c r="J237" i="1"/>
  <c r="Y234" i="1"/>
  <c r="O232" i="1"/>
  <c r="E230" i="1"/>
  <c r="W227" i="1"/>
  <c r="K225" i="1"/>
  <c r="P220" i="1"/>
  <c r="D218" i="1"/>
  <c r="V215" i="1"/>
  <c r="J213" i="1"/>
  <c r="B211" i="1"/>
  <c r="Z208" i="1"/>
  <c r="T206" i="1"/>
  <c r="P204" i="1"/>
  <c r="M202" i="1"/>
  <c r="H200" i="1"/>
  <c r="C198" i="1"/>
  <c r="AA195" i="1"/>
  <c r="U193" i="1"/>
  <c r="Q191" i="1"/>
  <c r="B190" i="1"/>
  <c r="M188" i="1"/>
  <c r="W186" i="1"/>
  <c r="H185" i="1"/>
  <c r="S183" i="1"/>
  <c r="B182" i="1"/>
  <c r="N180" i="1"/>
  <c r="E179" i="1"/>
  <c r="Z177" i="1"/>
  <c r="T176" i="1"/>
  <c r="L175" i="1"/>
  <c r="F174" i="1"/>
  <c r="Z172" i="1"/>
  <c r="Q171" i="1"/>
  <c r="L170" i="1"/>
  <c r="E169" i="1"/>
  <c r="Z167" i="1"/>
  <c r="P166" i="1"/>
  <c r="J165" i="1"/>
  <c r="C164" i="1"/>
  <c r="X162" i="1"/>
  <c r="S161" i="1"/>
  <c r="M160" i="1"/>
  <c r="G159" i="1"/>
  <c r="T156" i="1"/>
  <c r="O155" i="1"/>
  <c r="J154" i="1"/>
  <c r="D153" i="1"/>
  <c r="G151" i="1"/>
  <c r="J150" i="1"/>
  <c r="M149" i="1"/>
  <c r="R148" i="1"/>
  <c r="X147" i="1"/>
  <c r="B147" i="1"/>
  <c r="G146" i="1"/>
  <c r="M145" i="1"/>
  <c r="R144" i="1"/>
  <c r="X143" i="1"/>
  <c r="C143" i="1"/>
  <c r="H142" i="1"/>
  <c r="N141" i="1"/>
  <c r="T140" i="1"/>
  <c r="Y139" i="1"/>
  <c r="D139" i="1"/>
  <c r="I138" i="1"/>
  <c r="M137" i="1"/>
  <c r="R136" i="1"/>
  <c r="X135" i="1"/>
  <c r="B135" i="1"/>
  <c r="H134" i="1"/>
  <c r="M133" i="1"/>
  <c r="R132" i="1"/>
  <c r="X131" i="1"/>
  <c r="C131" i="1"/>
  <c r="H130" i="1"/>
  <c r="K129" i="1"/>
  <c r="O128" i="1"/>
  <c r="R127" i="1"/>
  <c r="W126" i="1"/>
  <c r="B126" i="1"/>
  <c r="G125" i="1"/>
  <c r="L124" i="1"/>
  <c r="R123" i="1"/>
  <c r="W122" i="1"/>
  <c r="B122" i="1"/>
  <c r="G121" i="1"/>
  <c r="J120" i="1"/>
  <c r="O119" i="1"/>
  <c r="U118" i="1"/>
  <c r="Z117" i="1"/>
  <c r="D117" i="1"/>
  <c r="J116" i="1"/>
  <c r="M115" i="1"/>
  <c r="R114" i="1"/>
  <c r="X113" i="1"/>
  <c r="B113" i="1"/>
  <c r="G112" i="1"/>
  <c r="M111" i="1"/>
  <c r="R110" i="1"/>
  <c r="X109" i="1"/>
  <c r="C109" i="1"/>
  <c r="E108" i="1"/>
  <c r="J107" i="1"/>
  <c r="O106" i="1"/>
  <c r="T105" i="1"/>
  <c r="Z104" i="1"/>
  <c r="B104" i="1"/>
  <c r="G103" i="1"/>
  <c r="K102" i="1"/>
  <c r="P101" i="1"/>
  <c r="U100" i="1"/>
  <c r="AA99" i="1"/>
  <c r="F99" i="1"/>
  <c r="J98" i="1"/>
  <c r="P97" i="1"/>
  <c r="V96" i="1"/>
  <c r="AA95" i="1"/>
  <c r="D95" i="1"/>
  <c r="J94" i="1"/>
  <c r="L93" i="1"/>
  <c r="Q92" i="1"/>
  <c r="T91" i="1"/>
  <c r="W90" i="1"/>
  <c r="B90" i="1"/>
  <c r="H89" i="1"/>
  <c r="K88" i="1"/>
  <c r="N87" i="1"/>
  <c r="S86" i="1"/>
  <c r="W85" i="1"/>
  <c r="B85" i="1"/>
  <c r="G84" i="1"/>
  <c r="O83" i="1"/>
  <c r="Z82" i="1"/>
  <c r="G82" i="1"/>
  <c r="P81" i="1"/>
  <c r="AA80" i="1"/>
  <c r="J80" i="1"/>
  <c r="U79" i="1"/>
  <c r="E79" i="1"/>
  <c r="P78" i="1"/>
  <c r="AA77" i="1"/>
  <c r="K77" i="1"/>
  <c r="V76" i="1"/>
  <c r="F76" i="1"/>
  <c r="L75" i="1"/>
  <c r="Q74" i="1"/>
  <c r="R65" i="1"/>
  <c r="I64" i="1"/>
  <c r="D63" i="1"/>
  <c r="W61" i="1"/>
  <c r="N60" i="1"/>
  <c r="B59" i="1"/>
  <c r="K54" i="1"/>
  <c r="AA52" i="1"/>
  <c r="U51" i="1"/>
  <c r="S50" i="1"/>
  <c r="P49" i="1"/>
  <c r="J48" i="1"/>
  <c r="H47" i="1"/>
  <c r="M42" i="1"/>
  <c r="K41" i="1"/>
  <c r="S38" i="1"/>
  <c r="P37" i="1"/>
  <c r="F36" i="1"/>
  <c r="D35" i="1"/>
  <c r="V29" i="1"/>
  <c r="M28" i="1"/>
  <c r="D27" i="1"/>
  <c r="Y25" i="1"/>
  <c r="L24" i="1"/>
  <c r="Y19" i="1"/>
  <c r="F18" i="1"/>
  <c r="R15" i="1"/>
  <c r="M14" i="1"/>
  <c r="C13" i="1"/>
  <c r="Y11" i="1"/>
  <c r="C7" i="1"/>
  <c r="M5" i="1"/>
  <c r="H4" i="1"/>
  <c r="Z2" i="1"/>
  <c r="Y289" i="1"/>
  <c r="D279" i="1"/>
  <c r="W269" i="1"/>
  <c r="K259" i="1"/>
  <c r="Z251" i="1"/>
  <c r="W245" i="1"/>
  <c r="D231" i="1"/>
  <c r="R224" i="1"/>
  <c r="D219" i="1"/>
  <c r="I214" i="1"/>
  <c r="J210" i="1"/>
  <c r="AA205" i="1"/>
  <c r="AA191" i="1"/>
  <c r="I188" i="1"/>
  <c r="D185" i="1"/>
  <c r="O181" i="1"/>
  <c r="T178" i="1"/>
  <c r="Q176" i="1"/>
  <c r="V167" i="1"/>
  <c r="G165" i="1"/>
  <c r="U162" i="1"/>
  <c r="R160" i="1"/>
  <c r="F158" i="1"/>
  <c r="T155" i="1"/>
  <c r="L147" i="1"/>
  <c r="L137" i="1"/>
  <c r="V135" i="1"/>
  <c r="G134" i="1"/>
  <c r="F132" i="1"/>
  <c r="L130" i="1"/>
  <c r="P124" i="1"/>
  <c r="Q122" i="1"/>
  <c r="AA120" i="1"/>
  <c r="N119" i="1"/>
  <c r="Y117" i="1"/>
  <c r="N116" i="1"/>
  <c r="Q114" i="1"/>
  <c r="I108" i="1"/>
  <c r="S106" i="1"/>
  <c r="H105" i="1"/>
  <c r="V103" i="1"/>
  <c r="Z101" i="1"/>
  <c r="O100" i="1"/>
  <c r="Z98" i="1"/>
  <c r="K93" i="1"/>
  <c r="R91" i="1"/>
  <c r="O88" i="1"/>
  <c r="B87" i="1"/>
  <c r="K85" i="1"/>
  <c r="Q80" i="1"/>
  <c r="L79" i="1"/>
  <c r="K78" i="1"/>
  <c r="F77" i="1"/>
  <c r="E76" i="1"/>
  <c r="T74" i="1"/>
  <c r="O70" i="1"/>
  <c r="I69" i="1"/>
  <c r="H68" i="1"/>
  <c r="C67" i="1"/>
  <c r="B66" i="1"/>
  <c r="X64" i="1"/>
  <c r="B61" i="1"/>
  <c r="M59" i="1"/>
  <c r="J436" i="1"/>
  <c r="W318" i="1"/>
  <c r="W294" i="1"/>
  <c r="Q273" i="1"/>
  <c r="L254" i="1"/>
  <c r="F242" i="1"/>
  <c r="W232" i="1"/>
  <c r="J223" i="1"/>
  <c r="Q213" i="1"/>
  <c r="X204" i="1"/>
  <c r="F196" i="1"/>
  <c r="R188" i="1"/>
  <c r="H182" i="1"/>
  <c r="Y176" i="1"/>
  <c r="U171" i="1"/>
  <c r="T166" i="1"/>
  <c r="W161" i="1"/>
  <c r="Z156" i="1"/>
  <c r="D152" i="1"/>
  <c r="U148" i="1"/>
  <c r="O145" i="1"/>
  <c r="K142" i="1"/>
  <c r="G139" i="1"/>
  <c r="Z135" i="1"/>
  <c r="U132" i="1"/>
  <c r="N129" i="1"/>
  <c r="D126" i="1"/>
  <c r="Z122" i="1"/>
  <c r="R119" i="1"/>
  <c r="L116" i="1"/>
  <c r="E113" i="1"/>
  <c r="AA109" i="1"/>
  <c r="Q106" i="1"/>
  <c r="J103" i="1"/>
  <c r="C100" i="1"/>
  <c r="X96" i="1"/>
  <c r="O93" i="1"/>
  <c r="E90" i="1"/>
  <c r="U86" i="1"/>
  <c r="Q83" i="1"/>
  <c r="B81" i="1"/>
  <c r="R78" i="1"/>
  <c r="H76" i="1"/>
  <c r="S73" i="1"/>
  <c r="H71" i="1"/>
  <c r="W68" i="1"/>
  <c r="M66" i="1"/>
  <c r="C64" i="1"/>
  <c r="Q61" i="1"/>
  <c r="D59" i="1"/>
  <c r="O57" i="1"/>
  <c r="I56" i="1"/>
  <c r="C55" i="1"/>
  <c r="W53" i="1"/>
  <c r="P52" i="1"/>
  <c r="K51" i="1"/>
  <c r="E50" i="1"/>
  <c r="Y48" i="1"/>
  <c r="R47" i="1"/>
  <c r="M46" i="1"/>
  <c r="E45" i="1"/>
  <c r="Z43" i="1"/>
  <c r="S42" i="1"/>
  <c r="M41" i="1"/>
  <c r="G40" i="1"/>
  <c r="B39" i="1"/>
  <c r="W37" i="1"/>
  <c r="P36" i="1"/>
  <c r="J35" i="1"/>
  <c r="E34" i="1"/>
  <c r="AA32" i="1"/>
  <c r="V31" i="1"/>
  <c r="Q30" i="1"/>
  <c r="L29" i="1"/>
  <c r="G28" i="1"/>
  <c r="B27" i="1"/>
  <c r="U25" i="1"/>
  <c r="N24" i="1"/>
  <c r="I23" i="1"/>
  <c r="C22" i="1"/>
  <c r="X20" i="1"/>
  <c r="S19" i="1"/>
  <c r="L18" i="1"/>
  <c r="G17" i="1"/>
  <c r="B16" i="1"/>
  <c r="W14" i="1"/>
  <c r="Q13" i="1"/>
  <c r="L12" i="1"/>
  <c r="G11" i="1"/>
  <c r="W8" i="1"/>
  <c r="Q7" i="1"/>
  <c r="L6" i="1"/>
  <c r="G5" i="1"/>
  <c r="B4" i="1"/>
  <c r="W2" i="1"/>
  <c r="Y1" i="1"/>
  <c r="G107" i="1"/>
  <c r="Z103" i="1"/>
  <c r="S100" i="1"/>
  <c r="M97" i="1"/>
  <c r="G94" i="1"/>
  <c r="U90" i="1"/>
  <c r="K87" i="1"/>
  <c r="D84" i="1"/>
  <c r="N81" i="1"/>
  <c r="C79" i="1"/>
  <c r="T76" i="1"/>
  <c r="G74" i="1"/>
  <c r="T71" i="1"/>
  <c r="H69" i="1"/>
  <c r="Y66" i="1"/>
  <c r="O64" i="1"/>
  <c r="C62" i="1"/>
  <c r="P59" i="1"/>
  <c r="U57" i="1"/>
  <c r="N56" i="1"/>
  <c r="H55" i="1"/>
  <c r="B54" i="1"/>
  <c r="U52" i="1"/>
  <c r="P51" i="1"/>
  <c r="J50" i="1"/>
  <c r="C49" i="1"/>
  <c r="W47" i="1"/>
  <c r="R46" i="1"/>
  <c r="K45" i="1"/>
  <c r="D44" i="1"/>
  <c r="Y42" i="1"/>
  <c r="R41" i="1"/>
  <c r="L40" i="1"/>
  <c r="G39" i="1"/>
  <c r="B38" i="1"/>
  <c r="U36" i="1"/>
  <c r="O35" i="1"/>
  <c r="J34" i="1"/>
  <c r="E33" i="1"/>
  <c r="AA31" i="1"/>
  <c r="V30" i="1"/>
  <c r="Q29" i="1"/>
  <c r="L28" i="1"/>
  <c r="G27" i="1"/>
  <c r="S24" i="1"/>
  <c r="N23" i="1"/>
  <c r="H22" i="1"/>
  <c r="B21" i="1"/>
  <c r="X19" i="1"/>
  <c r="Q18" i="1"/>
  <c r="L17" i="1"/>
  <c r="G16" i="1"/>
  <c r="V13" i="1"/>
  <c r="Q12" i="1"/>
  <c r="L11" i="1"/>
  <c r="F10" i="1"/>
  <c r="V7" i="1"/>
  <c r="Q6" i="1"/>
  <c r="L5" i="1"/>
  <c r="G4" i="1"/>
  <c r="B3" i="1"/>
  <c r="F1" i="1"/>
  <c r="D324" i="1"/>
  <c r="N297" i="1"/>
  <c r="F276" i="1"/>
  <c r="E256" i="1"/>
  <c r="M243" i="1"/>
  <c r="N224" i="1"/>
  <c r="W214" i="1"/>
  <c r="Y205" i="1"/>
  <c r="H197" i="1"/>
  <c r="M189" i="1"/>
  <c r="C183" i="1"/>
  <c r="N177" i="1"/>
  <c r="K172" i="1"/>
  <c r="M167" i="1"/>
  <c r="L162" i="1"/>
  <c r="O157" i="1"/>
  <c r="S152" i="1"/>
  <c r="E149" i="1"/>
  <c r="Z145" i="1"/>
  <c r="V142" i="1"/>
  <c r="Q139" i="1"/>
  <c r="J136" i="1"/>
  <c r="E133" i="1"/>
  <c r="AA129" i="1"/>
  <c r="O126" i="1"/>
  <c r="J123" i="1"/>
  <c r="B120" i="1"/>
  <c r="W116" i="1"/>
  <c r="P113" i="1"/>
  <c r="J110" i="1"/>
  <c r="B107" i="1"/>
  <c r="U103" i="1"/>
  <c r="M100" i="1"/>
  <c r="H97" i="1"/>
  <c r="B94" i="1"/>
  <c r="O90" i="1"/>
  <c r="F87" i="1"/>
  <c r="Z83" i="1"/>
  <c r="J81" i="1"/>
  <c r="Z78" i="1"/>
  <c r="P76" i="1"/>
  <c r="C74" i="1"/>
  <c r="P71" i="1"/>
  <c r="D69" i="1"/>
  <c r="U66" i="1"/>
  <c r="K64" i="1"/>
  <c r="Z61" i="1"/>
  <c r="L59" i="1"/>
  <c r="T57" i="1"/>
  <c r="M56" i="1"/>
  <c r="G55" i="1"/>
  <c r="T52" i="1"/>
  <c r="O51" i="1"/>
  <c r="I50" i="1"/>
  <c r="B49" i="1"/>
  <c r="V47" i="1"/>
  <c r="Q46" i="1"/>
  <c r="J45" i="1"/>
  <c r="C44" i="1"/>
  <c r="X42" i="1"/>
  <c r="Q41" i="1"/>
  <c r="K40" i="1"/>
  <c r="F39" i="1"/>
  <c r="T36" i="1"/>
  <c r="N35" i="1"/>
  <c r="I34" i="1"/>
  <c r="D33" i="1"/>
  <c r="Z31" i="1"/>
  <c r="U30" i="1"/>
  <c r="P29" i="1"/>
  <c r="K28" i="1"/>
  <c r="F27" i="1"/>
  <c r="AA25" i="1"/>
  <c r="R24" i="1"/>
  <c r="M23" i="1"/>
  <c r="G22" i="1"/>
  <c r="W19" i="1"/>
  <c r="P18" i="1"/>
  <c r="K17" i="1"/>
  <c r="F16" i="1"/>
  <c r="AA14" i="1"/>
  <c r="U13" i="1"/>
  <c r="P12" i="1"/>
  <c r="K11" i="1"/>
  <c r="X9" i="1"/>
  <c r="S8" i="1"/>
  <c r="M7" i="1"/>
  <c r="H6" i="1"/>
  <c r="V4" i="1"/>
  <c r="E1" i="1"/>
  <c r="Z274" i="1"/>
  <c r="L233" i="1"/>
  <c r="T209" i="1"/>
  <c r="L192" i="1"/>
  <c r="S182" i="1"/>
  <c r="C172" i="1"/>
  <c r="S159" i="1"/>
  <c r="J147" i="1"/>
  <c r="AA136" i="1"/>
  <c r="E127" i="1"/>
  <c r="B119" i="1"/>
  <c r="R107" i="1"/>
  <c r="R98" i="1"/>
  <c r="Z92" i="1"/>
  <c r="E86" i="1"/>
  <c r="P80" i="1"/>
  <c r="O74" i="1"/>
  <c r="F67" i="1"/>
  <c r="AA59" i="1"/>
  <c r="D55" i="1"/>
  <c r="W50" i="1"/>
  <c r="C47" i="1"/>
  <c r="R43" i="1"/>
  <c r="F41" i="1"/>
  <c r="C39" i="1"/>
  <c r="Q36" i="1"/>
  <c r="Y33" i="1"/>
  <c r="J30" i="1"/>
  <c r="U26" i="1"/>
  <c r="D22" i="1"/>
  <c r="M18" i="1"/>
  <c r="P14" i="1"/>
  <c r="H11" i="1"/>
  <c r="P8" i="1"/>
  <c r="M6" i="1"/>
  <c r="C4" i="1"/>
  <c r="J1" i="1"/>
  <c r="Q327" i="1"/>
  <c r="V298" i="1"/>
  <c r="P277" i="1"/>
  <c r="B257" i="1"/>
  <c r="Z243" i="1"/>
  <c r="R234" i="1"/>
  <c r="D225" i="1"/>
  <c r="M215" i="1"/>
  <c r="M206" i="1"/>
  <c r="W197" i="1"/>
  <c r="W189" i="1"/>
  <c r="N183" i="1"/>
  <c r="V177" i="1"/>
  <c r="S172" i="1"/>
  <c r="U167" i="1"/>
  <c r="T162" i="1"/>
  <c r="W157" i="1"/>
  <c r="AA152" i="1"/>
  <c r="K149" i="1"/>
  <c r="D146" i="1"/>
  <c r="AA142" i="1"/>
  <c r="W139" i="1"/>
  <c r="O136" i="1"/>
  <c r="J133" i="1"/>
  <c r="F130" i="1"/>
  <c r="T126" i="1"/>
  <c r="O123" i="1"/>
  <c r="H120" i="1"/>
  <c r="U113" i="1"/>
  <c r="P110" i="1"/>
  <c r="S5" i="1"/>
  <c r="R306" i="1"/>
  <c r="U251" i="1"/>
  <c r="Q169" i="1"/>
  <c r="O151" i="1"/>
  <c r="P142" i="1"/>
  <c r="Z132" i="1"/>
  <c r="D123" i="1"/>
  <c r="E114" i="1"/>
  <c r="O103" i="1"/>
  <c r="G64" i="1"/>
  <c r="AA56" i="1"/>
  <c r="O53" i="1"/>
  <c r="N50" i="1"/>
  <c r="V46" i="1"/>
  <c r="I33" i="1"/>
  <c r="U29" i="1"/>
  <c r="E26" i="1"/>
  <c r="T22" i="1"/>
  <c r="D19" i="1"/>
  <c r="U15" i="1"/>
  <c r="V3" i="1"/>
  <c r="C11" i="1"/>
  <c r="O285" i="1"/>
  <c r="D238" i="1"/>
  <c r="S216" i="1"/>
  <c r="C201" i="1"/>
  <c r="C181" i="1"/>
  <c r="X170" i="1"/>
  <c r="G157" i="1"/>
  <c r="U145" i="1"/>
  <c r="E136" i="1"/>
  <c r="O125" i="1"/>
  <c r="AA114" i="1"/>
  <c r="W106" i="1"/>
  <c r="X97" i="1"/>
  <c r="E91" i="1"/>
  <c r="U83" i="1"/>
  <c r="V78" i="1"/>
  <c r="F73" i="1"/>
  <c r="Q66" i="1"/>
  <c r="H59" i="1"/>
  <c r="T55" i="1"/>
  <c r="T51" i="1"/>
  <c r="I48" i="1"/>
  <c r="P44" i="1"/>
  <c r="D42" i="1"/>
  <c r="K39" i="1"/>
  <c r="Z36" i="1"/>
  <c r="F34" i="1"/>
  <c r="Z30" i="1"/>
  <c r="K27" i="1"/>
  <c r="Z23" i="1"/>
  <c r="Q20" i="1"/>
  <c r="K16" i="1"/>
  <c r="AA13" i="1"/>
  <c r="AA10" i="1"/>
  <c r="X8" i="1"/>
  <c r="E6" i="1"/>
  <c r="N3" i="1"/>
  <c r="B439" i="1"/>
  <c r="G356" i="1"/>
  <c r="P436" i="1"/>
  <c r="T400" i="1"/>
  <c r="M377" i="1"/>
  <c r="F401" i="1"/>
  <c r="Y360" i="1"/>
  <c r="K450" i="1"/>
  <c r="Y405" i="1"/>
  <c r="I394" i="1"/>
  <c r="C371" i="1"/>
  <c r="V356" i="1"/>
  <c r="G343" i="1"/>
  <c r="R332" i="1"/>
  <c r="B322" i="1"/>
  <c r="B311" i="1"/>
  <c r="Y398" i="1"/>
  <c r="P359" i="1"/>
  <c r="T337" i="1"/>
  <c r="Q323" i="1"/>
  <c r="Q303" i="1"/>
  <c r="C293" i="1"/>
  <c r="N282" i="1"/>
  <c r="T271" i="1"/>
  <c r="J261" i="1"/>
  <c r="M402" i="1"/>
  <c r="Q361" i="1"/>
  <c r="W338" i="1"/>
  <c r="R324" i="1"/>
  <c r="C310" i="1"/>
  <c r="D300" i="1"/>
  <c r="B293" i="1"/>
  <c r="U286" i="1"/>
  <c r="N281" i="1"/>
  <c r="C276" i="1"/>
  <c r="N273" i="1"/>
  <c r="D268" i="1"/>
  <c r="Y262" i="1"/>
  <c r="R257" i="1"/>
  <c r="K252" i="1"/>
  <c r="D247" i="1"/>
  <c r="W241" i="1"/>
  <c r="Q236" i="1"/>
  <c r="I231" i="1"/>
  <c r="Z225" i="1"/>
  <c r="N220" i="1"/>
  <c r="U217" i="1"/>
  <c r="J212" i="1"/>
  <c r="M207" i="1"/>
  <c r="R202" i="1"/>
  <c r="M323" i="1"/>
  <c r="Y308" i="1"/>
  <c r="J298" i="1"/>
  <c r="S287" i="1"/>
  <c r="B277" i="1"/>
  <c r="M266" i="1"/>
  <c r="T256" i="1"/>
  <c r="T249" i="1"/>
  <c r="Q243" i="1"/>
  <c r="Z238" i="1"/>
  <c r="V234" i="1"/>
  <c r="F231" i="1"/>
  <c r="T227" i="1"/>
  <c r="D224" i="1"/>
  <c r="R218" i="1"/>
  <c r="N211" i="1"/>
  <c r="H208" i="1"/>
  <c r="V201" i="1"/>
  <c r="O198" i="1"/>
  <c r="I195" i="1"/>
  <c r="C192" i="1"/>
  <c r="P189" i="1"/>
  <c r="F187" i="1"/>
  <c r="V184" i="1"/>
  <c r="K182" i="1"/>
  <c r="M460" i="1"/>
  <c r="Q408" i="1"/>
  <c r="K385" i="1"/>
  <c r="I365" i="1"/>
  <c r="I351" i="1"/>
  <c r="R340" i="1"/>
  <c r="Q333" i="1"/>
  <c r="P326" i="1"/>
  <c r="N319" i="1"/>
  <c r="B312" i="1"/>
  <c r="U305" i="1"/>
  <c r="P300" i="1"/>
  <c r="I295" i="1"/>
  <c r="B290" i="1"/>
  <c r="S284" i="1"/>
  <c r="J279" i="1"/>
  <c r="B274" i="1"/>
  <c r="T268" i="1"/>
  <c r="N263" i="1"/>
  <c r="F258" i="1"/>
  <c r="S254" i="1"/>
  <c r="D251" i="1"/>
  <c r="Z245" i="1"/>
  <c r="D413" i="1"/>
  <c r="S400" i="1"/>
  <c r="L377" i="1"/>
  <c r="P360" i="1"/>
  <c r="M346" i="1"/>
  <c r="I338" i="1"/>
  <c r="G331" i="1"/>
  <c r="E324" i="1"/>
  <c r="P387" i="1"/>
  <c r="H334" i="1"/>
  <c r="F313" i="1"/>
  <c r="K301" i="1"/>
  <c r="Y290" i="1"/>
  <c r="F280" i="1"/>
  <c r="O269" i="1"/>
  <c r="T251" i="1"/>
  <c r="B245" i="1"/>
  <c r="L240" i="1"/>
  <c r="T235" i="1"/>
  <c r="AA230" i="1"/>
  <c r="F226" i="1"/>
  <c r="L221" i="1"/>
  <c r="O216" i="1"/>
  <c r="V211" i="1"/>
  <c r="N207" i="1"/>
  <c r="F203" i="1"/>
  <c r="W198" i="1"/>
  <c r="N194" i="1"/>
  <c r="P190" i="1"/>
  <c r="L187" i="1"/>
  <c r="G184" i="1"/>
  <c r="J178" i="1"/>
  <c r="Z175" i="1"/>
  <c r="J173" i="1"/>
  <c r="W170" i="1"/>
  <c r="J168" i="1"/>
  <c r="U165" i="1"/>
  <c r="H163" i="1"/>
  <c r="Y160" i="1"/>
  <c r="L158" i="1"/>
  <c r="Z155" i="1"/>
  <c r="O153" i="1"/>
  <c r="E151" i="1"/>
  <c r="P148" i="1"/>
  <c r="K147" i="1"/>
  <c r="AA144" i="1"/>
  <c r="Q142" i="1"/>
  <c r="G140" i="1"/>
  <c r="P136" i="1"/>
  <c r="F134" i="1"/>
  <c r="V131" i="1"/>
  <c r="I129" i="1"/>
  <c r="U126" i="1"/>
  <c r="J124" i="1"/>
  <c r="AA121" i="1"/>
  <c r="M119" i="1"/>
  <c r="B117" i="1"/>
  <c r="P114" i="1"/>
  <c r="E112" i="1"/>
  <c r="V109" i="1"/>
  <c r="H107" i="1"/>
  <c r="W104" i="1"/>
  <c r="I102" i="1"/>
  <c r="Y99" i="1"/>
  <c r="N97" i="1"/>
  <c r="B95" i="1"/>
  <c r="O92" i="1"/>
  <c r="AA89" i="1"/>
  <c r="L87" i="1"/>
  <c r="AA84" i="1"/>
  <c r="I380" i="1"/>
  <c r="C332" i="1"/>
  <c r="R305" i="1"/>
  <c r="D295" i="1"/>
  <c r="P284" i="1"/>
  <c r="Z273" i="1"/>
  <c r="K263" i="1"/>
  <c r="Q254" i="1"/>
  <c r="S247" i="1"/>
  <c r="L242" i="1"/>
  <c r="T237" i="1"/>
  <c r="AA232" i="1"/>
  <c r="H228" i="1"/>
  <c r="N223" i="1"/>
  <c r="O218" i="1"/>
  <c r="W213" i="1"/>
  <c r="J209" i="1"/>
  <c r="D207" i="1"/>
  <c r="Y202" i="1"/>
  <c r="M198" i="1"/>
  <c r="E194" i="1"/>
  <c r="J190" i="1"/>
  <c r="E187" i="1"/>
  <c r="AA183" i="1"/>
  <c r="K179" i="1"/>
  <c r="AA176" i="1"/>
  <c r="R175" i="1"/>
  <c r="E173" i="1"/>
  <c r="R170" i="1"/>
  <c r="E168" i="1"/>
  <c r="P165" i="1"/>
  <c r="C163" i="1"/>
  <c r="S160" i="1"/>
  <c r="G158" i="1"/>
  <c r="U155" i="1"/>
  <c r="J153" i="1"/>
  <c r="Y350" i="1"/>
  <c r="I306" i="1"/>
  <c r="D285" i="1"/>
  <c r="Z263" i="1"/>
  <c r="Z237" i="1"/>
  <c r="N228" i="1"/>
  <c r="V218" i="1"/>
  <c r="O209" i="1"/>
  <c r="E205" i="1"/>
  <c r="P196" i="1"/>
  <c r="Y188" i="1"/>
  <c r="N182" i="1"/>
  <c r="C177" i="1"/>
  <c r="AA171" i="1"/>
  <c r="L164" i="1"/>
  <c r="P159" i="1"/>
  <c r="S154" i="1"/>
  <c r="P150" i="1"/>
  <c r="I147" i="1"/>
  <c r="D144" i="1"/>
  <c r="Z140" i="1"/>
  <c r="T137" i="1"/>
  <c r="O134" i="1"/>
  <c r="I131" i="1"/>
  <c r="AA127" i="1"/>
  <c r="S124" i="1"/>
  <c r="C123" i="1"/>
  <c r="V119" i="1"/>
  <c r="P116" i="1"/>
  <c r="I113" i="1"/>
  <c r="D110" i="1"/>
  <c r="U106" i="1"/>
  <c r="N103" i="1"/>
  <c r="G100" i="1"/>
  <c r="K95" i="1"/>
  <c r="B92" i="1"/>
  <c r="S88" i="1"/>
  <c r="Z86" i="1"/>
  <c r="T83" i="1"/>
  <c r="Z79" i="1"/>
  <c r="K76" i="1"/>
  <c r="F74" i="1"/>
  <c r="X72" i="1"/>
  <c r="S71" i="1"/>
  <c r="M70" i="1"/>
  <c r="W69" i="1"/>
  <c r="R68" i="1"/>
  <c r="M67" i="1"/>
  <c r="H66" i="1"/>
  <c r="C65" i="1"/>
  <c r="Y63" i="1"/>
  <c r="I63" i="1"/>
  <c r="B62" i="1"/>
  <c r="W60" i="1"/>
  <c r="O59" i="1"/>
  <c r="J58" i="1"/>
  <c r="B57" i="1"/>
  <c r="V55" i="1"/>
  <c r="AA53" i="1"/>
  <c r="S52" i="1"/>
  <c r="N51" i="1"/>
  <c r="H50" i="1"/>
  <c r="U47" i="1"/>
  <c r="P46" i="1"/>
  <c r="I45" i="1"/>
  <c r="B44" i="1"/>
  <c r="W42" i="1"/>
  <c r="P41" i="1"/>
  <c r="J40" i="1"/>
  <c r="E39" i="1"/>
  <c r="AA37" i="1"/>
  <c r="S36" i="1"/>
  <c r="M35" i="1"/>
  <c r="H34" i="1"/>
  <c r="C33" i="1"/>
  <c r="Y31" i="1"/>
  <c r="T30" i="1"/>
  <c r="O29" i="1"/>
  <c r="J28" i="1"/>
  <c r="U27" i="1"/>
  <c r="E27" i="1"/>
  <c r="O26" i="1"/>
  <c r="Z25" i="1"/>
  <c r="H25" i="1"/>
  <c r="Q24" i="1"/>
  <c r="L23" i="1"/>
  <c r="V22" i="1"/>
  <c r="F22" i="1"/>
  <c r="P21" i="1"/>
  <c r="K20" i="1"/>
  <c r="F19" i="1"/>
  <c r="Z17" i="1"/>
  <c r="U16" i="1"/>
  <c r="O15" i="1"/>
  <c r="J14" i="1"/>
  <c r="D13" i="1"/>
  <c r="Z11" i="1"/>
  <c r="T10" i="1"/>
  <c r="O9" i="1"/>
  <c r="J8" i="1"/>
  <c r="D7" i="1"/>
  <c r="Z5" i="1"/>
  <c r="U4" i="1"/>
  <c r="P3" i="1"/>
  <c r="J2" i="1"/>
  <c r="P1" i="1"/>
  <c r="E74" i="1"/>
  <c r="W72" i="1"/>
  <c r="R71" i="1"/>
  <c r="R69" i="1"/>
  <c r="M68" i="1"/>
  <c r="H67" i="1"/>
  <c r="V65" i="1"/>
  <c r="U64" i="1"/>
  <c r="I62" i="1"/>
  <c r="B60" i="1"/>
  <c r="S56" i="1"/>
  <c r="M55" i="1"/>
  <c r="S54" i="1"/>
  <c r="E51" i="1"/>
  <c r="N48" i="1"/>
  <c r="K46" i="1"/>
  <c r="C45" i="1"/>
  <c r="X43" i="1"/>
  <c r="X41" i="1"/>
  <c r="P39" i="1"/>
  <c r="D37" i="1"/>
  <c r="W34" i="1"/>
  <c r="G34" i="1"/>
  <c r="B33" i="1"/>
  <c r="X31" i="1"/>
  <c r="K30" i="1"/>
  <c r="I28" i="1"/>
  <c r="B26" i="1"/>
  <c r="Z22" i="1"/>
  <c r="S21" i="1"/>
  <c r="N20" i="1"/>
  <c r="W18" i="1"/>
  <c r="P16" i="1"/>
  <c r="I14" i="1"/>
  <c r="B12" i="1"/>
  <c r="S10" i="1"/>
  <c r="N9" i="1"/>
  <c r="E8" i="1"/>
  <c r="J6" i="1"/>
  <c r="D4" i="1"/>
  <c r="E440" i="1"/>
  <c r="F342" i="1"/>
  <c r="O315" i="1"/>
  <c r="AA302" i="1"/>
  <c r="F291" i="1"/>
  <c r="P268" i="1"/>
  <c r="B251" i="1"/>
  <c r="P240" i="1"/>
  <c r="W235" i="1"/>
  <c r="O230" i="1"/>
  <c r="V222" i="1"/>
  <c r="T213" i="1"/>
  <c r="K204" i="1"/>
  <c r="N199" i="1"/>
  <c r="G195" i="1"/>
  <c r="N189" i="1"/>
  <c r="D183" i="1"/>
  <c r="W177" i="1"/>
  <c r="K174" i="1"/>
  <c r="V171" i="1"/>
  <c r="T168" i="1"/>
  <c r="R163" i="1"/>
  <c r="N158" i="1"/>
  <c r="G154" i="1"/>
  <c r="AA151" i="1"/>
  <c r="H150" i="1"/>
  <c r="F147" i="1"/>
  <c r="K145" i="1"/>
  <c r="W143" i="1"/>
  <c r="G142" i="1"/>
  <c r="R140" i="1"/>
  <c r="W138" i="1"/>
  <c r="K136" i="1"/>
  <c r="K133" i="1"/>
  <c r="R130" i="1"/>
  <c r="C128" i="1"/>
  <c r="K126" i="1"/>
  <c r="U124" i="1"/>
  <c r="F122" i="1"/>
  <c r="N118" i="1"/>
  <c r="X116" i="1"/>
  <c r="V113" i="1"/>
  <c r="F112" i="1"/>
  <c r="Q110" i="1"/>
  <c r="O108" i="1"/>
  <c r="C105" i="1"/>
  <c r="T101" i="1"/>
  <c r="N98" i="1"/>
  <c r="Z96" i="1"/>
  <c r="H95" i="1"/>
  <c r="J92" i="1"/>
  <c r="V88" i="1"/>
  <c r="F85" i="1"/>
  <c r="R83" i="1"/>
  <c r="J82" i="1"/>
  <c r="M80" i="1"/>
  <c r="Z77" i="1"/>
  <c r="K75" i="1"/>
  <c r="T73" i="1"/>
  <c r="N72" i="1"/>
  <c r="E71" i="1"/>
  <c r="L68" i="1"/>
  <c r="Y65" i="1"/>
  <c r="S63" i="1"/>
  <c r="L62" i="1"/>
  <c r="F61" i="1"/>
  <c r="Z363" i="1"/>
  <c r="Z325" i="1"/>
  <c r="S308" i="1"/>
  <c r="D298" i="1"/>
  <c r="O287" i="1"/>
  <c r="Y276" i="1"/>
  <c r="I266" i="1"/>
  <c r="Q256" i="1"/>
  <c r="R249" i="1"/>
  <c r="C246" i="1"/>
  <c r="J241" i="1"/>
  <c r="S236" i="1"/>
  <c r="AA231" i="1"/>
  <c r="E227" i="1"/>
  <c r="L222" i="1"/>
  <c r="O217" i="1"/>
  <c r="S212" i="1"/>
  <c r="J208" i="1"/>
  <c r="C204" i="1"/>
  <c r="T199" i="1"/>
  <c r="L195" i="1"/>
  <c r="G191" i="1"/>
  <c r="B188" i="1"/>
  <c r="X184" i="1"/>
  <c r="E180" i="1"/>
  <c r="R177" i="1"/>
  <c r="D175" i="1"/>
  <c r="O172" i="1"/>
  <c r="D170" i="1"/>
  <c r="Q167" i="1"/>
  <c r="B165" i="1"/>
  <c r="P162" i="1"/>
  <c r="E160" i="1"/>
  <c r="S157" i="1"/>
  <c r="B154" i="1"/>
  <c r="W151" i="1"/>
  <c r="D150" i="1"/>
  <c r="M148" i="1"/>
  <c r="W146" i="1"/>
  <c r="G145" i="1"/>
  <c r="S143" i="1"/>
  <c r="C142" i="1"/>
  <c r="N140" i="1"/>
  <c r="Z138" i="1"/>
  <c r="C138" i="1"/>
  <c r="R135" i="1"/>
  <c r="C134" i="1"/>
  <c r="M132" i="1"/>
  <c r="X130" i="1"/>
  <c r="F129" i="1"/>
  <c r="M127" i="1"/>
  <c r="W125" i="1"/>
  <c r="G124" i="1"/>
  <c r="R122" i="1"/>
  <c r="J119" i="1"/>
  <c r="T117" i="1"/>
  <c r="D116" i="1"/>
  <c r="M114" i="1"/>
  <c r="W112" i="1"/>
  <c r="G111" i="1"/>
  <c r="S109" i="1"/>
  <c r="AA107" i="1"/>
  <c r="I106" i="1"/>
  <c r="R104" i="1"/>
  <c r="B103" i="1"/>
  <c r="J101" i="1"/>
  <c r="P100" i="1"/>
  <c r="AA98" i="1"/>
  <c r="K97" i="1"/>
  <c r="U95" i="1"/>
  <c r="D94" i="1"/>
  <c r="L92" i="1"/>
  <c r="R90" i="1"/>
  <c r="B89" i="1"/>
  <c r="I87" i="1"/>
  <c r="R85" i="1"/>
  <c r="S82" i="1"/>
  <c r="L81" i="1"/>
  <c r="F80" i="1"/>
  <c r="W77" i="1"/>
  <c r="R76" i="1"/>
  <c r="H75" i="1"/>
  <c r="F65" i="1"/>
  <c r="K61" i="1"/>
  <c r="U58" i="1"/>
  <c r="R52" i="1"/>
  <c r="K50" i="1"/>
  <c r="F48" i="1"/>
  <c r="I42" i="1"/>
  <c r="T39" i="1"/>
  <c r="Y35" i="1"/>
  <c r="N29" i="1"/>
  <c r="V26" i="1"/>
  <c r="D24" i="1"/>
  <c r="Y17" i="1"/>
  <c r="J15" i="1"/>
  <c r="V12" i="1"/>
  <c r="N6" i="1"/>
  <c r="AA3" i="1"/>
  <c r="O276" i="1"/>
  <c r="F257" i="1"/>
  <c r="Q244" i="1"/>
  <c r="K223" i="1"/>
  <c r="E213" i="1"/>
  <c r="Z204" i="1"/>
  <c r="O187" i="1"/>
  <c r="S433" i="1"/>
  <c r="K345" i="1"/>
  <c r="Z388" i="1"/>
  <c r="Q377" i="1"/>
  <c r="R419" i="1"/>
  <c r="Y370" i="1"/>
  <c r="C343" i="1"/>
  <c r="Y321" i="1"/>
  <c r="D398" i="1"/>
  <c r="O337" i="1"/>
  <c r="U308" i="1"/>
  <c r="Q287" i="1"/>
  <c r="K266" i="1"/>
  <c r="M378" i="1"/>
  <c r="O331" i="1"/>
  <c r="F304" i="1"/>
  <c r="K289" i="1"/>
  <c r="P278" i="1"/>
  <c r="AA267" i="1"/>
  <c r="N257" i="1"/>
  <c r="AA246" i="1"/>
  <c r="M236" i="1"/>
  <c r="U225" i="1"/>
  <c r="Y214" i="1"/>
  <c r="Y204" i="1"/>
  <c r="F195" i="1"/>
  <c r="V373" i="1"/>
  <c r="D330" i="1"/>
  <c r="E303" i="1"/>
  <c r="B282" i="1"/>
  <c r="Y260" i="1"/>
  <c r="K236" i="1"/>
  <c r="F229" i="1"/>
  <c r="B222" i="1"/>
  <c r="V214" i="1"/>
  <c r="B208" i="1"/>
  <c r="Q201" i="1"/>
  <c r="D195" i="1"/>
  <c r="L189" i="1"/>
  <c r="R184" i="1"/>
  <c r="L454" i="1"/>
  <c r="Z383" i="1"/>
  <c r="L350" i="1"/>
  <c r="F333" i="1"/>
  <c r="M305" i="1"/>
  <c r="Z294" i="1"/>
  <c r="K284" i="1"/>
  <c r="T273" i="1"/>
  <c r="D263" i="1"/>
  <c r="M254" i="1"/>
  <c r="O247" i="1"/>
  <c r="F399" i="1"/>
  <c r="U359" i="1"/>
  <c r="Y337" i="1"/>
  <c r="T323" i="1"/>
  <c r="O332" i="1"/>
  <c r="T300" i="1"/>
  <c r="N279" i="1"/>
  <c r="L258" i="1"/>
  <c r="U244" i="1"/>
  <c r="L235" i="1"/>
  <c r="AA225" i="1"/>
  <c r="I216" i="1"/>
  <c r="F207" i="1"/>
  <c r="P198" i="1"/>
  <c r="K190" i="1"/>
  <c r="F178" i="1"/>
  <c r="F173" i="1"/>
  <c r="F168" i="1"/>
  <c r="D163" i="1"/>
  <c r="H158" i="1"/>
  <c r="K153" i="1"/>
  <c r="L148" i="1"/>
  <c r="R143" i="1"/>
  <c r="Y138" i="1"/>
  <c r="B134" i="1"/>
  <c r="E129" i="1"/>
  <c r="F124" i="1"/>
  <c r="I119" i="1"/>
  <c r="L114" i="1"/>
  <c r="R109" i="1"/>
  <c r="Q104" i="1"/>
  <c r="U99" i="1"/>
  <c r="Y94" i="1"/>
  <c r="W89" i="1"/>
  <c r="V84" i="1"/>
  <c r="H330" i="1"/>
  <c r="V299" i="1"/>
  <c r="O278" i="1"/>
  <c r="T257" i="1"/>
  <c r="L244" i="1"/>
  <c r="B235" i="1"/>
  <c r="O225" i="1"/>
  <c r="Y215" i="1"/>
  <c r="Y206" i="1"/>
  <c r="G198" i="1"/>
  <c r="D190" i="1"/>
  <c r="V183" i="1"/>
  <c r="Z162" i="1"/>
  <c r="C158" i="1"/>
  <c r="F153" i="1"/>
  <c r="Z304" i="1"/>
  <c r="R262" i="1"/>
  <c r="K237" i="1"/>
  <c r="F218" i="1"/>
  <c r="I200" i="1"/>
  <c r="I185" i="1"/>
  <c r="G174" i="1"/>
  <c r="D164" i="1"/>
  <c r="K154" i="1"/>
  <c r="D147" i="1"/>
  <c r="U140" i="1"/>
  <c r="I134" i="1"/>
  <c r="T127" i="1"/>
  <c r="H121" i="1"/>
  <c r="S114" i="1"/>
  <c r="G108" i="1"/>
  <c r="Q101" i="1"/>
  <c r="E95" i="1"/>
  <c r="M88" i="1"/>
  <c r="H82" i="1"/>
  <c r="L77" i="1"/>
  <c r="I73" i="1"/>
  <c r="Z70" i="1"/>
  <c r="N68" i="1"/>
  <c r="D66" i="1"/>
  <c r="U63" i="1"/>
  <c r="H61" i="1"/>
  <c r="V58" i="1"/>
  <c r="H56" i="1"/>
  <c r="U53" i="1"/>
  <c r="J51" i="1"/>
  <c r="W48" i="1"/>
  <c r="L46" i="1"/>
  <c r="Y43" i="1"/>
  <c r="L41" i="1"/>
  <c r="O36" i="1"/>
  <c r="D34" i="1"/>
  <c r="U31" i="1"/>
  <c r="K29" i="1"/>
  <c r="M24" i="1"/>
  <c r="B22" i="1"/>
  <c r="R19" i="1"/>
  <c r="F17" i="1"/>
  <c r="V14" i="1"/>
  <c r="K12" i="1"/>
  <c r="AA9" i="1"/>
  <c r="P7" i="1"/>
  <c r="F5" i="1"/>
  <c r="V2" i="1"/>
  <c r="W74" i="1"/>
  <c r="C72" i="1"/>
  <c r="N69" i="1"/>
  <c r="D67" i="1"/>
  <c r="H63" i="1"/>
  <c r="Q58" i="1"/>
  <c r="Z55" i="1"/>
  <c r="F52" i="1"/>
  <c r="W46" i="1"/>
  <c r="I44" i="1"/>
  <c r="M40" i="1"/>
  <c r="T35" i="1"/>
  <c r="Y32" i="1"/>
  <c r="C30" i="1"/>
  <c r="S25" i="1"/>
  <c r="E22" i="1"/>
  <c r="Q19" i="1"/>
  <c r="F15" i="1"/>
  <c r="E11" i="1"/>
  <c r="U8" i="1"/>
  <c r="K1" i="1"/>
  <c r="M296" i="1"/>
  <c r="K256" i="1"/>
  <c r="R237" i="1"/>
  <c r="V225" i="1"/>
  <c r="P207" i="1"/>
  <c r="V196" i="1"/>
  <c r="N185" i="1"/>
  <c r="I175" i="1"/>
  <c r="J160" i="1"/>
  <c r="T152" i="1"/>
  <c r="K148" i="1"/>
  <c r="L144" i="1"/>
  <c r="G141" i="1"/>
  <c r="Q137" i="1"/>
  <c r="W131" i="1"/>
  <c r="F123" i="1"/>
  <c r="H116" i="1"/>
  <c r="AA111" i="1"/>
  <c r="D108" i="1"/>
  <c r="I101" i="1"/>
  <c r="T96" i="1"/>
  <c r="AA91" i="1"/>
  <c r="F82" i="1"/>
  <c r="R77" i="1"/>
  <c r="O73" i="1"/>
  <c r="S70" i="1"/>
  <c r="Q65" i="1"/>
  <c r="H62" i="1"/>
  <c r="T58" i="1"/>
  <c r="I322" i="1"/>
  <c r="V296" i="1"/>
  <c r="Q275" i="1"/>
  <c r="T255" i="1"/>
  <c r="C243" i="1"/>
  <c r="T233" i="1"/>
  <c r="F224" i="1"/>
  <c r="N214" i="1"/>
  <c r="S205" i="1"/>
  <c r="B197" i="1"/>
  <c r="G189" i="1"/>
  <c r="Y182" i="1"/>
  <c r="J177" i="1"/>
  <c r="G172" i="1"/>
  <c r="I167" i="1"/>
  <c r="H162" i="1"/>
  <c r="K157" i="1"/>
  <c r="O152" i="1"/>
  <c r="C149" i="1"/>
  <c r="W145" i="1"/>
  <c r="S142" i="1"/>
  <c r="O139" i="1"/>
  <c r="G136" i="1"/>
  <c r="B133" i="1"/>
  <c r="Y129" i="1"/>
  <c r="L126" i="1"/>
  <c r="G123" i="1"/>
  <c r="AA119" i="1"/>
  <c r="T116" i="1"/>
  <c r="M113" i="1"/>
  <c r="H110" i="1"/>
  <c r="Z106" i="1"/>
  <c r="R103" i="1"/>
  <c r="K100" i="1"/>
  <c r="E97" i="1"/>
  <c r="Z93" i="1"/>
  <c r="M90" i="1"/>
  <c r="C87" i="1"/>
  <c r="W83" i="1"/>
  <c r="H81" i="1"/>
  <c r="X78" i="1"/>
  <c r="N76" i="1"/>
  <c r="Y64" i="1"/>
  <c r="Y59" i="1"/>
  <c r="I51" i="1"/>
  <c r="K43" i="1"/>
  <c r="C38" i="1"/>
  <c r="F29" i="1"/>
  <c r="W23" i="1"/>
  <c r="B15" i="1"/>
  <c r="F6" i="1"/>
  <c r="Q331" i="1"/>
  <c r="M255" i="1"/>
  <c r="D222" i="1"/>
  <c r="Y203" i="1"/>
  <c r="T180" i="1"/>
  <c r="Q170" i="1"/>
  <c r="P164" i="1"/>
  <c r="B160" i="1"/>
  <c r="D155" i="1"/>
  <c r="L135" i="1"/>
  <c r="Q131" i="1"/>
  <c r="V123" i="1"/>
  <c r="N120" i="1"/>
  <c r="M117" i="1"/>
  <c r="F114" i="1"/>
  <c r="M106" i="1"/>
  <c r="K103" i="1"/>
  <c r="D100" i="1"/>
  <c r="AA92" i="1"/>
  <c r="V89" i="1"/>
  <c r="Q86" i="1"/>
  <c r="I80" i="1"/>
  <c r="C78" i="1"/>
  <c r="X75" i="1"/>
  <c r="G70" i="1"/>
  <c r="AA67" i="1"/>
  <c r="U65" i="1"/>
  <c r="M60" i="1"/>
  <c r="K377" i="1"/>
  <c r="R289" i="1"/>
  <c r="Y250" i="1"/>
  <c r="N230" i="1"/>
  <c r="J211" i="1"/>
  <c r="S180" i="1"/>
  <c r="P170" i="1"/>
  <c r="Q160" i="1"/>
  <c r="J151" i="1"/>
  <c r="U144" i="1"/>
  <c r="K138" i="1"/>
  <c r="AA131" i="1"/>
  <c r="J125" i="1"/>
  <c r="W118" i="1"/>
  <c r="J112" i="1"/>
  <c r="W105" i="1"/>
  <c r="H99" i="1"/>
  <c r="T92" i="1"/>
  <c r="AA85" i="1"/>
  <c r="L80" i="1"/>
  <c r="S75" i="1"/>
  <c r="R70" i="1"/>
  <c r="X65" i="1"/>
  <c r="G57" i="1"/>
  <c r="U54" i="1"/>
  <c r="H52" i="1"/>
  <c r="W49" i="1"/>
  <c r="J47" i="1"/>
  <c r="X44" i="1"/>
  <c r="K42" i="1"/>
  <c r="Z39" i="1"/>
  <c r="N37" i="1"/>
  <c r="B35" i="1"/>
  <c r="S32" i="1"/>
  <c r="I30" i="1"/>
  <c r="Z27" i="1"/>
  <c r="M25" i="1"/>
  <c r="P20" i="1"/>
  <c r="D18" i="1"/>
  <c r="T15" i="1"/>
  <c r="I13" i="1"/>
  <c r="Z10" i="1"/>
  <c r="O8" i="1"/>
  <c r="D6" i="1"/>
  <c r="U3" i="1"/>
  <c r="Q1" i="1"/>
  <c r="E103" i="1"/>
  <c r="S96" i="1"/>
  <c r="Z89" i="1"/>
  <c r="M83" i="1"/>
  <c r="N78" i="1"/>
  <c r="N73" i="1"/>
  <c r="S68" i="1"/>
  <c r="Z63" i="1"/>
  <c r="AA58" i="1"/>
  <c r="F56" i="1"/>
  <c r="S53" i="1"/>
  <c r="H51" i="1"/>
  <c r="U48" i="1"/>
  <c r="J46" i="1"/>
  <c r="W43" i="1"/>
  <c r="J41" i="1"/>
  <c r="Z38" i="1"/>
  <c r="M36" i="1"/>
  <c r="B34" i="1"/>
  <c r="S31" i="1"/>
  <c r="I29" i="1"/>
  <c r="Z26" i="1"/>
  <c r="K24" i="1"/>
  <c r="AA21" i="1"/>
  <c r="P19" i="1"/>
  <c r="D17" i="1"/>
  <c r="T14" i="1"/>
  <c r="I12" i="1"/>
  <c r="Y9" i="1"/>
  <c r="N7" i="1"/>
  <c r="D5" i="1"/>
  <c r="T2" i="1"/>
  <c r="R400" i="1"/>
  <c r="F292" i="1"/>
  <c r="R252" i="1"/>
  <c r="R231" i="1"/>
  <c r="L212" i="1"/>
  <c r="E195" i="1"/>
  <c r="M181" i="1"/>
  <c r="E171" i="1"/>
  <c r="G161" i="1"/>
  <c r="T151" i="1"/>
  <c r="E145" i="1"/>
  <c r="V138" i="1"/>
  <c r="J132" i="1"/>
  <c r="U125" i="1"/>
  <c r="G119" i="1"/>
  <c r="T112" i="1"/>
  <c r="G106" i="1"/>
  <c r="S99" i="1"/>
  <c r="D93" i="1"/>
  <c r="K86" i="1"/>
  <c r="T80" i="1"/>
  <c r="AA75" i="1"/>
  <c r="AA70" i="1"/>
  <c r="E66" i="1"/>
  <c r="I61" i="1"/>
  <c r="K57" i="1"/>
  <c r="Z54" i="1"/>
  <c r="L52" i="1"/>
  <c r="N47" i="1"/>
  <c r="O42" i="1"/>
  <c r="C40" i="1"/>
  <c r="R37" i="1"/>
  <c r="F35" i="1"/>
  <c r="W32" i="1"/>
  <c r="M30" i="1"/>
  <c r="C28" i="1"/>
  <c r="Q25" i="1"/>
  <c r="E23" i="1"/>
  <c r="T20" i="1"/>
  <c r="H18" i="1"/>
  <c r="Y15" i="1"/>
  <c r="M13" i="1"/>
  <c r="U10" i="1"/>
  <c r="K8" i="1"/>
  <c r="AA5" i="1"/>
  <c r="S2" i="1"/>
  <c r="AA223" i="1"/>
  <c r="R190" i="1"/>
  <c r="K168" i="1"/>
  <c r="Z144" i="1"/>
  <c r="T124" i="1"/>
  <c r="G105" i="1"/>
  <c r="J90" i="1"/>
  <c r="K79" i="1"/>
  <c r="L65" i="1"/>
  <c r="F54" i="1"/>
  <c r="N46" i="1"/>
  <c r="P40" i="1"/>
  <c r="M29" i="1"/>
  <c r="F21" i="1"/>
  <c r="R13" i="1"/>
  <c r="H8" i="1"/>
  <c r="F3" i="1"/>
  <c r="D272" i="1"/>
  <c r="R241" i="1"/>
  <c r="S222" i="1"/>
  <c r="J204" i="1"/>
  <c r="H188" i="1"/>
  <c r="P176" i="1"/>
  <c r="L166" i="1"/>
  <c r="P156" i="1"/>
  <c r="O148" i="1"/>
  <c r="F142" i="1"/>
  <c r="U135" i="1"/>
  <c r="H129" i="1"/>
  <c r="U122" i="1"/>
  <c r="G116" i="1"/>
  <c r="U109" i="1"/>
  <c r="D296" i="1"/>
  <c r="D162" i="1"/>
  <c r="F140" i="1"/>
  <c r="O121" i="1"/>
  <c r="B101" i="1"/>
  <c r="K62" i="1"/>
  <c r="Z52" i="1"/>
  <c r="Y45" i="1"/>
  <c r="X28" i="1"/>
  <c r="V21" i="1"/>
  <c r="X14" i="1"/>
  <c r="T334" i="1"/>
  <c r="B231" i="1"/>
  <c r="U196" i="1"/>
  <c r="D167" i="1"/>
  <c r="K143" i="1"/>
  <c r="Z123" i="1"/>
  <c r="J104" i="1"/>
  <c r="P89" i="1"/>
  <c r="Q77" i="1"/>
  <c r="W64" i="1"/>
  <c r="W54" i="1"/>
  <c r="K47" i="1"/>
  <c r="N41" i="1"/>
  <c r="I36" i="1"/>
  <c r="B30" i="1"/>
  <c r="J23" i="1"/>
  <c r="C16" i="1"/>
  <c r="J10" i="1"/>
  <c r="P5" i="1"/>
  <c r="AA412" i="1"/>
  <c r="Y436" i="1"/>
  <c r="Z393" i="1"/>
  <c r="Y310" i="1"/>
  <c r="K323" i="1"/>
  <c r="F298" i="1"/>
  <c r="F439" i="1"/>
  <c r="I317" i="1"/>
  <c r="Z283" i="1"/>
  <c r="T262" i="1"/>
  <c r="E252" i="1"/>
  <c r="S241" i="1"/>
  <c r="C231" i="1"/>
  <c r="J220" i="1"/>
  <c r="U209" i="1"/>
  <c r="B200" i="1"/>
  <c r="S426" i="1"/>
  <c r="O344" i="1"/>
  <c r="W315" i="1"/>
  <c r="T292" i="1"/>
  <c r="J271" i="1"/>
  <c r="AA252" i="1"/>
  <c r="Z240" i="1"/>
  <c r="V232" i="1"/>
  <c r="S225" i="1"/>
  <c r="K218" i="1"/>
  <c r="I211" i="1"/>
  <c r="W204" i="1"/>
  <c r="I198" i="1"/>
  <c r="Y191" i="1"/>
  <c r="B187" i="1"/>
  <c r="G182" i="1"/>
  <c r="D407" i="1"/>
  <c r="K364" i="1"/>
  <c r="F340" i="1"/>
  <c r="D326" i="1"/>
  <c r="R311" i="1"/>
  <c r="F300" i="1"/>
  <c r="U289" i="1"/>
  <c r="AA278" i="1"/>
  <c r="L268" i="1"/>
  <c r="Z250" i="1"/>
  <c r="O432" i="1"/>
  <c r="AA375" i="1"/>
  <c r="Q345" i="1"/>
  <c r="V330" i="1"/>
  <c r="T381" i="1"/>
  <c r="J312" i="1"/>
  <c r="F290" i="1"/>
  <c r="X268" i="1"/>
  <c r="I251" i="1"/>
  <c r="C240" i="1"/>
  <c r="S230" i="1"/>
  <c r="C221" i="1"/>
  <c r="O211" i="1"/>
  <c r="Z202" i="1"/>
  <c r="F194" i="1"/>
  <c r="G187" i="1"/>
  <c r="W180" i="1"/>
  <c r="S175" i="1"/>
  <c r="Q165" i="1"/>
  <c r="T160" i="1"/>
  <c r="V155" i="1"/>
  <c r="H141" i="1"/>
  <c r="L136" i="1"/>
  <c r="R131" i="1"/>
  <c r="Q126" i="1"/>
  <c r="V121" i="1"/>
  <c r="Y116" i="1"/>
  <c r="D107" i="1"/>
  <c r="E102" i="1"/>
  <c r="J97" i="1"/>
  <c r="K92" i="1"/>
  <c r="H87" i="1"/>
  <c r="M374" i="1"/>
  <c r="AA310" i="1"/>
  <c r="Z267" i="1"/>
  <c r="S250" i="1"/>
  <c r="T239" i="1"/>
  <c r="J230" i="1"/>
  <c r="U220" i="1"/>
  <c r="F211" i="1"/>
  <c r="P202" i="1"/>
  <c r="Y193" i="1"/>
  <c r="P180" i="1"/>
  <c r="N175" i="1"/>
  <c r="N170" i="1"/>
  <c r="O160" i="1"/>
  <c r="Q155" i="1"/>
  <c r="W283" i="1"/>
  <c r="E247" i="1"/>
  <c r="AA208" i="1"/>
  <c r="F179" i="1"/>
  <c r="F169" i="1"/>
  <c r="K150" i="1"/>
  <c r="O137" i="1"/>
  <c r="D131" i="1"/>
  <c r="N111" i="1"/>
  <c r="L98" i="1"/>
  <c r="C85" i="1"/>
  <c r="D72" i="1"/>
  <c r="I67" i="1"/>
  <c r="Z64" i="1"/>
  <c r="C60" i="1"/>
  <c r="B55" i="1"/>
  <c r="D50" i="1"/>
  <c r="Q47" i="1"/>
  <c r="R42" i="1"/>
  <c r="F40" i="1"/>
  <c r="I35" i="1"/>
  <c r="P30" i="1"/>
  <c r="F28" i="1"/>
  <c r="H23" i="1"/>
  <c r="K18" i="1"/>
  <c r="F11" i="1"/>
  <c r="V8" i="1"/>
  <c r="H73" i="1"/>
  <c r="I68" i="1"/>
  <c r="Z60" i="1"/>
  <c r="E57" i="1"/>
  <c r="L49" i="1"/>
  <c r="Z42" i="1"/>
  <c r="G38" i="1"/>
  <c r="T31" i="1"/>
  <c r="K23" i="1"/>
  <c r="M17" i="1"/>
  <c r="Z9" i="1"/>
  <c r="Z6" i="1"/>
  <c r="J361" i="1"/>
  <c r="W277" i="1"/>
  <c r="Y242" i="1"/>
  <c r="J217" i="1"/>
  <c r="M191" i="1"/>
  <c r="T172" i="1"/>
  <c r="W165" i="1"/>
  <c r="AA150" i="1"/>
  <c r="W142" i="1"/>
  <c r="L134" i="1"/>
  <c r="S128" i="1"/>
  <c r="S119" i="1"/>
  <c r="L110" i="1"/>
  <c r="I98" i="1"/>
  <c r="X94" i="1"/>
  <c r="N83" i="1"/>
  <c r="G75" i="1"/>
  <c r="D68" i="1"/>
  <c r="Y60" i="1"/>
  <c r="J307" i="1"/>
  <c r="T248" i="1"/>
  <c r="K219" i="1"/>
  <c r="J201" i="1"/>
  <c r="B186" i="1"/>
  <c r="V174" i="1"/>
  <c r="W169" i="1"/>
  <c r="W159" i="1"/>
  <c r="T150" i="1"/>
  <c r="H144" i="1"/>
  <c r="Y137" i="1"/>
  <c r="M131" i="1"/>
  <c r="W124" i="1"/>
  <c r="Q121" i="1"/>
  <c r="C115" i="1"/>
  <c r="P108" i="1"/>
  <c r="J105" i="1"/>
  <c r="U98" i="1"/>
  <c r="O95" i="1"/>
  <c r="W88" i="1"/>
  <c r="O82" i="1"/>
  <c r="S77" i="1"/>
  <c r="D75" i="1"/>
  <c r="T53" i="1"/>
  <c r="Q40" i="1"/>
  <c r="N26" i="1"/>
  <c r="N12" i="1"/>
  <c r="F275" i="1"/>
  <c r="N243" i="1"/>
  <c r="S186" i="1"/>
  <c r="W166" i="1"/>
  <c r="P157" i="1"/>
  <c r="Q148" i="1"/>
  <c r="V133" i="1"/>
  <c r="C116" i="1"/>
  <c r="Z107" i="1"/>
  <c r="N101" i="1"/>
  <c r="G91" i="1"/>
  <c r="Y81" i="1"/>
  <c r="Y76" i="1"/>
  <c r="M71" i="1"/>
  <c r="Z66" i="1"/>
  <c r="M311" i="1"/>
  <c r="Y239" i="1"/>
  <c r="Y220" i="1"/>
  <c r="C187" i="1"/>
  <c r="N165" i="1"/>
  <c r="Z147" i="1"/>
  <c r="E135" i="1"/>
  <c r="E122" i="1"/>
  <c r="P115" i="1"/>
  <c r="N102" i="1"/>
  <c r="J89" i="1"/>
  <c r="B78" i="1"/>
  <c r="B73" i="1"/>
  <c r="N63" i="1"/>
  <c r="O58" i="1"/>
  <c r="N53" i="1"/>
  <c r="P48" i="1"/>
  <c r="Q43" i="1"/>
  <c r="U38" i="1"/>
  <c r="X33" i="1"/>
  <c r="D29" i="1"/>
  <c r="T26" i="1"/>
  <c r="U21" i="1"/>
  <c r="Z16" i="1"/>
  <c r="D12" i="1"/>
  <c r="I7" i="1"/>
  <c r="O2" i="1"/>
  <c r="X99" i="1"/>
  <c r="P86" i="1"/>
  <c r="D76" i="1"/>
  <c r="I66" i="1"/>
  <c r="L57" i="1"/>
  <c r="M52" i="1"/>
  <c r="O47" i="1"/>
  <c r="D40" i="1"/>
  <c r="G35" i="1"/>
  <c r="N30" i="1"/>
  <c r="R25" i="1"/>
  <c r="F23" i="1"/>
  <c r="I18" i="1"/>
  <c r="N13" i="1"/>
  <c r="T8" i="1"/>
  <c r="Z3" i="1"/>
  <c r="D315" i="1"/>
  <c r="B241" i="1"/>
  <c r="V203" i="1"/>
  <c r="H176" i="1"/>
  <c r="D166" i="1"/>
  <c r="J148" i="1"/>
  <c r="P135" i="1"/>
  <c r="O122" i="1"/>
  <c r="P109" i="1"/>
  <c r="N96" i="1"/>
  <c r="I83" i="1"/>
  <c r="J73" i="1"/>
  <c r="V63" i="1"/>
  <c r="E56" i="1"/>
  <c r="R53" i="1"/>
  <c r="T48" i="1"/>
  <c r="U43" i="1"/>
  <c r="Y38" i="1"/>
  <c r="H29" i="1"/>
  <c r="J24" i="1"/>
  <c r="O19" i="1"/>
  <c r="S14" i="1"/>
  <c r="P9" i="1"/>
  <c r="F4" i="1"/>
  <c r="I203" i="1"/>
  <c r="AA155" i="1"/>
  <c r="R116" i="1"/>
  <c r="O84" i="1"/>
  <c r="H58" i="1"/>
  <c r="B43" i="1"/>
  <c r="X17" i="1"/>
  <c r="X5" i="1"/>
  <c r="O293" i="1"/>
  <c r="F232" i="1"/>
  <c r="S195" i="1"/>
  <c r="M171" i="1"/>
  <c r="O161" i="1"/>
  <c r="J145" i="1"/>
  <c r="P132" i="1"/>
  <c r="Z125" i="1"/>
  <c r="AA112" i="1"/>
  <c r="AA148" i="1"/>
  <c r="U111" i="1"/>
  <c r="J56" i="1"/>
  <c r="O49" i="1"/>
  <c r="N25" i="1"/>
  <c r="E18" i="1"/>
  <c r="P269" i="1"/>
  <c r="K178" i="1"/>
  <c r="O112" i="1"/>
  <c r="M82" i="1"/>
  <c r="L71" i="1"/>
  <c r="D51" i="1"/>
  <c r="V38" i="1"/>
  <c r="Q33" i="1"/>
  <c r="T19" i="1"/>
  <c r="AA7" i="1"/>
  <c r="C356" i="1"/>
  <c r="Y400" i="1"/>
  <c r="L449" i="1"/>
  <c r="I382" i="1"/>
  <c r="L349" i="1"/>
  <c r="E327" i="1"/>
  <c r="Q429" i="1"/>
  <c r="E316" i="1"/>
  <c r="P271" i="1"/>
  <c r="T401" i="1"/>
  <c r="Y309" i="1"/>
  <c r="P270" i="1"/>
  <c r="Q249" i="1"/>
  <c r="M228" i="1"/>
  <c r="I207" i="1"/>
  <c r="B397" i="1"/>
  <c r="N308" i="1"/>
  <c r="C266" i="1"/>
  <c r="O238" i="1"/>
  <c r="Y223" i="1"/>
  <c r="S209" i="1"/>
  <c r="T196" i="1"/>
  <c r="W185" i="1"/>
  <c r="P395" i="1"/>
  <c r="S336" i="1"/>
  <c r="C308" i="1"/>
  <c r="AA286" i="1"/>
  <c r="K276" i="1"/>
  <c r="F256" i="1"/>
  <c r="U366" i="1"/>
  <c r="G327" i="1"/>
  <c r="D349" i="1"/>
  <c r="W284" i="1"/>
  <c r="W247" i="1"/>
  <c r="J228" i="1"/>
  <c r="K209" i="1"/>
  <c r="D192" i="1"/>
  <c r="L179" i="1"/>
  <c r="L169" i="1"/>
  <c r="N159" i="1"/>
  <c r="R149" i="1"/>
  <c r="C140" i="1"/>
  <c r="M130" i="1"/>
  <c r="O120" i="1"/>
  <c r="W110" i="1"/>
  <c r="Z100" i="1"/>
  <c r="E96" i="1"/>
  <c r="B86" i="1"/>
  <c r="AA304" i="1"/>
  <c r="S262" i="1"/>
  <c r="L237" i="1"/>
  <c r="I218" i="1"/>
  <c r="L200" i="1"/>
  <c r="J185" i="1"/>
  <c r="H174" i="1"/>
  <c r="G169" i="1"/>
  <c r="I159" i="1"/>
  <c r="J318" i="1"/>
  <c r="AA241" i="1"/>
  <c r="S204" i="1"/>
  <c r="U176" i="1"/>
  <c r="W156" i="1"/>
  <c r="S148" i="1"/>
  <c r="Y135" i="1"/>
  <c r="Y122" i="1"/>
  <c r="Y109" i="1"/>
  <c r="W96" i="1"/>
  <c r="C90" i="1"/>
  <c r="Q78" i="1"/>
  <c r="O71" i="1"/>
  <c r="T66" i="1"/>
  <c r="Y61" i="1"/>
  <c r="Y56" i="1"/>
  <c r="Z51" i="1"/>
  <c r="B42" i="1"/>
  <c r="E37" i="1"/>
  <c r="J32" i="1"/>
  <c r="Q27" i="1"/>
  <c r="R22" i="1"/>
  <c r="G20" i="1"/>
  <c r="K15" i="1"/>
  <c r="P10" i="1"/>
  <c r="V5" i="1"/>
  <c r="L1" i="1"/>
  <c r="D70" i="1"/>
  <c r="M64" i="1"/>
  <c r="O56" i="1"/>
  <c r="B48" i="1"/>
  <c r="O41" i="1"/>
  <c r="N33" i="1"/>
  <c r="AA26" i="1"/>
  <c r="J20" i="1"/>
  <c r="U11" i="1"/>
  <c r="B6" i="1"/>
  <c r="AA1" i="1"/>
  <c r="S301" i="1"/>
  <c r="Z239" i="1"/>
  <c r="M212" i="1"/>
  <c r="Z176" i="1"/>
  <c r="B163" i="1"/>
  <c r="Y149" i="1"/>
  <c r="B142" i="1"/>
  <c r="K124" i="1"/>
  <c r="V112" i="1"/>
  <c r="L109" i="1"/>
  <c r="O97" i="1"/>
  <c r="L86" i="1"/>
  <c r="AA78" i="1"/>
  <c r="U71" i="1"/>
  <c r="T259" i="1"/>
  <c r="M245" i="1"/>
  <c r="R226" i="1"/>
  <c r="V207" i="1"/>
  <c r="F199" i="1"/>
  <c r="M184" i="1"/>
  <c r="O168" i="1"/>
  <c r="Q158" i="1"/>
  <c r="Z149" i="1"/>
  <c r="M143" i="1"/>
  <c r="C137" i="1"/>
  <c r="W133" i="1"/>
  <c r="H127" i="1"/>
  <c r="W120" i="1"/>
  <c r="B111" i="1"/>
  <c r="L104" i="1"/>
  <c r="AA97" i="1"/>
  <c r="H91" i="1"/>
  <c r="Q84" i="1"/>
  <c r="Z81" i="1"/>
  <c r="C77" i="1"/>
  <c r="C61" i="1"/>
  <c r="Y47" i="1"/>
  <c r="O30" i="1"/>
  <c r="L16" i="1"/>
  <c r="I2" i="1"/>
  <c r="P227" i="1"/>
  <c r="O183" i="1"/>
  <c r="O177" i="1"/>
  <c r="P161" i="1"/>
  <c r="F148" i="1"/>
  <c r="F133" i="1"/>
  <c r="U121" i="1"/>
  <c r="Q115" i="1"/>
  <c r="K104" i="1"/>
  <c r="D101" i="1"/>
  <c r="V90" i="1"/>
  <c r="G81" i="1"/>
  <c r="U76" i="1"/>
  <c r="R66" i="1"/>
  <c r="X58" i="1"/>
  <c r="M218" i="1"/>
  <c r="M185" i="1"/>
  <c r="J174" i="1"/>
  <c r="N154" i="1"/>
  <c r="V140" i="1"/>
  <c r="W127" i="1"/>
  <c r="U114" i="1"/>
  <c r="G95" i="1"/>
  <c r="I82" i="1"/>
  <c r="M72" i="1"/>
  <c r="Y62" i="1"/>
  <c r="F53" i="1"/>
  <c r="H48" i="1"/>
  <c r="I43" i="1"/>
  <c r="M38" i="1"/>
  <c r="AA35" i="1"/>
  <c r="F31" i="1"/>
  <c r="L26" i="1"/>
  <c r="M21" i="1"/>
  <c r="R16" i="1"/>
  <c r="W11" i="1"/>
  <c r="G2" i="1"/>
  <c r="C99" i="1"/>
  <c r="U85" i="1"/>
  <c r="N75" i="1"/>
  <c r="T65" i="1"/>
  <c r="D57" i="1"/>
  <c r="E52" i="1"/>
  <c r="T49" i="1"/>
  <c r="H42" i="1"/>
  <c r="K37" i="1"/>
  <c r="P32" i="1"/>
  <c r="F30" i="1"/>
  <c r="J25" i="1"/>
  <c r="M20" i="1"/>
  <c r="Q15" i="1"/>
  <c r="W10" i="1"/>
  <c r="AA307" i="1"/>
  <c r="S238" i="1"/>
  <c r="R201" i="1"/>
  <c r="AA174" i="1"/>
  <c r="C155" i="1"/>
  <c r="F141" i="1"/>
  <c r="G128" i="1"/>
  <c r="E115" i="1"/>
  <c r="S108" i="1"/>
  <c r="R95" i="1"/>
  <c r="Q82" i="1"/>
  <c r="Z67" i="1"/>
  <c r="K58" i="1"/>
  <c r="J53" i="1"/>
  <c r="L48" i="1"/>
  <c r="M43" i="1"/>
  <c r="Q38" i="1"/>
  <c r="T33" i="1"/>
  <c r="AA28" i="1"/>
  <c r="B24" i="1"/>
  <c r="V16" i="1"/>
  <c r="AA11" i="1"/>
  <c r="X6" i="1"/>
  <c r="U1" i="1"/>
  <c r="Y198" i="1"/>
  <c r="K152" i="1"/>
  <c r="E132" i="1"/>
  <c r="L95" i="1"/>
  <c r="V70" i="1"/>
  <c r="Z48" i="1"/>
  <c r="L42" i="1"/>
  <c r="D32" i="1"/>
  <c r="AA16" i="1"/>
  <c r="H5" i="1"/>
  <c r="E288" i="1"/>
  <c r="X229" i="1"/>
  <c r="O193" i="1"/>
  <c r="H170" i="1"/>
  <c r="D151" i="1"/>
  <c r="F138" i="1"/>
  <c r="E125" i="1"/>
  <c r="D112" i="1"/>
  <c r="V235" i="1"/>
  <c r="Y128" i="1"/>
  <c r="K68" i="1"/>
  <c r="Q48" i="1"/>
  <c r="O24" i="1"/>
  <c r="R1" i="1"/>
  <c r="O207" i="1"/>
  <c r="R150" i="1"/>
  <c r="Z110" i="1"/>
  <c r="F81" i="1"/>
  <c r="P57" i="1"/>
  <c r="J43" i="1"/>
  <c r="F38" i="1"/>
  <c r="W25" i="1"/>
  <c r="E12" i="1"/>
  <c r="H2" i="1"/>
  <c r="L386" i="1"/>
  <c r="B436" i="1"/>
  <c r="I377" i="1"/>
  <c r="S360" i="1"/>
  <c r="O405" i="1"/>
  <c r="K363" i="1"/>
  <c r="V337" i="1"/>
  <c r="M316" i="1"/>
  <c r="Y374" i="1"/>
  <c r="L330" i="1"/>
  <c r="M303" i="1"/>
  <c r="J282" i="1"/>
  <c r="D261" i="1"/>
  <c r="E361" i="1"/>
  <c r="L324" i="1"/>
  <c r="W299" i="1"/>
  <c r="P286" i="1"/>
  <c r="Z275" i="1"/>
  <c r="K265" i="1"/>
  <c r="V254" i="1"/>
  <c r="J244" i="1"/>
  <c r="U233" i="1"/>
  <c r="B223" i="1"/>
  <c r="F212" i="1"/>
  <c r="N202" i="1"/>
  <c r="U192" i="1"/>
  <c r="L358" i="1"/>
  <c r="C323" i="1"/>
  <c r="AA297" i="1"/>
  <c r="T276" i="1"/>
  <c r="O256" i="1"/>
  <c r="L243" i="1"/>
  <c r="P234" i="1"/>
  <c r="N227" i="1"/>
  <c r="F220" i="1"/>
  <c r="B213" i="1"/>
  <c r="L206" i="1"/>
  <c r="AA199" i="1"/>
  <c r="M193" i="1"/>
  <c r="G188" i="1"/>
  <c r="M183" i="1"/>
  <c r="T422" i="1"/>
  <c r="J372" i="1"/>
  <c r="W343" i="1"/>
  <c r="Q329" i="1"/>
  <c r="J315" i="1"/>
  <c r="V302" i="1"/>
  <c r="K292" i="1"/>
  <c r="T281" i="1"/>
  <c r="AA270" i="1"/>
  <c r="O260" i="1"/>
  <c r="T252" i="1"/>
  <c r="Q387" i="1"/>
  <c r="S352" i="1"/>
  <c r="J334" i="1"/>
  <c r="AA447" i="1"/>
  <c r="T319" i="1"/>
  <c r="M295" i="1"/>
  <c r="F274" i="1"/>
  <c r="U254" i="1"/>
  <c r="M242" i="1"/>
  <c r="B233" i="1"/>
  <c r="O223" i="1"/>
  <c r="X213" i="1"/>
  <c r="C205" i="1"/>
  <c r="L196" i="1"/>
  <c r="V188" i="1"/>
  <c r="L182" i="1"/>
  <c r="Y171" i="1"/>
  <c r="Z166" i="1"/>
  <c r="Z161" i="1"/>
  <c r="B157" i="1"/>
  <c r="F152" i="1"/>
  <c r="G147" i="1"/>
  <c r="M142" i="1"/>
  <c r="R137" i="1"/>
  <c r="W132" i="1"/>
  <c r="Y127" i="1"/>
  <c r="D118" i="1"/>
  <c r="G113" i="1"/>
  <c r="J108" i="1"/>
  <c r="L103" i="1"/>
  <c r="O98" i="1"/>
  <c r="Q93" i="1"/>
  <c r="P88" i="1"/>
  <c r="P428" i="1"/>
  <c r="L318" i="1"/>
  <c r="O294" i="1"/>
  <c r="I273" i="1"/>
  <c r="E254" i="1"/>
  <c r="C242" i="1"/>
  <c r="S232" i="1"/>
  <c r="D223" i="1"/>
  <c r="N213" i="1"/>
  <c r="T204" i="1"/>
  <c r="B196" i="1"/>
  <c r="P188" i="1"/>
  <c r="E182" i="1"/>
  <c r="V176" i="1"/>
  <c r="S171" i="1"/>
  <c r="R166" i="1"/>
  <c r="U161" i="1"/>
  <c r="X156" i="1"/>
  <c r="S424" i="1"/>
  <c r="N294" i="1"/>
  <c r="C254" i="1"/>
  <c r="R232" i="1"/>
  <c r="L213" i="1"/>
  <c r="D182" i="1"/>
  <c r="R171" i="1"/>
  <c r="T161" i="1"/>
  <c r="C152" i="1"/>
  <c r="N145" i="1"/>
  <c r="E139" i="1"/>
  <c r="T132" i="1"/>
  <c r="C126" i="1"/>
  <c r="P119" i="1"/>
  <c r="D113" i="1"/>
  <c r="P106" i="1"/>
  <c r="N93" i="1"/>
  <c r="T86" i="1"/>
  <c r="G76" i="1"/>
  <c r="T72" i="1"/>
  <c r="I70" i="1"/>
  <c r="Y67" i="1"/>
  <c r="O65" i="1"/>
  <c r="E63" i="1"/>
  <c r="S60" i="1"/>
  <c r="F58" i="1"/>
  <c r="R55" i="1"/>
  <c r="E53" i="1"/>
  <c r="T50" i="1"/>
  <c r="G48" i="1"/>
  <c r="V45" i="1"/>
  <c r="H43" i="1"/>
  <c r="W40" i="1"/>
  <c r="L38" i="1"/>
  <c r="Z35" i="1"/>
  <c r="O33" i="1"/>
  <c r="E31" i="1"/>
  <c r="V28" i="1"/>
  <c r="K26" i="1"/>
  <c r="X23" i="1"/>
  <c r="L21" i="1"/>
  <c r="B19" i="1"/>
  <c r="Q16" i="1"/>
  <c r="F14" i="1"/>
  <c r="V11" i="1"/>
  <c r="K9" i="1"/>
  <c r="AA6" i="1"/>
  <c r="Q4" i="1"/>
  <c r="F2" i="1"/>
  <c r="N71" i="1"/>
  <c r="Y68" i="1"/>
  <c r="K66" i="1"/>
  <c r="W57" i="1"/>
  <c r="I55" i="1"/>
  <c r="X50" i="1"/>
  <c r="G46" i="1"/>
  <c r="S43" i="1"/>
  <c r="H39" i="1"/>
  <c r="S34" i="1"/>
  <c r="I32" i="1"/>
  <c r="B29" i="1"/>
  <c r="P24" i="1"/>
  <c r="O21" i="1"/>
  <c r="N18" i="1"/>
  <c r="O10" i="1"/>
  <c r="W3" i="1"/>
  <c r="C402" i="1"/>
  <c r="T313" i="1"/>
  <c r="N288" i="1"/>
  <c r="N248" i="1"/>
  <c r="J235" i="1"/>
  <c r="O221" i="1"/>
  <c r="J203" i="1"/>
  <c r="Q194" i="1"/>
  <c r="U182" i="1"/>
  <c r="C174" i="1"/>
  <c r="D168" i="1"/>
  <c r="Y157" i="1"/>
  <c r="V151" i="1"/>
  <c r="V146" i="1"/>
  <c r="Q143" i="1"/>
  <c r="M140" i="1"/>
  <c r="G130" i="1"/>
  <c r="F126" i="1"/>
  <c r="P121" i="1"/>
  <c r="V114" i="1"/>
  <c r="F111" i="1"/>
  <c r="H106" i="1"/>
  <c r="O99" i="1"/>
  <c r="Z95" i="1"/>
  <c r="F90" i="1"/>
  <c r="E84" i="1"/>
  <c r="K81" i="1"/>
  <c r="I76" i="1"/>
  <c r="Z72" i="1"/>
  <c r="M69" i="1"/>
  <c r="L64" i="1"/>
  <c r="R61" i="1"/>
  <c r="W394" i="1"/>
  <c r="F314" i="1"/>
  <c r="Q291" i="1"/>
  <c r="E270" i="1"/>
  <c r="F252" i="1"/>
  <c r="U240" i="1"/>
  <c r="K231" i="1"/>
  <c r="U221" i="1"/>
  <c r="E212" i="1"/>
  <c r="O203" i="1"/>
  <c r="X194" i="1"/>
  <c r="S187" i="1"/>
  <c r="H181" i="1"/>
  <c r="D176" i="1"/>
  <c r="AA165" i="1"/>
  <c r="C161" i="1"/>
  <c r="D156" i="1"/>
  <c r="R151" i="1"/>
  <c r="G148" i="1"/>
  <c r="B145" i="1"/>
  <c r="Y141" i="1"/>
  <c r="S138" i="1"/>
  <c r="M135" i="1"/>
  <c r="H132" i="1"/>
  <c r="AA128" i="1"/>
  <c r="R125" i="1"/>
  <c r="M122" i="1"/>
  <c r="D119" i="1"/>
  <c r="Z115" i="1"/>
  <c r="R112" i="1"/>
  <c r="M109" i="1"/>
  <c r="D106" i="1"/>
  <c r="X102" i="1"/>
  <c r="P99" i="1"/>
  <c r="K96" i="1"/>
  <c r="B93" i="1"/>
  <c r="R89" i="1"/>
  <c r="H86" i="1"/>
  <c r="G83" i="1"/>
  <c r="R80" i="1"/>
  <c r="H78" i="1"/>
  <c r="Y75" i="1"/>
  <c r="T63" i="1"/>
  <c r="M58" i="1"/>
  <c r="C50" i="1"/>
  <c r="AA36" i="1"/>
  <c r="X27" i="1"/>
  <c r="W13" i="1"/>
  <c r="X4" i="1"/>
  <c r="O284" i="1"/>
  <c r="K249" i="1"/>
  <c r="T216" i="1"/>
  <c r="Y189" i="1"/>
  <c r="J180" i="1"/>
  <c r="B169" i="1"/>
  <c r="AA163" i="1"/>
  <c r="L159" i="1"/>
  <c r="C150" i="1"/>
  <c r="C139" i="1"/>
  <c r="G131" i="1"/>
  <c r="K123" i="1"/>
  <c r="D120" i="1"/>
  <c r="C117" i="1"/>
  <c r="Q109" i="1"/>
  <c r="C106" i="1"/>
  <c r="T99" i="1"/>
  <c r="P92" i="1"/>
  <c r="L89" i="1"/>
  <c r="G86" i="1"/>
  <c r="V77" i="1"/>
  <c r="O75" i="1"/>
  <c r="Z69" i="1"/>
  <c r="S67" i="1"/>
  <c r="M65" i="1"/>
  <c r="E60" i="1"/>
  <c r="L346" i="1"/>
  <c r="F284" i="1"/>
  <c r="M247" i="1"/>
  <c r="C228" i="1"/>
  <c r="F209" i="1"/>
  <c r="Z191" i="1"/>
  <c r="I179" i="1"/>
  <c r="I169" i="1"/>
  <c r="K159" i="1"/>
  <c r="L150" i="1"/>
  <c r="AA143" i="1"/>
  <c r="P137" i="1"/>
  <c r="E131" i="1"/>
  <c r="O124" i="1"/>
  <c r="B118" i="1"/>
  <c r="O111" i="1"/>
  <c r="B105" i="1"/>
  <c r="M98" i="1"/>
  <c r="Y91" i="1"/>
  <c r="E85" i="1"/>
  <c r="W79" i="1"/>
  <c r="B75" i="1"/>
  <c r="B70" i="1"/>
  <c r="H65" i="1"/>
  <c r="L60" i="1"/>
  <c r="Z56" i="1"/>
  <c r="M54" i="1"/>
  <c r="AA51" i="1"/>
  <c r="N49" i="1"/>
  <c r="B47" i="1"/>
  <c r="O44" i="1"/>
  <c r="C42" i="1"/>
  <c r="R39" i="1"/>
  <c r="F37" i="1"/>
  <c r="U34" i="1"/>
  <c r="K32" i="1"/>
  <c r="R27" i="1"/>
  <c r="E25" i="1"/>
  <c r="S22" i="1"/>
  <c r="H20" i="1"/>
  <c r="W17" i="1"/>
  <c r="L15" i="1"/>
  <c r="Q10" i="1"/>
  <c r="G8" i="1"/>
  <c r="W5" i="1"/>
  <c r="M3" i="1"/>
  <c r="I1" i="1"/>
  <c r="H102" i="1"/>
  <c r="Y95" i="1"/>
  <c r="E89" i="1"/>
  <c r="W82" i="1"/>
  <c r="Y77" i="1"/>
  <c r="Y72" i="1"/>
  <c r="C68" i="1"/>
  <c r="J63" i="1"/>
  <c r="L58" i="1"/>
  <c r="Y55" i="1"/>
  <c r="K53" i="1"/>
  <c r="AA50" i="1"/>
  <c r="M48" i="1"/>
  <c r="B46" i="1"/>
  <c r="N43" i="1"/>
  <c r="B41" i="1"/>
  <c r="R38" i="1"/>
  <c r="E36" i="1"/>
  <c r="U33" i="1"/>
  <c r="K31" i="1"/>
  <c r="Q26" i="1"/>
  <c r="C24" i="1"/>
  <c r="R21" i="1"/>
  <c r="H19" i="1"/>
  <c r="W16" i="1"/>
  <c r="L14" i="1"/>
  <c r="Q9" i="1"/>
  <c r="F7" i="1"/>
  <c r="W4" i="1"/>
  <c r="L2" i="1"/>
  <c r="O360" i="1"/>
  <c r="X286" i="1"/>
  <c r="E249" i="1"/>
  <c r="J229" i="1"/>
  <c r="H210" i="1"/>
  <c r="AA192" i="1"/>
  <c r="AA169" i="1"/>
  <c r="Z150" i="1"/>
  <c r="J144" i="1"/>
  <c r="P131" i="1"/>
  <c r="Z124" i="1"/>
  <c r="M118" i="1"/>
  <c r="Z111" i="1"/>
  <c r="L105" i="1"/>
  <c r="Y98" i="1"/>
  <c r="I92" i="1"/>
  <c r="O85" i="1"/>
  <c r="D80" i="1"/>
  <c r="J75" i="1"/>
  <c r="J70" i="1"/>
  <c r="P65" i="1"/>
  <c r="T60" i="1"/>
  <c r="C57" i="1"/>
  <c r="Q54" i="1"/>
  <c r="D52" i="1"/>
  <c r="S49" i="1"/>
  <c r="F47" i="1"/>
  <c r="S44" i="1"/>
  <c r="G42" i="1"/>
  <c r="V39" i="1"/>
  <c r="J37" i="1"/>
  <c r="Y34" i="1"/>
  <c r="O32" i="1"/>
  <c r="E30" i="1"/>
  <c r="V27" i="1"/>
  <c r="I25" i="1"/>
  <c r="W22" i="1"/>
  <c r="L20" i="1"/>
  <c r="AA17" i="1"/>
  <c r="P15" i="1"/>
  <c r="E13" i="1"/>
  <c r="M10" i="1"/>
  <c r="C8" i="1"/>
  <c r="K5" i="1"/>
  <c r="K2" i="1"/>
  <c r="Q320" i="1"/>
  <c r="B189" i="1"/>
  <c r="V165" i="1"/>
  <c r="V141" i="1"/>
  <c r="J122" i="1"/>
  <c r="S102" i="1"/>
  <c r="T88" i="1"/>
  <c r="F78" i="1"/>
  <c r="R63" i="1"/>
  <c r="G53" i="1"/>
  <c r="F45" i="1"/>
  <c r="AA39" i="1"/>
  <c r="K35" i="1"/>
  <c r="P28" i="1"/>
  <c r="I20" i="1"/>
  <c r="U12" i="1"/>
  <c r="R7" i="1"/>
  <c r="P2" i="1"/>
  <c r="P309" i="1"/>
  <c r="Z266" i="1"/>
  <c r="I239" i="1"/>
  <c r="I220" i="1"/>
  <c r="E202" i="1"/>
  <c r="R186" i="1"/>
  <c r="H175" i="1"/>
  <c r="F165" i="1"/>
  <c r="K155" i="1"/>
  <c r="U147" i="1"/>
  <c r="K141" i="1"/>
  <c r="AA134" i="1"/>
  <c r="L128" i="1"/>
  <c r="Z121" i="1"/>
  <c r="K115" i="1"/>
  <c r="AA108" i="1"/>
  <c r="I280" i="1"/>
  <c r="M158" i="1"/>
  <c r="U137" i="1"/>
  <c r="G118" i="1"/>
  <c r="P60" i="1"/>
  <c r="I52" i="1"/>
  <c r="Y44" i="1"/>
  <c r="AA27" i="1"/>
  <c r="Y20" i="1"/>
  <c r="J13" i="1"/>
  <c r="I313" i="1"/>
  <c r="I226" i="1"/>
  <c r="M187" i="1"/>
  <c r="O164" i="1"/>
  <c r="R120" i="1"/>
  <c r="Y101" i="1"/>
  <c r="L76" i="1"/>
  <c r="B63" i="1"/>
  <c r="Y53" i="1"/>
  <c r="F46" i="1"/>
  <c r="Y40" i="1"/>
  <c r="S35" i="1"/>
  <c r="E29" i="1"/>
  <c r="L22" i="1"/>
  <c r="E15" i="1"/>
  <c r="U9" i="1"/>
  <c r="AA4" i="1"/>
  <c r="P366" i="1"/>
  <c r="S347" i="1"/>
  <c r="O356" i="1"/>
  <c r="M332" i="1"/>
  <c r="D359" i="1"/>
  <c r="AA276" i="1"/>
  <c r="D347" i="1"/>
  <c r="K296" i="1"/>
  <c r="J273" i="1"/>
  <c r="S170" i="1"/>
  <c r="J289" i="1"/>
  <c r="AA186" i="1"/>
  <c r="L165" i="1"/>
  <c r="E344" i="1"/>
  <c r="Y227" i="1"/>
  <c r="S191" i="1"/>
  <c r="H159" i="1"/>
  <c r="Y143" i="1"/>
  <c r="M124" i="1"/>
  <c r="AA104" i="1"/>
  <c r="W91" i="1"/>
  <c r="V79" i="1"/>
  <c r="S69" i="1"/>
  <c r="N62" i="1"/>
  <c r="N57" i="1"/>
  <c r="O52" i="1"/>
  <c r="D45" i="1"/>
  <c r="U37" i="1"/>
  <c r="Z32" i="1"/>
  <c r="T25" i="1"/>
  <c r="W20" i="1"/>
  <c r="P13" i="1"/>
  <c r="K6" i="1"/>
  <c r="Y70" i="1"/>
  <c r="N65" i="1"/>
  <c r="O54" i="1"/>
  <c r="P45" i="1"/>
  <c r="C34" i="1"/>
  <c r="Z20" i="1"/>
  <c r="Z12" i="1"/>
  <c r="U2" i="1"/>
  <c r="Z306" i="1"/>
  <c r="Y232" i="1"/>
  <c r="E201" i="1"/>
  <c r="J179" i="1"/>
  <c r="L155" i="1"/>
  <c r="AA145" i="1"/>
  <c r="S139" i="1"/>
  <c r="K125" i="1"/>
  <c r="Q113" i="1"/>
  <c r="P104" i="1"/>
  <c r="J88" i="1"/>
  <c r="E80" i="1"/>
  <c r="J72" i="1"/>
  <c r="O63" i="1"/>
  <c r="C357" i="1"/>
  <c r="E286" i="1"/>
  <c r="AA264" i="1"/>
  <c r="M238" i="1"/>
  <c r="T192" i="1"/>
  <c r="W179" i="1"/>
  <c r="T164" i="1"/>
  <c r="Z154" i="1"/>
  <c r="M147" i="1"/>
  <c r="C141" i="1"/>
  <c r="S134" i="1"/>
  <c r="D128" i="1"/>
  <c r="J118" i="1"/>
  <c r="W111" i="1"/>
  <c r="AA101" i="1"/>
  <c r="F92" i="1"/>
  <c r="M85" i="1"/>
  <c r="B80" i="1"/>
  <c r="M62" i="1"/>
  <c r="AA48" i="1"/>
  <c r="P35" i="1"/>
  <c r="Q17" i="1"/>
  <c r="S3" i="1"/>
  <c r="AA211" i="1"/>
  <c r="D178" i="1"/>
  <c r="E162" i="1"/>
  <c r="T129" i="1"/>
  <c r="C119" i="1"/>
  <c r="Y104" i="1"/>
  <c r="C95" i="1"/>
  <c r="E88" i="1"/>
  <c r="D79" i="1"/>
  <c r="P64" i="1"/>
  <c r="E59" i="1"/>
  <c r="I268" i="1"/>
  <c r="T202" i="1"/>
  <c r="P175" i="1"/>
  <c r="S155" i="1"/>
  <c r="Q141" i="1"/>
  <c r="Q128" i="1"/>
  <c r="E109" i="1"/>
  <c r="C96" i="1"/>
  <c r="G68" i="1"/>
  <c r="C51" i="1"/>
  <c r="E46" i="1"/>
  <c r="E41" i="1"/>
  <c r="H36" i="1"/>
  <c r="N31" i="1"/>
  <c r="F24" i="1"/>
  <c r="K19" i="1"/>
  <c r="O14" i="1"/>
  <c r="T9" i="1"/>
  <c r="Z4" i="1"/>
  <c r="L106" i="1"/>
  <c r="J93" i="1"/>
  <c r="Y80" i="1"/>
  <c r="D71" i="1"/>
  <c r="M61" i="1"/>
  <c r="AA54" i="1"/>
  <c r="B50" i="1"/>
  <c r="B45" i="1"/>
  <c r="P42" i="1"/>
  <c r="S37" i="1"/>
  <c r="X32" i="1"/>
  <c r="D28" i="1"/>
  <c r="U20" i="1"/>
  <c r="Z15" i="1"/>
  <c r="D11" i="1"/>
  <c r="I6" i="1"/>
  <c r="X270" i="1"/>
  <c r="C222" i="1"/>
  <c r="X187" i="1"/>
  <c r="H156" i="1"/>
  <c r="AA141" i="1"/>
  <c r="C129" i="1"/>
  <c r="B116" i="1"/>
  <c r="Z102" i="1"/>
  <c r="U89" i="1"/>
  <c r="J78" i="1"/>
  <c r="O68" i="1"/>
  <c r="W58" i="1"/>
  <c r="G51" i="1"/>
  <c r="I46" i="1"/>
  <c r="I41" i="1"/>
  <c r="L36" i="1"/>
  <c r="R31" i="1"/>
  <c r="Y26" i="1"/>
  <c r="Z21" i="1"/>
  <c r="C17" i="1"/>
  <c r="H12" i="1"/>
  <c r="E7" i="1"/>
  <c r="B259" i="1"/>
  <c r="Q179" i="1"/>
  <c r="P134" i="1"/>
  <c r="C97" i="1"/>
  <c r="Q72" i="1"/>
  <c r="F50" i="1"/>
  <c r="N38" i="1"/>
  <c r="F25" i="1"/>
  <c r="R10" i="1"/>
  <c r="C413" i="1"/>
  <c r="P253" i="1"/>
  <c r="D213" i="1"/>
  <c r="X181" i="1"/>
  <c r="Z151" i="1"/>
  <c r="L119" i="1"/>
  <c r="N4" i="1"/>
  <c r="V242" i="1"/>
  <c r="P130" i="1"/>
  <c r="F70" i="1"/>
  <c r="L32" i="1"/>
  <c r="W211" i="1"/>
  <c r="P153" i="1"/>
  <c r="U133" i="1"/>
  <c r="H96" i="1"/>
  <c r="S58" i="1"/>
  <c r="AA43" i="1"/>
  <c r="M26" i="1"/>
  <c r="B13" i="1"/>
  <c r="Y2" i="1"/>
  <c r="P400" i="1"/>
  <c r="Z292" i="1"/>
  <c r="P338" i="1"/>
  <c r="Y292" i="1"/>
  <c r="J281" i="1"/>
  <c r="C260" i="1"/>
  <c r="P217" i="1"/>
  <c r="Q197" i="1"/>
  <c r="F337" i="1"/>
  <c r="K287" i="1"/>
  <c r="O249" i="1"/>
  <c r="R216" i="1"/>
  <c r="G203" i="1"/>
  <c r="Q190" i="1"/>
  <c r="B181" i="1"/>
  <c r="M357" i="1"/>
  <c r="P322" i="1"/>
  <c r="Q297" i="1"/>
  <c r="U265" i="1"/>
  <c r="F249" i="1"/>
  <c r="E411" i="1"/>
  <c r="J341" i="1"/>
  <c r="Z305" i="1"/>
  <c r="R263" i="1"/>
  <c r="V237" i="1"/>
  <c r="S218" i="1"/>
  <c r="T200" i="1"/>
  <c r="Q185" i="1"/>
  <c r="M174" i="1"/>
  <c r="J164" i="1"/>
  <c r="Q154" i="1"/>
  <c r="W144" i="1"/>
  <c r="G135" i="1"/>
  <c r="L125" i="1"/>
  <c r="R115" i="1"/>
  <c r="Y105" i="1"/>
  <c r="B91" i="1"/>
  <c r="W344" i="1"/>
  <c r="Y283" i="1"/>
  <c r="F247" i="1"/>
  <c r="B209" i="1"/>
  <c r="T191" i="1"/>
  <c r="G179" i="1"/>
  <c r="E164" i="1"/>
  <c r="L154" i="1"/>
  <c r="F273" i="1"/>
  <c r="C223" i="1"/>
  <c r="N188" i="1"/>
  <c r="Q166" i="1"/>
  <c r="J142" i="1"/>
  <c r="L129" i="1"/>
  <c r="K116" i="1"/>
  <c r="I103" i="1"/>
  <c r="P83" i="1"/>
  <c r="B74" i="1"/>
  <c r="C69" i="1"/>
  <c r="J64" i="1"/>
  <c r="K59" i="1"/>
  <c r="L54" i="1"/>
  <c r="M49" i="1"/>
  <c r="N44" i="1"/>
  <c r="Q39" i="1"/>
  <c r="T34" i="1"/>
  <c r="AA29" i="1"/>
  <c r="D25" i="1"/>
  <c r="V17" i="1"/>
  <c r="AA12" i="1"/>
  <c r="F8" i="1"/>
  <c r="L3" i="1"/>
  <c r="S72" i="1"/>
  <c r="T67" i="1"/>
  <c r="R59" i="1"/>
  <c r="H53" i="1"/>
  <c r="Z44" i="1"/>
  <c r="V36" i="1"/>
  <c r="AA30" i="1"/>
  <c r="U22" i="1"/>
  <c r="H16" i="1"/>
  <c r="J9" i="1"/>
  <c r="S338" i="1"/>
  <c r="Y265" i="1"/>
  <c r="AA229" i="1"/>
  <c r="T188" i="1"/>
  <c r="N171" i="1"/>
  <c r="Z153" i="1"/>
  <c r="F145" i="1"/>
  <c r="R138" i="1"/>
  <c r="X127" i="1"/>
  <c r="C118" i="1"/>
  <c r="T102" i="1"/>
  <c r="P93" i="1"/>
  <c r="Y82" i="1"/>
  <c r="H74" i="1"/>
  <c r="V66" i="1"/>
  <c r="Z62" i="1"/>
  <c r="M336" i="1"/>
  <c r="Z280" i="1"/>
  <c r="B236" i="1"/>
  <c r="AA216" i="1"/>
  <c r="W190" i="1"/>
  <c r="O178" i="1"/>
  <c r="O173" i="1"/>
  <c r="M163" i="1"/>
  <c r="T153" i="1"/>
  <c r="R146" i="1"/>
  <c r="I140" i="1"/>
  <c r="S130" i="1"/>
  <c r="O117" i="1"/>
  <c r="G114" i="1"/>
  <c r="U107" i="1"/>
  <c r="E101" i="1"/>
  <c r="T94" i="1"/>
  <c r="M79" i="1"/>
  <c r="O66" i="1"/>
  <c r="J52" i="1"/>
  <c r="L39" i="1"/>
  <c r="C25" i="1"/>
  <c r="S7" i="1"/>
  <c r="Q264" i="1"/>
  <c r="E208" i="1"/>
  <c r="E166" i="1"/>
  <c r="AA156" i="1"/>
  <c r="Q136" i="1"/>
  <c r="J129" i="1"/>
  <c r="S118" i="1"/>
  <c r="N107" i="1"/>
  <c r="H94" i="1"/>
  <c r="R87" i="1"/>
  <c r="W78" i="1"/>
  <c r="T68" i="1"/>
  <c r="H64" i="1"/>
  <c r="J305" i="1"/>
  <c r="P237" i="1"/>
  <c r="O200" i="1"/>
  <c r="G164" i="1"/>
  <c r="E147" i="1"/>
  <c r="K134" i="1"/>
  <c r="I121" i="1"/>
  <c r="H108" i="1"/>
  <c r="R101" i="1"/>
  <c r="N88" i="1"/>
  <c r="M77" i="1"/>
  <c r="R67" i="1"/>
  <c r="G58" i="1"/>
  <c r="S55" i="1"/>
  <c r="U50" i="1"/>
  <c r="W45" i="1"/>
  <c r="X40" i="1"/>
  <c r="P33" i="1"/>
  <c r="W28" i="1"/>
  <c r="Y23" i="1"/>
  <c r="C19" i="1"/>
  <c r="G14" i="1"/>
  <c r="L9" i="1"/>
  <c r="R4" i="1"/>
  <c r="R105" i="1"/>
  <c r="N92" i="1"/>
  <c r="H80" i="1"/>
  <c r="N70" i="1"/>
  <c r="X60" i="1"/>
  <c r="R54" i="1"/>
  <c r="G47" i="1"/>
  <c r="T44" i="1"/>
  <c r="W39" i="1"/>
  <c r="Z34" i="1"/>
  <c r="W27" i="1"/>
  <c r="Y22" i="1"/>
  <c r="F13" i="1"/>
  <c r="L8" i="1"/>
  <c r="R3" i="1"/>
  <c r="V1" i="1"/>
  <c r="R265" i="1"/>
  <c r="S219" i="1"/>
  <c r="G186" i="1"/>
  <c r="Y164" i="1"/>
  <c r="P147" i="1"/>
  <c r="U134" i="1"/>
  <c r="T121" i="1"/>
  <c r="C102" i="1"/>
  <c r="AA88" i="1"/>
  <c r="U77" i="1"/>
  <c r="U72" i="1"/>
  <c r="F63" i="1"/>
  <c r="W55" i="1"/>
  <c r="Z50" i="1"/>
  <c r="D36" i="1"/>
  <c r="J31" i="1"/>
  <c r="P26" i="1"/>
  <c r="Q21" i="1"/>
  <c r="G19" i="1"/>
  <c r="K14" i="1"/>
  <c r="H9" i="1"/>
  <c r="Y3" i="1"/>
  <c r="J248" i="1"/>
  <c r="F177" i="1"/>
  <c r="J113" i="1"/>
  <c r="E83" i="1"/>
  <c r="H57" i="1"/>
  <c r="Y37" i="1"/>
  <c r="G24" i="1"/>
  <c r="B10" i="1"/>
  <c r="S367" i="1"/>
  <c r="V210" i="1"/>
  <c r="I180" i="1"/>
  <c r="I160" i="1"/>
  <c r="P144" i="1"/>
  <c r="U131" i="1"/>
  <c r="R118" i="1"/>
  <c r="Q3" i="1"/>
  <c r="O146" i="1"/>
  <c r="K109" i="1"/>
  <c r="L55" i="1"/>
  <c r="O31" i="1"/>
  <c r="H17" i="1"/>
  <c r="I255" i="1"/>
  <c r="AA175" i="1"/>
  <c r="K131" i="1"/>
  <c r="R94" i="1"/>
  <c r="P69" i="1"/>
  <c r="Y49" i="1"/>
  <c r="T32" i="1"/>
  <c r="U18" i="1"/>
  <c r="J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&quot; &quot;mmmm&quot; &quot;yyyy"/>
    <numFmt numFmtId="165" formatCode="dd\-mm\-yyyy"/>
    <numFmt numFmtId="166" formatCode="d\-m\-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wrapText="1"/>
    </xf>
    <xf numFmtId="49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166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U989"/>
  <sheetViews>
    <sheetView tabSelected="1" zoomScale="70" zoomScaleNormal="70" workbookViewId="0">
      <pane xSplit="2" ySplit="1" topLeftCell="X2" activePane="bottomRight" state="frozen"/>
      <selection pane="topRight" activeCell="C1" sqref="C1"/>
      <selection pane="bottomLeft" activeCell="A4" sqref="A4"/>
      <selection pane="bottomRight" activeCell="X19" sqref="X19"/>
    </sheetView>
  </sheetViews>
  <sheetFormatPr defaultColWidth="12.5703125" defaultRowHeight="15.75" customHeight="1" x14ac:dyDescent="0.2"/>
  <cols>
    <col min="1" max="1" width="4.42578125" customWidth="1"/>
    <col min="2" max="2" width="31" customWidth="1"/>
    <col min="3" max="4" width="45" customWidth="1"/>
    <col min="5" max="5" width="17.5703125" customWidth="1"/>
    <col min="6" max="6" width="19.140625" customWidth="1"/>
    <col min="7" max="7" width="21.5703125" customWidth="1"/>
    <col min="8" max="8" width="15.85546875" customWidth="1"/>
    <col min="9" max="9" width="16.28515625" customWidth="1"/>
    <col min="10" max="10" width="14" customWidth="1"/>
    <col min="11" max="11" width="3.42578125" customWidth="1"/>
    <col min="12" max="12" width="14" customWidth="1"/>
    <col min="13" max="13" width="11" customWidth="1"/>
    <col min="14" max="14" width="18.42578125" customWidth="1"/>
    <col min="15" max="15" width="4.42578125" customWidth="1"/>
    <col min="16" max="16" width="11.85546875" customWidth="1"/>
    <col min="17" max="17" width="30.28515625" customWidth="1"/>
    <col min="18" max="18" width="46.140625" customWidth="1"/>
    <col min="19" max="19" width="12.42578125" customWidth="1"/>
    <col min="20" max="20" width="14.42578125" customWidth="1"/>
    <col min="21" max="21" width="27.85546875" customWidth="1"/>
    <col min="22" max="22" width="10.85546875" customWidth="1"/>
    <col min="23" max="23" width="11.42578125" customWidth="1"/>
    <col min="24" max="24" width="96.140625" customWidth="1"/>
    <col min="25" max="25" width="7.28515625" customWidth="1"/>
    <col min="26" max="26" width="20.7109375" customWidth="1"/>
    <col min="27" max="27" width="13.42578125" customWidth="1"/>
    <col min="28" max="28" width="9.42578125" customWidth="1"/>
    <col min="29" max="29" width="16.42578125" customWidth="1"/>
    <col min="30" max="30" width="7.42578125" customWidth="1"/>
    <col min="31" max="32" width="22.5703125" customWidth="1"/>
    <col min="33" max="33" width="12.7109375" customWidth="1"/>
    <col min="34" max="35" width="22.5703125" customWidth="1"/>
    <col min="36" max="36" width="12.7109375" customWidth="1"/>
    <col min="37" max="38" width="22.5703125" customWidth="1"/>
    <col min="39" max="39" width="12.7109375" customWidth="1"/>
    <col min="40" max="40" width="32.7109375" customWidth="1"/>
    <col min="41" max="41" width="22.28515625" customWidth="1"/>
    <col min="42" max="42" width="20.7109375" customWidth="1"/>
    <col min="43" max="43" width="25.28515625" customWidth="1"/>
    <col min="45" max="45" width="14.28515625" customWidth="1"/>
  </cols>
  <sheetData>
    <row r="1" spans="1:47" x14ac:dyDescent="0.2">
      <c r="A1" s="1" t="str">
        <f ca="1">IFERROR(__xludf.DUMMYFUNCTION("IMPORTRANGE(""https://docs.google.com/spreadsheets/d/18YwiO-vqWw8xkcdsRuBa4DQFWjkF0U2r4Vs6Yb_hL7o"",""JANUARI 2026!a:f"")"),"No")</f>
        <v>No</v>
      </c>
      <c r="B1" s="1" t="str">
        <f ca="1">IFERROR(__xludf.DUMMYFUNCTION("""COMPUTED_VALUE"""),"Nama Tanpa Gelar")</f>
        <v>Nama Tanpa Gelar</v>
      </c>
      <c r="C1" s="1" t="str">
        <f ca="1">IFERROR(__xludf.DUMMYFUNCTION("""COMPUTED_VALUE"""),"Nama dengan Gelar")</f>
        <v>Nama dengan Gelar</v>
      </c>
      <c r="D1" s="1" t="str">
        <f ca="1">IFERROR(__xludf.DUMMYFUNCTION("""COMPUTED_VALUE"""),"Nama dengan Gelar")</f>
        <v>Nama dengan Gelar</v>
      </c>
      <c r="E1" s="1" t="str">
        <f ca="1">IFERROR(__xludf.DUMMYFUNCTION("""COMPUTED_VALUE"""),"NIP Spaceless")</f>
        <v>NIP Spaceless</v>
      </c>
      <c r="F1" s="1" t="str">
        <f ca="1">IFERROR(__xludf.DUMMYFUNCTION("""COMPUTED_VALUE"""),"NIP")</f>
        <v>NIP</v>
      </c>
      <c r="G1" s="1" t="str">
        <f ca="1">IFERROR(__xludf.DUMMYFUNCTION("IMPORTRANGE(""https://docs.google.com/spreadsheets/d/18YwiO-vqWw8xkcdsRuBa4DQFWjkF0U2r4Vs6Yb_hL7o"",""JANUARI 2026!h:i"")"),"NIDN")</f>
        <v>NIDN</v>
      </c>
      <c r="H1" s="1" t="str">
        <f ca="1">IFERROR(__xludf.DUMMYFUNCTION("""COMPUTED_VALUE"""),"NUPTK")</f>
        <v>NUPTK</v>
      </c>
      <c r="I1" s="1" t="str">
        <f ca="1">IFERROR(__xludf.DUMMYFUNCTION("IMPORTRANGE(""https://docs.google.com/spreadsheets/d/18YwiO-vqWw8xkcdsRuBa4DQFWjkF0U2r4Vs6Yb_hL7o"",""JANUARI 2026!l:aa"")"),"Status Kepegawaian")</f>
        <v>Status Kepegawaian</v>
      </c>
      <c r="J1" s="1" t="str">
        <f ca="1">IFERROR(__xludf.DUMMYFUNCTION("""COMPUTED_VALUE"""),"Kategori")</f>
        <v>Kategori</v>
      </c>
      <c r="K1" s="2" t="str">
        <f ca="1">IFERROR(__xludf.DUMMYFUNCTION("""COMPUTED_VALUE"""),"L/P")</f>
        <v>L/P</v>
      </c>
      <c r="L1" s="1" t="str">
        <f ca="1">IFERROR(__xludf.DUMMYFUNCTION("""COMPUTED_VALUE"""),"Tempat Lahir")</f>
        <v>Tempat Lahir</v>
      </c>
      <c r="M1" s="1" t="str">
        <f ca="1">IFERROR(__xludf.DUMMYFUNCTION("""COMPUTED_VALUE"""),"Tanggal Lahir")</f>
        <v>Tanggal Lahir</v>
      </c>
      <c r="N1" s="1" t="str">
        <f ca="1">IFERROR(__xludf.DUMMYFUNCTION("""COMPUTED_VALUE"""),"Pangkat")</f>
        <v>Pangkat</v>
      </c>
      <c r="O1" s="1" t="str">
        <f ca="1">IFERROR(__xludf.DUMMYFUNCTION("""COMPUTED_VALUE"""),"Gol")</f>
        <v>Gol</v>
      </c>
      <c r="P1" s="1" t="str">
        <f ca="1">IFERROR(__xludf.DUMMYFUNCTION("""COMPUTED_VALUE"""),"TMT")</f>
        <v>TMT</v>
      </c>
      <c r="Q1" s="1" t="str">
        <f ca="1">IFERROR(__xludf.DUMMYFUNCTION("""COMPUTED_VALUE"""),"No SK")</f>
        <v>No SK</v>
      </c>
      <c r="R1" s="1" t="str">
        <f ca="1">IFERROR(__xludf.DUMMYFUNCTION("""COMPUTED_VALUE"""),"Jabatan")</f>
        <v>Jabatan</v>
      </c>
      <c r="S1" s="1" t="str">
        <f ca="1">IFERROR(__xludf.DUMMYFUNCTION("""COMPUTED_VALUE"""),"Jenis")</f>
        <v>Jenis</v>
      </c>
      <c r="T1" s="1" t="str">
        <f ca="1">IFERROR(__xludf.DUMMYFUNCTION("""COMPUTED_VALUE"""),"TMT")</f>
        <v>TMT</v>
      </c>
      <c r="U1" s="1" t="str">
        <f ca="1">IFERROR(__xludf.DUMMYFUNCTION("""COMPUTED_VALUE"""),"No SK")</f>
        <v>No SK</v>
      </c>
      <c r="V1" s="1" t="str">
        <f ca="1">IFERROR(__xludf.DUMMYFUNCTION("""COMPUTED_VALUE"""),"Tanggal SK")</f>
        <v>Tanggal SK</v>
      </c>
      <c r="W1" s="1" t="str">
        <f ca="1">IFERROR(__xludf.DUMMYFUNCTION("""COMPUTED_VALUE"""),"Kelas Jabatan")</f>
        <v>Kelas Jabatan</v>
      </c>
      <c r="X1" s="1" t="str">
        <f ca="1">IFERROR(__xludf.DUMMYFUNCTION("""COMPUTED_VALUE"""),"Jabatan")</f>
        <v>Jabatan</v>
      </c>
      <c r="Y1" s="1" t="str">
        <f ca="1">IFERROR(__xludf.DUMMYFUNCTION("IMPORTRANGE(""https://docs.google.com/spreadsheets/d/18YwiO-vqWw8xkcdsRuBa4DQFWjkF0U2r4Vs6Yb_hL7o"",""JANUARI 2026!af1:af471"")"),"Ijazah")</f>
        <v>Ijazah</v>
      </c>
      <c r="Z1" s="1" t="str">
        <f ca="1">IFERROR(__xludf.DUMMYFUNCTION("IMPORTRANGE(""https://docs.google.com/spreadsheets/d/18YwiO-vqWw8xkcdsRuBa4DQFWjkF0U2r4Vs6Yb_hL7o"",""JANUARI 2026!bf:bf"")"),"MASA KERJA KESELURUHAN")</f>
        <v>MASA KERJA KESELURUHAN</v>
      </c>
      <c r="AA1" s="1" t="str">
        <f ca="1">IFERROR(__xludf.DUMMYFUNCTION("IMPORTRANGE(""https://docs.google.com/spreadsheets/d/18YwiO-vqWw8xkcdsRuBa4DQFWjkF0U2r4Vs6Yb_hL7o"",""JANUARI 2026!bl:bl"")"),"Tanggal Pensiun")</f>
        <v>Tanggal Pensiun</v>
      </c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4"/>
      <c r="AR1" s="3"/>
      <c r="AS1" s="4"/>
      <c r="AT1" s="3"/>
      <c r="AU1" s="3"/>
    </row>
    <row r="2" spans="1:47" x14ac:dyDescent="0.2">
      <c r="A2" s="3">
        <v>1</v>
      </c>
      <c r="B2" s="3" t="str">
        <f ca="1">IFERROR(__xludf.DUMMYFUNCTION("""COMPUTED_VALUE"""),"A. Luthfi Hamidi")</f>
        <v>A. Luthfi Hamidi</v>
      </c>
      <c r="C2" s="3" t="str">
        <f ca="1">IFERROR(__xludf.DUMMYFUNCTION("""COMPUTED_VALUE"""),"Dr. H. A. Luthfi Hamidi, M.Ag.")</f>
        <v>Dr. H. A. Luthfi Hamidi, M.Ag.</v>
      </c>
      <c r="D2" s="3" t="str">
        <f ca="1">IFERROR(__xludf.DUMMYFUNCTION("""COMPUTED_VALUE"""),"Dr. H. A. Luthfi Hamidi, M.Ag.")</f>
        <v>Dr. H. A. Luthfi Hamidi, M.Ag.</v>
      </c>
      <c r="E2" s="3" t="str">
        <f ca="1">IFERROR(__xludf.DUMMYFUNCTION("""COMPUTED_VALUE"""),"196708151992031003")</f>
        <v>196708151992031003</v>
      </c>
      <c r="F2" s="3" t="str">
        <f ca="1">IFERROR(__xludf.DUMMYFUNCTION("""COMPUTED_VALUE"""),"19670815 199203 1 003")</f>
        <v>19670815 199203 1 003</v>
      </c>
      <c r="G2" s="3">
        <f ca="1">IFERROR(__xludf.DUMMYFUNCTION("""COMPUTED_VALUE"""),2015086701)</f>
        <v>2015086701</v>
      </c>
      <c r="H2" s="6" t="str">
        <f ca="1">IFERROR(__xludf.DUMMYFUNCTION("""COMPUTED_VALUE"""),"6147745646130123")</f>
        <v>6147745646130123</v>
      </c>
      <c r="I2" s="3" t="str">
        <f ca="1">IFERROR(__xludf.DUMMYFUNCTION("""COMPUTED_VALUE"""),"PNS")</f>
        <v>PNS</v>
      </c>
      <c r="J2" s="3" t="str">
        <f ca="1">IFERROR(__xludf.DUMMYFUNCTION("""COMPUTED_VALUE"""),"Dosen PNS")</f>
        <v>Dosen PNS</v>
      </c>
      <c r="K2" s="5" t="str">
        <f ca="1">IFERROR(__xludf.DUMMYFUNCTION("""COMPUTED_VALUE"""),"L")</f>
        <v>L</v>
      </c>
      <c r="L2" s="3" t="str">
        <f ca="1">IFERROR(__xludf.DUMMYFUNCTION("""COMPUTED_VALUE"""),"Lamongan")</f>
        <v>Lamongan</v>
      </c>
      <c r="M2" s="7">
        <f ca="1">IFERROR(__xludf.DUMMYFUNCTION("""COMPUTED_VALUE"""),24699)</f>
        <v>24699</v>
      </c>
      <c r="N2" s="4" t="str">
        <f ca="1">IFERROR(__xludf.DUMMYFUNCTION("""COMPUTED_VALUE"""),"Pembina Tk.I")</f>
        <v>Pembina Tk.I</v>
      </c>
      <c r="O2" s="3" t="str">
        <f ca="1">IFERROR(__xludf.DUMMYFUNCTION("""COMPUTED_VALUE"""),"IV/b")</f>
        <v>IV/b</v>
      </c>
      <c r="P2" s="7">
        <f ca="1">IFERROR(__xludf.DUMMYFUNCTION("""COMPUTED_VALUE"""),45383)</f>
        <v>45383</v>
      </c>
      <c r="Q2" s="3" t="str">
        <f ca="1">IFERROR(__xludf.DUMMYFUNCTION("""COMPUTED_VALUE"""),"014637/B.II/3/2024")</f>
        <v>014637/B.II/3/2024</v>
      </c>
      <c r="R2" s="3" t="str">
        <f ca="1">IFERROR(__xludf.DUMMYFUNCTION("""COMPUTED_VALUE"""),"Lektor Kepala")</f>
        <v>Lektor Kepala</v>
      </c>
      <c r="S2" s="3" t="str">
        <f ca="1">IFERROR(__xludf.DUMMYFUNCTION("""COMPUTED_VALUE"""),"Lektor Kepala")</f>
        <v>Lektor Kepala</v>
      </c>
      <c r="T2" s="7">
        <f ca="1">IFERROR(__xludf.DUMMYFUNCTION("""COMPUTED_VALUE"""),38078)</f>
        <v>38078</v>
      </c>
      <c r="U2" s="3" t="str">
        <f ca="1">IFERROR(__xludf.DUMMYFUNCTION("""COMPUTED_VALUE"""),"B.II/2/07852")</f>
        <v>B.II/2/07852</v>
      </c>
      <c r="V2" s="7">
        <f ca="1">IFERROR(__xludf.DUMMYFUNCTION("""COMPUTED_VALUE"""),38078)</f>
        <v>38078</v>
      </c>
      <c r="W2" s="3">
        <f ca="1">IFERROR(__xludf.DUMMYFUNCTION("""COMPUTED_VALUE"""),13)</f>
        <v>13</v>
      </c>
      <c r="X2" s="3"/>
      <c r="Y2" s="3" t="str">
        <f ca="1">IFERROR(__xludf.DUMMYFUNCTION("""COMPUTED_VALUE"""),"S-3")</f>
        <v>S-3</v>
      </c>
      <c r="Z2" s="3" t="str">
        <f ca="1">IFERROR(__xludf.DUMMYFUNCTION("""COMPUTED_VALUE"""),"33 Tahun 10 Bulan 27 Hari")</f>
        <v>33 Tahun 10 Bulan 27 Hari</v>
      </c>
      <c r="AA2" s="8">
        <f ca="1">IFERROR(__xludf.DUMMYFUNCTION("""COMPUTED_VALUE"""),48458)</f>
        <v>48458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4"/>
      <c r="AR2" s="3"/>
      <c r="AS2" s="4"/>
      <c r="AT2" s="3"/>
      <c r="AU2" s="3"/>
    </row>
    <row r="3" spans="1:47" x14ac:dyDescent="0.2">
      <c r="A3" s="3">
        <v>2</v>
      </c>
      <c r="B3" s="3" t="str">
        <f ca="1">IFERROR(__xludf.DUMMYFUNCTION("""COMPUTED_VALUE"""),"A. M. Ismatulloh")</f>
        <v>A. M. Ismatulloh</v>
      </c>
      <c r="C3" s="3" t="str">
        <f ca="1">IFERROR(__xludf.DUMMYFUNCTION("""COMPUTED_VALUE"""),"A. M. Ismatulloh, S.Th.I., M.Si.")</f>
        <v>A. M. Ismatulloh, S.Th.I., M.Si.</v>
      </c>
      <c r="D3" s="3" t="str">
        <f ca="1">IFERROR(__xludf.DUMMYFUNCTION("""COMPUTED_VALUE"""),"A. M. Ismatulloh, S.Th.I., M.Si.")</f>
        <v>A. M. Ismatulloh, S.Th.I., M.Si.</v>
      </c>
      <c r="E3" s="3" t="str">
        <f ca="1">IFERROR(__xludf.DUMMYFUNCTION("""COMPUTED_VALUE"""),"198106152009121004")</f>
        <v>198106152009121004</v>
      </c>
      <c r="F3" s="3" t="str">
        <f ca="1">IFERROR(__xludf.DUMMYFUNCTION("""COMPUTED_VALUE"""),"19810615 200912 1 004")</f>
        <v>19810615 200912 1 004</v>
      </c>
      <c r="G3" s="3">
        <f ca="1">IFERROR(__xludf.DUMMYFUNCTION("""COMPUTED_VALUE"""),2015068101)</f>
        <v>2015068101</v>
      </c>
      <c r="H3" s="6" t="str">
        <f ca="1">IFERROR(__xludf.DUMMYFUNCTION("""COMPUTED_VALUE"""),"0947759660130222")</f>
        <v>0947759660130222</v>
      </c>
      <c r="I3" s="3" t="str">
        <f ca="1">IFERROR(__xludf.DUMMYFUNCTION("""COMPUTED_VALUE"""),"PNS")</f>
        <v>PNS</v>
      </c>
      <c r="J3" s="3" t="str">
        <f ca="1">IFERROR(__xludf.DUMMYFUNCTION("""COMPUTED_VALUE"""),"Dosen PNS")</f>
        <v>Dosen PNS</v>
      </c>
      <c r="K3" s="5" t="str">
        <f ca="1">IFERROR(__xludf.DUMMYFUNCTION("""COMPUTED_VALUE"""),"L")</f>
        <v>L</v>
      </c>
      <c r="L3" s="3" t="str">
        <f ca="1">IFERROR(__xludf.DUMMYFUNCTION("""COMPUTED_VALUE"""),"Tasikmalaya")</f>
        <v>Tasikmalaya</v>
      </c>
      <c r="M3" s="7">
        <f ca="1">IFERROR(__xludf.DUMMYFUNCTION("""COMPUTED_VALUE"""),29752)</f>
        <v>29752</v>
      </c>
      <c r="N3" s="4" t="str">
        <f ca="1">IFERROR(__xludf.DUMMYFUNCTION("""COMPUTED_VALUE"""),"Penata Tk.I")</f>
        <v>Penata Tk.I</v>
      </c>
      <c r="O3" s="3" t="str">
        <f ca="1">IFERROR(__xludf.DUMMYFUNCTION("""COMPUTED_VALUE"""),"III/d")</f>
        <v>III/d</v>
      </c>
      <c r="P3" s="7">
        <f ca="1">IFERROR(__xludf.DUMMYFUNCTION("""COMPUTED_VALUE"""),43556)</f>
        <v>43556</v>
      </c>
      <c r="Q3" s="3" t="str">
        <f ca="1">IFERROR(__xludf.DUMMYFUNCTION("""COMPUTED_VALUE"""),"B.II/3/005986")</f>
        <v>B.II/3/005986</v>
      </c>
      <c r="R3" s="3" t="str">
        <f ca="1">IFERROR(__xludf.DUMMYFUNCTION("""COMPUTED_VALUE"""),"Lektor")</f>
        <v>Lektor</v>
      </c>
      <c r="S3" s="3" t="str">
        <f ca="1">IFERROR(__xludf.DUMMYFUNCTION("""COMPUTED_VALUE"""),"Lektor")</f>
        <v>Lektor</v>
      </c>
      <c r="T3" s="7">
        <f ca="1">IFERROR(__xludf.DUMMYFUNCTION("""COMPUTED_VALUE"""),43556)</f>
        <v>43556</v>
      </c>
      <c r="U3" s="3" t="str">
        <f ca="1">IFERROR(__xludf.DUMMYFUNCTION("""COMPUTED_VALUE"""),"B.II/3/005986")</f>
        <v>B.II/3/005986</v>
      </c>
      <c r="V3" s="7">
        <f ca="1">IFERROR(__xludf.DUMMYFUNCTION("""COMPUTED_VALUE"""),43556)</f>
        <v>43556</v>
      </c>
      <c r="W3" s="3">
        <f ca="1">IFERROR(__xludf.DUMMYFUNCTION("""COMPUTED_VALUE"""),11)</f>
        <v>11</v>
      </c>
      <c r="X3" s="7" t="str">
        <f ca="1">IFERROR(__xludf.DUMMYFUNCTION("""COMPUTED_VALUE"""),"Koordinator Program Studi S.1 Ilmu Al Qur'an dan Tafsir Pada Fakultas Ushuluddin Adab dan Humaniora")</f>
        <v>Koordinator Program Studi S.1 Ilmu Al Qur'an dan Tafsir Pada Fakultas Ushuluddin Adab dan Humaniora</v>
      </c>
      <c r="Y3" s="3" t="str">
        <f ca="1">IFERROR(__xludf.DUMMYFUNCTION("""COMPUTED_VALUE"""),"S-2")</f>
        <v>S-2</v>
      </c>
      <c r="Z3" s="3" t="str">
        <f ca="1">IFERROR(__xludf.DUMMYFUNCTION("""COMPUTED_VALUE"""),"16 Tahun 1 Bulan 27 Hari")</f>
        <v>16 Tahun 1 Bulan 27 Hari</v>
      </c>
      <c r="AA3" s="8">
        <f ca="1">IFERROR(__xludf.DUMMYFUNCTION("""COMPUTED_VALUE"""),53509)</f>
        <v>53509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4"/>
      <c r="AR3" s="3"/>
      <c r="AS3" s="4"/>
      <c r="AT3" s="3"/>
      <c r="AU3" s="3"/>
    </row>
    <row r="4" spans="1:47" x14ac:dyDescent="0.2">
      <c r="A4" s="3">
        <v>3</v>
      </c>
      <c r="B4" s="3" t="str">
        <f ca="1">IFERROR(__xludf.DUMMYFUNCTION("""COMPUTED_VALUE"""),"Abdal Chaqil Harimi")</f>
        <v>Abdal Chaqil Harimi</v>
      </c>
      <c r="C4" s="3" t="str">
        <f ca="1">IFERROR(__xludf.DUMMYFUNCTION("""COMPUTED_VALUE"""),"Abdal Chaqil Harimi, M.Pd.I.")</f>
        <v>Abdal Chaqil Harimi, M.Pd.I.</v>
      </c>
      <c r="D4" s="3" t="str">
        <f ca="1">IFERROR(__xludf.DUMMYFUNCTION("""COMPUTED_VALUE"""),"Abdal Chaqil Harimi, M.Pd.I.")</f>
        <v>Abdal Chaqil Harimi, M.Pd.I.</v>
      </c>
      <c r="E4" s="3" t="str">
        <f ca="1">IFERROR(__xludf.DUMMYFUNCTION("""COMPUTED_VALUE"""),"198901162020121006")</f>
        <v>198901162020121006</v>
      </c>
      <c r="F4" s="3" t="str">
        <f ca="1">IFERROR(__xludf.DUMMYFUNCTION("""COMPUTED_VALUE"""),"‌19890116 202012 1 006")</f>
        <v>‌19890116 202012 1 006</v>
      </c>
      <c r="G4" s="3">
        <f ca="1">IFERROR(__xludf.DUMMYFUNCTION("""COMPUTED_VALUE"""),2016018902)</f>
        <v>2016018902</v>
      </c>
      <c r="H4" s="6" t="str">
        <f ca="1">IFERROR(__xludf.DUMMYFUNCTION("""COMPUTED_VALUE"""),"9448767668130242")</f>
        <v>9448767668130242</v>
      </c>
      <c r="I4" s="3" t="str">
        <f ca="1">IFERROR(__xludf.DUMMYFUNCTION("""COMPUTED_VALUE"""),"PNS")</f>
        <v>PNS</v>
      </c>
      <c r="J4" s="3" t="str">
        <f ca="1">IFERROR(__xludf.DUMMYFUNCTION("""COMPUTED_VALUE"""),"Dosen PNS")</f>
        <v>Dosen PNS</v>
      </c>
      <c r="K4" s="5" t="str">
        <f ca="1">IFERROR(__xludf.DUMMYFUNCTION("""COMPUTED_VALUE"""),"L")</f>
        <v>L</v>
      </c>
      <c r="L4" s="3" t="str">
        <f ca="1">IFERROR(__xludf.DUMMYFUNCTION("""COMPUTED_VALUE"""),"Banyuwangi")</f>
        <v>Banyuwangi</v>
      </c>
      <c r="M4" s="7">
        <f ca="1">IFERROR(__xludf.DUMMYFUNCTION("""COMPUTED_VALUE"""),32514)</f>
        <v>32514</v>
      </c>
      <c r="N4" s="4" t="str">
        <f ca="1">IFERROR(__xludf.DUMMYFUNCTION("""COMPUTED_VALUE"""),"Penata")</f>
        <v>Penata</v>
      </c>
      <c r="O4" s="3" t="str">
        <f ca="1">IFERROR(__xludf.DUMMYFUNCTION("""COMPUTED_VALUE"""),"III/c")</f>
        <v>III/c</v>
      </c>
      <c r="P4" s="7">
        <f ca="1">IFERROR(__xludf.DUMMYFUNCTION("""COMPUTED_VALUE"""),45689)</f>
        <v>45689</v>
      </c>
      <c r="Q4" s="3" t="str">
        <f ca="1">IFERROR(__xludf.DUMMYFUNCTION("""COMPUTED_VALUE"""),"230/Un.19/K.AUPK/KP.11.1/01/2025")</f>
        <v>230/Un.19/K.AUPK/KP.11.1/01/2025</v>
      </c>
      <c r="R4" s="3" t="str">
        <f ca="1">IFERROR(__xludf.DUMMYFUNCTION("""COMPUTED_VALUE"""),"Lektor")</f>
        <v>Lektor</v>
      </c>
      <c r="S4" s="3" t="str">
        <f ca="1">IFERROR(__xludf.DUMMYFUNCTION("""COMPUTED_VALUE"""),"Lektor")</f>
        <v>Lektor</v>
      </c>
      <c r="T4" s="7">
        <f ca="1">IFERROR(__xludf.DUMMYFUNCTION("""COMPUTED_VALUE"""),45627)</f>
        <v>45627</v>
      </c>
      <c r="U4" s="3" t="str">
        <f ca="1">IFERROR(__xludf.DUMMYFUNCTION("""COMPUTED_VALUE"""),"947/Un.19/R/KP.08.1/12/2024")</f>
        <v>947/Un.19/R/KP.08.1/12/2024</v>
      </c>
      <c r="V4" s="7">
        <f ca="1">IFERROR(__xludf.DUMMYFUNCTION("""COMPUTED_VALUE"""),45646)</f>
        <v>45646</v>
      </c>
      <c r="W4" s="3">
        <f ca="1">IFERROR(__xludf.DUMMYFUNCTION("""COMPUTED_VALUE"""),11)</f>
        <v>11</v>
      </c>
      <c r="X4" s="7" t="str">
        <f ca="1">IFERROR(__xludf.DUMMYFUNCTION("""COMPUTED_VALUE"""),"Sekretaris Jurusan Tadris Pada Fakultas Tarbiyah dan Ilmu Keguruan")</f>
        <v>Sekretaris Jurusan Tadris Pada Fakultas Tarbiyah dan Ilmu Keguruan</v>
      </c>
      <c r="Y4" s="3" t="str">
        <f ca="1">IFERROR(__xludf.DUMMYFUNCTION("""COMPUTED_VALUE"""),"S-2")</f>
        <v>S-2</v>
      </c>
      <c r="Z4" s="3" t="str">
        <f ca="1">IFERROR(__xludf.DUMMYFUNCTION("""COMPUTED_VALUE"""),"5 Tahun 1 Bulan 27 Hari")</f>
        <v>5 Tahun 1 Bulan 27 Hari</v>
      </c>
      <c r="AA4" s="8">
        <f ca="1">IFERROR(__xludf.DUMMYFUNCTION("""COMPUTED_VALUE"""),56281)</f>
        <v>56281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4"/>
      <c r="AR4" s="3"/>
      <c r="AS4" s="4"/>
      <c r="AT4" s="3"/>
      <c r="AU4" s="3"/>
    </row>
    <row r="5" spans="1:47" x14ac:dyDescent="0.2">
      <c r="A5" s="12">
        <v>4</v>
      </c>
      <c r="B5" s="3" t="str">
        <f ca="1">IFERROR(__xludf.DUMMYFUNCTION("""COMPUTED_VALUE"""),"Abdul Basit")</f>
        <v>Abdul Basit</v>
      </c>
      <c r="C5" s="3" t="str">
        <f ca="1">IFERROR(__xludf.DUMMYFUNCTION("""COMPUTED_VALUE"""),"Prof. Dr. H. Abdul Basit, M.Ag.")</f>
        <v>Prof. Dr. H. Abdul Basit, M.Ag.</v>
      </c>
      <c r="D5" s="3" t="str">
        <f ca="1">IFERROR(__xludf.DUMMYFUNCTION("""COMPUTED_VALUE"""),"Prof. Dr. H. Abdul Basit, M.Ag.")</f>
        <v>Prof. Dr. H. Abdul Basit, M.Ag.</v>
      </c>
      <c r="E5" s="3" t="str">
        <f ca="1">IFERROR(__xludf.DUMMYFUNCTION("""COMPUTED_VALUE"""),"196912191998031001")</f>
        <v>196912191998031001</v>
      </c>
      <c r="F5" s="3" t="str">
        <f ca="1">IFERROR(__xludf.DUMMYFUNCTION("""COMPUTED_VALUE"""),"19691219 199803 1 001")</f>
        <v>19691219 199803 1 001</v>
      </c>
      <c r="G5" s="3">
        <f ca="1">IFERROR(__xludf.DUMMYFUNCTION("""COMPUTED_VALUE"""),2019126903)</f>
        <v>2019126903</v>
      </c>
      <c r="H5" s="6" t="str">
        <f ca="1">IFERROR(__xludf.DUMMYFUNCTION("""COMPUTED_VALUE"""),"8551747648130083")</f>
        <v>8551747648130083</v>
      </c>
      <c r="I5" s="3" t="str">
        <f ca="1">IFERROR(__xludf.DUMMYFUNCTION("""COMPUTED_VALUE"""),"PNS")</f>
        <v>PNS</v>
      </c>
      <c r="J5" s="3" t="str">
        <f ca="1">IFERROR(__xludf.DUMMYFUNCTION("""COMPUTED_VALUE"""),"Dosen PNS")</f>
        <v>Dosen PNS</v>
      </c>
      <c r="K5" s="5" t="str">
        <f ca="1">IFERROR(__xludf.DUMMYFUNCTION("""COMPUTED_VALUE"""),"L")</f>
        <v>L</v>
      </c>
      <c r="L5" s="3" t="str">
        <f ca="1">IFERROR(__xludf.DUMMYFUNCTION("""COMPUTED_VALUE"""),"Tambun")</f>
        <v>Tambun</v>
      </c>
      <c r="M5" s="9">
        <f ca="1">IFERROR(__xludf.DUMMYFUNCTION("""COMPUTED_VALUE"""),25556)</f>
        <v>25556</v>
      </c>
      <c r="N5" s="4" t="str">
        <f ca="1">IFERROR(__xludf.DUMMYFUNCTION("""COMPUTED_VALUE"""),"Pembina Utama")</f>
        <v>Pembina Utama</v>
      </c>
      <c r="O5" s="3" t="str">
        <f ca="1">IFERROR(__xludf.DUMMYFUNCTION("""COMPUTED_VALUE"""),"IV/e")</f>
        <v>IV/e</v>
      </c>
      <c r="P5" s="7">
        <f ca="1">IFERROR(__xludf.DUMMYFUNCTION("""COMPUTED_VALUE"""),44835)</f>
        <v>44835</v>
      </c>
      <c r="Q5" s="3" t="str">
        <f ca="1">IFERROR(__xludf.DUMMYFUNCTION("""COMPUTED_VALUE"""),"1734/Un.19/K.AUPK/KP.00.2/11/2023")</f>
        <v>1734/Un.19/K.AUPK/KP.00.2/11/2023</v>
      </c>
      <c r="R5" s="3" t="str">
        <f ca="1">IFERROR(__xludf.DUMMYFUNCTION("""COMPUTED_VALUE"""),"Guru Besar")</f>
        <v>Guru Besar</v>
      </c>
      <c r="S5" s="3" t="str">
        <f ca="1">IFERROR(__xludf.DUMMYFUNCTION("""COMPUTED_VALUE"""),"Guru Besar")</f>
        <v>Guru Besar</v>
      </c>
      <c r="T5" s="7">
        <f ca="1">IFERROR(__xludf.DUMMYFUNCTION("""COMPUTED_VALUE"""),43344)</f>
        <v>43344</v>
      </c>
      <c r="U5" s="3" t="str">
        <f ca="1">IFERROR(__xludf.DUMMYFUNCTION("""COMPUTED_VALUE"""),"34645/A2.3/KP/2018")</f>
        <v>34645/A2.3/KP/2018</v>
      </c>
      <c r="V5" s="7">
        <f ca="1">IFERROR(__xludf.DUMMYFUNCTION("""COMPUTED_VALUE"""),43344)</f>
        <v>43344</v>
      </c>
      <c r="W5" s="3">
        <f ca="1">IFERROR(__xludf.DUMMYFUNCTION("""COMPUTED_VALUE"""),15)</f>
        <v>15</v>
      </c>
      <c r="X5" s="7" t="str">
        <f ca="1">IFERROR(__xludf.DUMMYFUNCTION("""COMPUTED_VALUE"""),"Anggota Senat")</f>
        <v>Anggota Senat</v>
      </c>
      <c r="Y5" s="3" t="str">
        <f ca="1">IFERROR(__xludf.DUMMYFUNCTION("""COMPUTED_VALUE"""),"S-3")</f>
        <v>S-3</v>
      </c>
      <c r="Z5" s="3" t="str">
        <f ca="1">IFERROR(__xludf.DUMMYFUNCTION("""COMPUTED_VALUE"""),"27 Tahun 10 Bulan 27 Hari")</f>
        <v>27 Tahun 10 Bulan 27 Hari</v>
      </c>
      <c r="AA5" s="8">
        <f ca="1">IFERROR(__xludf.DUMMYFUNCTION("""COMPUTED_VALUE"""),51136)</f>
        <v>51136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4"/>
      <c r="AR5" s="3"/>
      <c r="AS5" s="4"/>
      <c r="AT5" s="3"/>
      <c r="AU5" s="3"/>
    </row>
    <row r="6" spans="1:47" x14ac:dyDescent="0.2">
      <c r="A6" s="12">
        <v>5</v>
      </c>
      <c r="B6" s="3" t="str">
        <f ca="1">IFERROR(__xludf.DUMMYFUNCTION("""COMPUTED_VALUE"""),"Abdul Wachid Bambang Suharto")</f>
        <v>Abdul Wachid Bambang Suharto</v>
      </c>
      <c r="C6" s="3" t="str">
        <f ca="1">IFERROR(__xludf.DUMMYFUNCTION("""COMPUTED_VALUE"""),"Prof. Dr. H. Abdul Wachid Bambang Suharto, S.S., M.Hum.")</f>
        <v>Prof. Dr. H. Abdul Wachid Bambang Suharto, S.S., M.Hum.</v>
      </c>
      <c r="D6" s="3" t="str">
        <f ca="1">IFERROR(__xludf.DUMMYFUNCTION("""COMPUTED_VALUE"""),"Prof. Dr. H. Abdul Wachid Bambang Suharto, S.S., M.Hum.")</f>
        <v>Prof. Dr. H. Abdul Wachid Bambang Suharto, S.S., M.Hum.</v>
      </c>
      <c r="E6" s="3" t="str">
        <f ca="1">IFERROR(__xludf.DUMMYFUNCTION("""COMPUTED_VALUE"""),"196610072000031002")</f>
        <v>196610072000031002</v>
      </c>
      <c r="F6" s="3" t="str">
        <f ca="1">IFERROR(__xludf.DUMMYFUNCTION("""COMPUTED_VALUE"""),"19661007 200003 1 002")</f>
        <v>19661007 200003 1 002</v>
      </c>
      <c r="G6" s="3">
        <f ca="1">IFERROR(__xludf.DUMMYFUNCTION("""COMPUTED_VALUE"""),2007106601)</f>
        <v>2007106601</v>
      </c>
      <c r="H6" s="6" t="str">
        <f ca="1">IFERROR(__xludf.DUMMYFUNCTION("""COMPUTED_VALUE"""),"3339744645130083")</f>
        <v>3339744645130083</v>
      </c>
      <c r="I6" s="3" t="str">
        <f ca="1">IFERROR(__xludf.DUMMYFUNCTION("""COMPUTED_VALUE"""),"PNS")</f>
        <v>PNS</v>
      </c>
      <c r="J6" s="3" t="str">
        <f ca="1">IFERROR(__xludf.DUMMYFUNCTION("""COMPUTED_VALUE"""),"Dosen PNS")</f>
        <v>Dosen PNS</v>
      </c>
      <c r="K6" s="5" t="str">
        <f ca="1">IFERROR(__xludf.DUMMYFUNCTION("""COMPUTED_VALUE"""),"L")</f>
        <v>L</v>
      </c>
      <c r="L6" s="3" t="str">
        <f ca="1">IFERROR(__xludf.DUMMYFUNCTION("""COMPUTED_VALUE"""),"Lamongan")</f>
        <v>Lamongan</v>
      </c>
      <c r="M6" s="7">
        <f ca="1">IFERROR(__xludf.DUMMYFUNCTION("""COMPUTED_VALUE"""),24387)</f>
        <v>24387</v>
      </c>
      <c r="N6" s="4" t="str">
        <f ca="1">IFERROR(__xludf.DUMMYFUNCTION("""COMPUTED_VALUE"""),"Pembina Utama")</f>
        <v>Pembina Utama</v>
      </c>
      <c r="O6" s="3" t="str">
        <f ca="1">IFERROR(__xludf.DUMMYFUNCTION("""COMPUTED_VALUE"""),"IV/e")</f>
        <v>IV/e</v>
      </c>
      <c r="P6" s="7">
        <f ca="1">IFERROR(__xludf.DUMMYFUNCTION("""COMPUTED_VALUE"""),45931)</f>
        <v>45931</v>
      </c>
      <c r="Q6" s="3" t="str">
        <f ca="1">IFERROR(__xludf.DUMMYFUNCTION("""COMPUTED_VALUE"""),"00517/KEP/AA/15001/25")</f>
        <v>00517/KEP/AA/15001/25</v>
      </c>
      <c r="R6" s="3" t="str">
        <f ca="1">IFERROR(__xludf.DUMMYFUNCTION("""COMPUTED_VALUE"""),"Guru Besar")</f>
        <v>Guru Besar</v>
      </c>
      <c r="S6" s="3" t="str">
        <f ca="1">IFERROR(__xludf.DUMMYFUNCTION("""COMPUTED_VALUE"""),"Guru Besar")</f>
        <v>Guru Besar</v>
      </c>
      <c r="T6" s="7">
        <f ca="1">IFERROR(__xludf.DUMMYFUNCTION("""COMPUTED_VALUE"""),45047)</f>
        <v>45047</v>
      </c>
      <c r="U6" s="3" t="str">
        <f ca="1">IFERROR(__xludf.DUMMYFUNCTION("""COMPUTED_VALUE"""),"26116/M/07/2023")</f>
        <v>26116/M/07/2023</v>
      </c>
      <c r="V6" s="7">
        <f ca="1">IFERROR(__xludf.DUMMYFUNCTION("""COMPUTED_VALUE"""),45068)</f>
        <v>45068</v>
      </c>
      <c r="W6" s="3">
        <f ca="1">IFERROR(__xludf.DUMMYFUNCTION("""COMPUTED_VALUE"""),15)</f>
        <v>15</v>
      </c>
      <c r="X6" s="7" t="str">
        <f ca="1">IFERROR(__xludf.DUMMYFUNCTION("""COMPUTED_VALUE"""),"Ketua Senat")</f>
        <v>Ketua Senat</v>
      </c>
      <c r="Y6" s="3" t="str">
        <f ca="1">IFERROR(__xludf.DUMMYFUNCTION("""COMPUTED_VALUE"""),"S-3")</f>
        <v>S-3</v>
      </c>
      <c r="Z6" s="3" t="str">
        <f ca="1">IFERROR(__xludf.DUMMYFUNCTION("""COMPUTED_VALUE"""),"25 Tahun 10 Bulan 27 Hari")</f>
        <v>25 Tahun 10 Bulan 27 Hari</v>
      </c>
      <c r="AA6" s="8">
        <f ca="1">IFERROR(__xludf.DUMMYFUNCTION("""COMPUTED_VALUE"""),49980)</f>
        <v>49980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4"/>
      <c r="AR6" s="3"/>
      <c r="AS6" s="4"/>
      <c r="AT6" s="3"/>
      <c r="AU6" s="3"/>
    </row>
    <row r="7" spans="1:47" x14ac:dyDescent="0.2">
      <c r="A7" s="12">
        <v>6</v>
      </c>
      <c r="B7" s="3" t="str">
        <f ca="1">IFERROR(__xludf.DUMMYFUNCTION("""COMPUTED_VALUE"""),"Abdulloh Hasan")</f>
        <v>Abdulloh Hasan</v>
      </c>
      <c r="C7" s="3" t="str">
        <f ca="1">IFERROR(__xludf.DUMMYFUNCTION("""COMPUTED_VALUE"""),"Abdulloh Hasan, S.Pd.I., M.S.I.")</f>
        <v>Abdulloh Hasan, S.Pd.I., M.S.I.</v>
      </c>
      <c r="D7" s="3" t="str">
        <f ca="1">IFERROR(__xludf.DUMMYFUNCTION("""COMPUTED_VALUE"""),"Abdulloh Hasan, S.Pd.I., M.S.I.")</f>
        <v>Abdulloh Hasan, S.Pd.I., M.S.I.</v>
      </c>
      <c r="E7" s="3" t="str">
        <f ca="1">IFERROR(__xludf.DUMMYFUNCTION("""COMPUTED_VALUE"""),"198512012019031008")</f>
        <v>198512012019031008</v>
      </c>
      <c r="F7" s="3" t="str">
        <f ca="1">IFERROR(__xludf.DUMMYFUNCTION("""COMPUTED_VALUE"""),"19851201 201903 1 008")</f>
        <v>19851201 201903 1 008</v>
      </c>
      <c r="G7" s="3">
        <f ca="1">IFERROR(__xludf.DUMMYFUNCTION("""COMPUTED_VALUE"""),2001128501)</f>
        <v>2001128501</v>
      </c>
      <c r="H7" s="6" t="str">
        <f ca="1">IFERROR(__xludf.DUMMYFUNCTION("""COMPUTED_VALUE"""),"3533763665200012")</f>
        <v>3533763665200012</v>
      </c>
      <c r="I7" s="3" t="str">
        <f ca="1">IFERROR(__xludf.DUMMYFUNCTION("""COMPUTED_VALUE"""),"PNS")</f>
        <v>PNS</v>
      </c>
      <c r="J7" s="3" t="str">
        <f ca="1">IFERROR(__xludf.DUMMYFUNCTION("""COMPUTED_VALUE"""),"Dosen PNS")</f>
        <v>Dosen PNS</v>
      </c>
      <c r="K7" s="5" t="str">
        <f ca="1">IFERROR(__xludf.DUMMYFUNCTION("""COMPUTED_VALUE"""),"L")</f>
        <v>L</v>
      </c>
      <c r="L7" s="3" t="str">
        <f ca="1">IFERROR(__xludf.DUMMYFUNCTION("""COMPUTED_VALUE"""),"Ngawi")</f>
        <v>Ngawi</v>
      </c>
      <c r="M7" s="7">
        <f ca="1">IFERROR(__xludf.DUMMYFUNCTION("""COMPUTED_VALUE"""),31382)</f>
        <v>31382</v>
      </c>
      <c r="N7" s="4" t="str">
        <f ca="1">IFERROR(__xludf.DUMMYFUNCTION("""COMPUTED_VALUE"""),"Penata")</f>
        <v>Penata</v>
      </c>
      <c r="O7" s="3" t="str">
        <f ca="1">IFERROR(__xludf.DUMMYFUNCTION("""COMPUTED_VALUE"""),"III/c")</f>
        <v>III/c</v>
      </c>
      <c r="P7" s="7">
        <f ca="1">IFERROR(__xludf.DUMMYFUNCTION("""COMPUTED_VALUE"""),45689)</f>
        <v>45689</v>
      </c>
      <c r="Q7" s="3" t="str">
        <f ca="1">IFERROR(__xludf.DUMMYFUNCTION("""COMPUTED_VALUE"""),"225/Un.19/K.AUPK/KP.11.1/01/2025")</f>
        <v>225/Un.19/K.AUPK/KP.11.1/01/2025</v>
      </c>
      <c r="R7" s="3" t="str">
        <f ca="1">IFERROR(__xludf.DUMMYFUNCTION("""COMPUTED_VALUE"""),"Lektor")</f>
        <v>Lektor</v>
      </c>
      <c r="S7" s="3" t="str">
        <f ca="1">IFERROR(__xludf.DUMMYFUNCTION("""COMPUTED_VALUE"""),"Lektor")</f>
        <v>Lektor</v>
      </c>
      <c r="T7" s="7">
        <f ca="1">IFERROR(__xludf.DUMMYFUNCTION("""COMPUTED_VALUE"""),45627)</f>
        <v>45627</v>
      </c>
      <c r="U7" s="3" t="str">
        <f ca="1">IFERROR(__xludf.DUMMYFUNCTION("""COMPUTED_VALUE"""),"946/Un.19/R/KP.08.1/12/2024")</f>
        <v>946/Un.19/R/KP.08.1/12/2024</v>
      </c>
      <c r="V7" s="7">
        <f ca="1">IFERROR(__xludf.DUMMYFUNCTION("""COMPUTED_VALUE"""),45646)</f>
        <v>45646</v>
      </c>
      <c r="W7" s="3">
        <f ca="1">IFERROR(__xludf.DUMMYFUNCTION("""COMPUTED_VALUE"""),11)</f>
        <v>11</v>
      </c>
      <c r="X7" s="3"/>
      <c r="Y7" s="3" t="str">
        <f ca="1">IFERROR(__xludf.DUMMYFUNCTION("""COMPUTED_VALUE"""),"S-2")</f>
        <v>S-2</v>
      </c>
      <c r="Z7" s="3" t="str">
        <f ca="1">IFERROR(__xludf.DUMMYFUNCTION("""COMPUTED_VALUE"""),"6 Tahun 10 Bulan 27 Hari")</f>
        <v>6 Tahun 10 Bulan 27 Hari</v>
      </c>
      <c r="AA7" s="8">
        <f ca="1">IFERROR(__xludf.DUMMYFUNCTION("""COMPUTED_VALUE"""),55154)</f>
        <v>55154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4"/>
      <c r="AR7" s="3"/>
      <c r="AS7" s="4"/>
      <c r="AT7" s="3"/>
      <c r="AU7" s="3"/>
    </row>
    <row r="8" spans="1:47" x14ac:dyDescent="0.2">
      <c r="A8" s="12">
        <v>7</v>
      </c>
      <c r="B8" s="3" t="str">
        <f ca="1">IFERROR(__xludf.DUMMYFUNCTION("""COMPUTED_VALUE"""),"Abu Dharin")</f>
        <v>Abu Dharin</v>
      </c>
      <c r="C8" s="3" t="str">
        <f ca="1">IFERROR(__xludf.DUMMYFUNCTION("""COMPUTED_VALUE"""),"Dr. Abu Dharin, S.Ag., M.Pd.")</f>
        <v>Dr. Abu Dharin, S.Ag., M.Pd.</v>
      </c>
      <c r="D8" s="3" t="str">
        <f ca="1">IFERROR(__xludf.DUMMYFUNCTION("""COMPUTED_VALUE"""),"Dr. Abu Dharin, S.Ag., M.Pd.")</f>
        <v>Dr. Abu Dharin, S.Ag., M.Pd.</v>
      </c>
      <c r="E8" s="3" t="str">
        <f ca="1">IFERROR(__xludf.DUMMYFUNCTION("""COMPUTED_VALUE"""),"197412022011011001")</f>
        <v>197412022011011001</v>
      </c>
      <c r="F8" s="3" t="str">
        <f ca="1">IFERROR(__xludf.DUMMYFUNCTION("""COMPUTED_VALUE"""),"19741202 201101 1 001")</f>
        <v>19741202 201101 1 001</v>
      </c>
      <c r="G8" s="3">
        <f ca="1">IFERROR(__xludf.DUMMYFUNCTION("""COMPUTED_VALUE"""),2002127402)</f>
        <v>2002127402</v>
      </c>
      <c r="H8" s="6" t="str">
        <f ca="1">IFERROR(__xludf.DUMMYFUNCTION("""COMPUTED_VALUE"""),"3534752653130083")</f>
        <v>3534752653130083</v>
      </c>
      <c r="I8" s="3" t="str">
        <f ca="1">IFERROR(__xludf.DUMMYFUNCTION("""COMPUTED_VALUE"""),"PNS")</f>
        <v>PNS</v>
      </c>
      <c r="J8" s="3" t="str">
        <f ca="1">IFERROR(__xludf.DUMMYFUNCTION("""COMPUTED_VALUE"""),"Dosen PNS")</f>
        <v>Dosen PNS</v>
      </c>
      <c r="K8" s="5" t="str">
        <f ca="1">IFERROR(__xludf.DUMMYFUNCTION("""COMPUTED_VALUE"""),"L")</f>
        <v>L</v>
      </c>
      <c r="L8" s="3" t="str">
        <f ca="1">IFERROR(__xludf.DUMMYFUNCTION("""COMPUTED_VALUE"""),"Kendal")</f>
        <v>Kendal</v>
      </c>
      <c r="M8" s="7">
        <f ca="1">IFERROR(__xludf.DUMMYFUNCTION("""COMPUTED_VALUE"""),27365)</f>
        <v>27365</v>
      </c>
      <c r="N8" s="4" t="str">
        <f ca="1">IFERROR(__xludf.DUMMYFUNCTION("""COMPUTED_VALUE"""),"Pembina")</f>
        <v>Pembina</v>
      </c>
      <c r="O8" s="3" t="str">
        <f ca="1">IFERROR(__xludf.DUMMYFUNCTION("""COMPUTED_VALUE"""),"IV/a")</f>
        <v>IV/a</v>
      </c>
      <c r="P8" s="7">
        <f ca="1">IFERROR(__xludf.DUMMYFUNCTION("""COMPUTED_VALUE"""),45323)</f>
        <v>45323</v>
      </c>
      <c r="Q8" s="3" t="str">
        <f ca="1">IFERROR(__xludf.DUMMYFUNCTION("""COMPUTED_VALUE"""),"001897/B.II/3/2024")</f>
        <v>001897/B.II/3/2024</v>
      </c>
      <c r="R8" s="3" t="str">
        <f ca="1">IFERROR(__xludf.DUMMYFUNCTION("""COMPUTED_VALUE"""),"Lektor Kepala")</f>
        <v>Lektor Kepala</v>
      </c>
      <c r="S8" s="3" t="str">
        <f ca="1">IFERROR(__xludf.DUMMYFUNCTION("""COMPUTED_VALUE"""),"Lektor Kepala")</f>
        <v>Lektor Kepala</v>
      </c>
      <c r="T8" s="7">
        <f ca="1">IFERROR(__xludf.DUMMYFUNCTION("""COMPUTED_VALUE"""),45078)</f>
        <v>45078</v>
      </c>
      <c r="U8" s="3" t="str">
        <f ca="1">IFERROR(__xludf.DUMMYFUNCTION("""COMPUTED_VALUE"""),"114985/B.II/3/2023")</f>
        <v>114985/B.II/3/2023</v>
      </c>
      <c r="V8" s="7">
        <f ca="1">IFERROR(__xludf.DUMMYFUNCTION("""COMPUTED_VALUE"""),45203)</f>
        <v>45203</v>
      </c>
      <c r="W8" s="3">
        <f ca="1">IFERROR(__xludf.DUMMYFUNCTION("""COMPUTED_VALUE"""),13)</f>
        <v>13</v>
      </c>
      <c r="X8" s="7" t="str">
        <f ca="1">IFERROR(__xludf.DUMMYFUNCTION("""COMPUTED_VALUE"""),"Ketua Jurusan Pendidikan Madrasah Pada Fakultas Tarbiyah dan Ilmu Keguruan")</f>
        <v>Ketua Jurusan Pendidikan Madrasah Pada Fakultas Tarbiyah dan Ilmu Keguruan</v>
      </c>
      <c r="Y8" s="3" t="str">
        <f ca="1">IFERROR(__xludf.DUMMYFUNCTION("""COMPUTED_VALUE"""),"S-3")</f>
        <v>S-3</v>
      </c>
      <c r="Z8" s="3" t="str">
        <f ca="1">IFERROR(__xludf.DUMMYFUNCTION("""COMPUTED_VALUE"""),"15 Tahun 0 Bulan 27 Hari")</f>
        <v>15 Tahun 0 Bulan 27 Hari</v>
      </c>
      <c r="AA8" s="8">
        <f ca="1">IFERROR(__xludf.DUMMYFUNCTION("""COMPUTED_VALUE"""),51136)</f>
        <v>51136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4"/>
      <c r="AR8" s="3"/>
      <c r="AS8" s="4"/>
      <c r="AT8" s="3"/>
      <c r="AU8" s="3"/>
    </row>
    <row r="9" spans="1:47" x14ac:dyDescent="0.2">
      <c r="A9" s="12">
        <v>8</v>
      </c>
      <c r="B9" s="3" t="str">
        <f ca="1">IFERROR(__xludf.DUMMYFUNCTION("""COMPUTED_VALUE"""),"Achmad Siddiq")</f>
        <v>Achmad Siddiq</v>
      </c>
      <c r="C9" s="3" t="str">
        <f ca="1">IFERROR(__xludf.DUMMYFUNCTION("""COMPUTED_VALUE"""),"Prof. Dr. H. Achmad Siddiq, S.H., M.H.I., M.H.")</f>
        <v>Prof. Dr. H. Achmad Siddiq, S.H., M.H.I., M.H.</v>
      </c>
      <c r="D9" s="3" t="str">
        <f ca="1">IFERROR(__xludf.DUMMYFUNCTION("""COMPUTED_VALUE"""),"Prof. Dr. H. Achmad Siddiq, S.H., M.H.I., M.H.")</f>
        <v>Prof. Dr. H. Achmad Siddiq, S.H., M.H.I., M.H.</v>
      </c>
      <c r="E9" s="3" t="str">
        <f ca="1">IFERROR(__xludf.DUMMYFUNCTION("""COMPUTED_VALUE"""),"197507202005011003")</f>
        <v>197507202005011003</v>
      </c>
      <c r="F9" s="3" t="str">
        <f ca="1">IFERROR(__xludf.DUMMYFUNCTION("""COMPUTED_VALUE"""),"19750720 200501 1 003")</f>
        <v>19750720 200501 1 003</v>
      </c>
      <c r="G9" s="3">
        <f ca="1">IFERROR(__xludf.DUMMYFUNCTION("""COMPUTED_VALUE"""),2020077504)</f>
        <v>2020077504</v>
      </c>
      <c r="H9" s="6" t="str">
        <f ca="1">IFERROR(__xludf.DUMMYFUNCTION("""COMPUTED_VALUE"""),"8052753654130093")</f>
        <v>8052753654130093</v>
      </c>
      <c r="I9" s="3" t="str">
        <f ca="1">IFERROR(__xludf.DUMMYFUNCTION("""COMPUTED_VALUE"""),"PNS")</f>
        <v>PNS</v>
      </c>
      <c r="J9" s="3" t="str">
        <f ca="1">IFERROR(__xludf.DUMMYFUNCTION("""COMPUTED_VALUE"""),"Dosen PNS")</f>
        <v>Dosen PNS</v>
      </c>
      <c r="K9" s="5" t="str">
        <f ca="1">IFERROR(__xludf.DUMMYFUNCTION("""COMPUTED_VALUE"""),"L")</f>
        <v>L</v>
      </c>
      <c r="L9" s="3" t="str">
        <f ca="1">IFERROR(__xludf.DUMMYFUNCTION("""COMPUTED_VALUE"""),"Pasuruan")</f>
        <v>Pasuruan</v>
      </c>
      <c r="M9" s="7">
        <f ca="1">IFERROR(__xludf.DUMMYFUNCTION("""COMPUTED_VALUE"""),27595)</f>
        <v>27595</v>
      </c>
      <c r="N9" s="4" t="str">
        <f ca="1">IFERROR(__xludf.DUMMYFUNCTION("""COMPUTED_VALUE"""),"Pembina Tk.I")</f>
        <v>Pembina Tk.I</v>
      </c>
      <c r="O9" s="3" t="str">
        <f ca="1">IFERROR(__xludf.DUMMYFUNCTION("""COMPUTED_VALUE"""),"IV/b")</f>
        <v>IV/b</v>
      </c>
      <c r="P9" s="7">
        <f ca="1">IFERROR(__xludf.DUMMYFUNCTION("""COMPUTED_VALUE"""),45323)</f>
        <v>45323</v>
      </c>
      <c r="Q9" s="3" t="str">
        <f ca="1">IFERROR(__xludf.DUMMYFUNCTION("""COMPUTED_VALUE""")," 001896/B.II/3/2024")</f>
        <v xml:space="preserve"> 001896/B.II/3/2024</v>
      </c>
      <c r="R9" s="3" t="str">
        <f ca="1">IFERROR(__xludf.DUMMYFUNCTION("""COMPUTED_VALUE"""),"Guru Besar")</f>
        <v>Guru Besar</v>
      </c>
      <c r="S9" s="3" t="str">
        <f ca="1">IFERROR(__xludf.DUMMYFUNCTION("""COMPUTED_VALUE"""),"Guru Besar")</f>
        <v>Guru Besar</v>
      </c>
      <c r="T9" s="7">
        <f ca="1">IFERROR(__xludf.DUMMYFUNCTION("""COMPUTED_VALUE"""),45992)</f>
        <v>45992</v>
      </c>
      <c r="U9" s="3" t="str">
        <f ca="1">IFERROR(__xludf.DUMMYFUNCTION("""COMPUTED_VALUE"""),"215283/MA/KP.07.6/11/2025")</f>
        <v>215283/MA/KP.07.6/11/2025</v>
      </c>
      <c r="V9" s="7">
        <f ca="1">IFERROR(__xludf.DUMMYFUNCTION("""COMPUTED_VALUE"""),45986)</f>
        <v>45986</v>
      </c>
      <c r="W9" s="3">
        <f ca="1">IFERROR(__xludf.DUMMYFUNCTION("""COMPUTED_VALUE"""),15)</f>
        <v>15</v>
      </c>
      <c r="X9" s="7" t="str">
        <f ca="1">IFERROR(__xludf.DUMMYFUNCTION("""COMPUTED_VALUE"""),"Anggota Senat")</f>
        <v>Anggota Senat</v>
      </c>
      <c r="Y9" s="3" t="str">
        <f ca="1">IFERROR(__xludf.DUMMYFUNCTION("""COMPUTED_VALUE"""),"S-3")</f>
        <v>S-3</v>
      </c>
      <c r="Z9" s="3" t="str">
        <f ca="1">IFERROR(__xludf.DUMMYFUNCTION("""COMPUTED_VALUE"""),"21 Tahun 0 Bulan 27 Hari")</f>
        <v>21 Tahun 0 Bulan 27 Hari</v>
      </c>
      <c r="AA9" s="8">
        <f ca="1">IFERROR(__xludf.DUMMYFUNCTION("""COMPUTED_VALUE"""),53175)</f>
        <v>53175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4"/>
      <c r="AR9" s="3"/>
      <c r="AS9" s="4"/>
      <c r="AT9" s="3"/>
      <c r="AU9" s="3"/>
    </row>
    <row r="10" spans="1:47" x14ac:dyDescent="0.2">
      <c r="A10" s="12">
        <v>9</v>
      </c>
      <c r="B10" s="3" t="str">
        <f ca="1">IFERROR(__xludf.DUMMYFUNCTION("""COMPUTED_VALUE"""),"Ade Ruswatie")</f>
        <v>Ade Ruswatie</v>
      </c>
      <c r="C10" s="3" t="str">
        <f ca="1">IFERROR(__xludf.DUMMYFUNCTION("""COMPUTED_VALUE"""),"Dr. Ade Ruswatie, S.Pd.I., M.Pd.")</f>
        <v>Dr. Ade Ruswatie, S.Pd.I., M.Pd.</v>
      </c>
      <c r="D10" s="3" t="str">
        <f ca="1">IFERROR(__xludf.DUMMYFUNCTION("""COMPUTED_VALUE"""),"Dr. Ade Ruswatie, S.Pd.I., M.Pd.")</f>
        <v>Dr. Ade Ruswatie, S.Pd.I., M.Pd.</v>
      </c>
      <c r="E10" s="3" t="str">
        <f ca="1">IFERROR(__xludf.DUMMYFUNCTION("""COMPUTED_VALUE"""),"198607042015032004")</f>
        <v>198607042015032004</v>
      </c>
      <c r="F10" s="3" t="str">
        <f ca="1">IFERROR(__xludf.DUMMYFUNCTION("""COMPUTED_VALUE"""),"19860704 201503 2 004")</f>
        <v>19860704 201503 2 004</v>
      </c>
      <c r="G10" s="3">
        <f ca="1">IFERROR(__xludf.DUMMYFUNCTION("""COMPUTED_VALUE"""),2004078601)</f>
        <v>2004078601</v>
      </c>
      <c r="H10" s="6" t="str">
        <f ca="1">IFERROR(__xludf.DUMMYFUNCTION("""COMPUTED_VALUE"""),"9036764665237003")</f>
        <v>9036764665237003</v>
      </c>
      <c r="I10" s="3" t="str">
        <f ca="1">IFERROR(__xludf.DUMMYFUNCTION("""COMPUTED_VALUE"""),"PNS")</f>
        <v>PNS</v>
      </c>
      <c r="J10" s="3" t="str">
        <f ca="1">IFERROR(__xludf.DUMMYFUNCTION("""COMPUTED_VALUE"""),"Dosen PNS")</f>
        <v>Dosen PNS</v>
      </c>
      <c r="K10" s="5" t="str">
        <f ca="1">IFERROR(__xludf.DUMMYFUNCTION("""COMPUTED_VALUE"""),"P")</f>
        <v>P</v>
      </c>
      <c r="L10" s="3" t="str">
        <f ca="1">IFERROR(__xludf.DUMMYFUNCTION("""COMPUTED_VALUE"""),"Pandeglang")</f>
        <v>Pandeglang</v>
      </c>
      <c r="M10" s="7">
        <f ca="1">IFERROR(__xludf.DUMMYFUNCTION("""COMPUTED_VALUE"""),31597)</f>
        <v>31597</v>
      </c>
      <c r="N10" s="4" t="str">
        <f ca="1">IFERROR(__xludf.DUMMYFUNCTION("""COMPUTED_VALUE"""),"Penata Tk.I")</f>
        <v>Penata Tk.I</v>
      </c>
      <c r="O10" s="3" t="str">
        <f ca="1">IFERROR(__xludf.DUMMYFUNCTION("""COMPUTED_VALUE"""),"III/d")</f>
        <v>III/d</v>
      </c>
      <c r="P10" s="7">
        <f ca="1">IFERROR(__xludf.DUMMYFUNCTION("""COMPUTED_VALUE"""),45200)</f>
        <v>45200</v>
      </c>
      <c r="Q10" s="3" t="str">
        <f ca="1">IFERROR(__xludf.DUMMYFUNCTION("""COMPUTED_VALUE"""),"1124/Un.19/K.AUPK/KP.07.1/08/2023")</f>
        <v>1124/Un.19/K.AUPK/KP.07.1/08/2023</v>
      </c>
      <c r="R10" s="3" t="str">
        <f ca="1">IFERROR(__xludf.DUMMYFUNCTION("""COMPUTED_VALUE"""),"Lektor")</f>
        <v>Lektor</v>
      </c>
      <c r="S10" s="3" t="str">
        <f ca="1">IFERROR(__xludf.DUMMYFUNCTION("""COMPUTED_VALUE"""),"Lektor")</f>
        <v>Lektor</v>
      </c>
      <c r="T10" s="7">
        <f ca="1">IFERROR(__xludf.DUMMYFUNCTION("""COMPUTED_VALUE"""),45047)</f>
        <v>45047</v>
      </c>
      <c r="U10" s="3" t="str">
        <f ca="1">IFERROR(__xludf.DUMMYFUNCTION("""COMPUTED_VALUE"""),"686/Un.19/K.AUPK/Kp.07.6/5/2023")</f>
        <v>686/Un.19/K.AUPK/Kp.07.6/5/2023</v>
      </c>
      <c r="V10" s="3"/>
      <c r="W10" s="3">
        <f ca="1">IFERROR(__xludf.DUMMYFUNCTION("""COMPUTED_VALUE"""),11)</f>
        <v>11</v>
      </c>
      <c r="X10" s="7" t="str">
        <f ca="1">IFERROR(__xludf.DUMMYFUNCTION("""COMPUTED_VALUE"""),"Koordinator Program Studi S-1 Pendidikan Bahasa Arab Pada Fakultas Tarbiyah dan Ilmu Keguruan")</f>
        <v>Koordinator Program Studi S-1 Pendidikan Bahasa Arab Pada Fakultas Tarbiyah dan Ilmu Keguruan</v>
      </c>
      <c r="Y10" s="3" t="str">
        <f ca="1">IFERROR(__xludf.DUMMYFUNCTION("""COMPUTED_VALUE"""),"S-3")</f>
        <v>S-3</v>
      </c>
      <c r="Z10" s="3" t="str">
        <f ca="1">IFERROR(__xludf.DUMMYFUNCTION("""COMPUTED_VALUE"""),"10 Tahun 10 Bulan 27 Hari")</f>
        <v>10 Tahun 10 Bulan 27 Hari</v>
      </c>
      <c r="AA10" s="8">
        <f ca="1">IFERROR(__xludf.DUMMYFUNCTION("""COMPUTED_VALUE"""),55366)</f>
        <v>55366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4"/>
      <c r="AR10" s="3"/>
      <c r="AS10" s="4"/>
      <c r="AT10" s="3"/>
      <c r="AU10" s="3"/>
    </row>
    <row r="11" spans="1:47" x14ac:dyDescent="0.2">
      <c r="A11" s="12">
        <v>10</v>
      </c>
      <c r="B11" s="3" t="str">
        <f ca="1">IFERROR(__xludf.DUMMYFUNCTION("""COMPUTED_VALUE"""),"Affaf Mujahidah")</f>
        <v>Affaf Mujahidah</v>
      </c>
      <c r="C11" s="3" t="str">
        <f ca="1">IFERROR(__xludf.DUMMYFUNCTION("""COMPUTED_VALUE"""),"Affaf Mujahidah, S.Th.I., M.A.")</f>
        <v>Affaf Mujahidah, S.Th.I., M.A.</v>
      </c>
      <c r="D11" s="3" t="str">
        <f ca="1">IFERROR(__xludf.DUMMYFUNCTION("""COMPUTED_VALUE"""),"Affaf Mujahidah, S.Th.I., M.A.")</f>
        <v>Affaf Mujahidah, S.Th.I., M.A.</v>
      </c>
      <c r="E11" s="3" t="str">
        <f ca="1">IFERROR(__xludf.DUMMYFUNCTION("""COMPUTED_VALUE"""),"199204302020122017")</f>
        <v>199204302020122017</v>
      </c>
      <c r="F11" s="3" t="str">
        <f ca="1">IFERROR(__xludf.DUMMYFUNCTION("""COMPUTED_VALUE"""),"‌19920430 202012 2 017")</f>
        <v>‌19920430 202012 2 017</v>
      </c>
      <c r="G11" s="3">
        <f ca="1">IFERROR(__xludf.DUMMYFUNCTION("""COMPUTED_VALUE"""),2030049201)</f>
        <v>2030049201</v>
      </c>
      <c r="H11" s="6" t="str">
        <f ca="1">IFERROR(__xludf.DUMMYFUNCTION("""COMPUTED_VALUE"""),"9762770671230242")</f>
        <v>9762770671230242</v>
      </c>
      <c r="I11" s="3" t="str">
        <f ca="1">IFERROR(__xludf.DUMMYFUNCTION("""COMPUTED_VALUE"""),"PNS")</f>
        <v>PNS</v>
      </c>
      <c r="J11" s="3" t="str">
        <f ca="1">IFERROR(__xludf.DUMMYFUNCTION("""COMPUTED_VALUE"""),"Dosen PNS")</f>
        <v>Dosen PNS</v>
      </c>
      <c r="K11" s="5" t="str">
        <f ca="1">IFERROR(__xludf.DUMMYFUNCTION("""COMPUTED_VALUE"""),"P")</f>
        <v>P</v>
      </c>
      <c r="L11" s="3" t="str">
        <f ca="1">IFERROR(__xludf.DUMMYFUNCTION("""COMPUTED_VALUE"""),"Nganjuk")</f>
        <v>Nganjuk</v>
      </c>
      <c r="M11" s="7">
        <f ca="1">IFERROR(__xludf.DUMMYFUNCTION("""COMPUTED_VALUE"""),33724)</f>
        <v>33724</v>
      </c>
      <c r="N11" s="4" t="str">
        <f ca="1">IFERROR(__xludf.DUMMYFUNCTION("""COMPUTED_VALUE"""),"Penata Muda Tk.I")</f>
        <v>Penata Muda Tk.I</v>
      </c>
      <c r="O11" s="3" t="str">
        <f ca="1">IFERROR(__xludf.DUMMYFUNCTION("""COMPUTED_VALUE"""),"III/b")</f>
        <v>III/b</v>
      </c>
      <c r="P11" s="7">
        <f ca="1">IFERROR(__xludf.DUMMYFUNCTION("""COMPUTED_VALUE"""),44166)</f>
        <v>44166</v>
      </c>
      <c r="Q11" s="3" t="str">
        <f ca="1">IFERROR(__xludf.DUMMYFUNCTION("""COMPUTED_VALUE"""),"3573/Un.1 91R1KP.00.311212021")</f>
        <v>3573/Un.1 91R1KP.00.311212021</v>
      </c>
      <c r="R11" s="3" t="str">
        <f ca="1">IFERROR(__xludf.DUMMYFUNCTION("""COMPUTED_VALUE"""),"Lektor")</f>
        <v>Lektor</v>
      </c>
      <c r="S11" s="3" t="str">
        <f ca="1">IFERROR(__xludf.DUMMYFUNCTION("""COMPUTED_VALUE"""),"Lektor")</f>
        <v>Lektor</v>
      </c>
      <c r="T11" s="7">
        <f ca="1">IFERROR(__xludf.DUMMYFUNCTION("""COMPUTED_VALUE"""),45962)</f>
        <v>45962</v>
      </c>
      <c r="U11" s="3" t="str">
        <f ca="1">IFERROR(__xludf.DUMMYFUNCTION("""COMPUTED_VALUE"""),"208795/B.II/KP.07.6/10/2025")</f>
        <v>208795/B.II/KP.07.6/10/2025</v>
      </c>
      <c r="V11" s="7">
        <f ca="1">IFERROR(__xludf.DUMMYFUNCTION("""COMPUTED_VALUE"""),45936)</f>
        <v>45936</v>
      </c>
      <c r="W11" s="3">
        <f ca="1">IFERROR(__xludf.DUMMYFUNCTION("""COMPUTED_VALUE"""),11)</f>
        <v>11</v>
      </c>
      <c r="X11" s="7" t="str">
        <f ca="1">IFERROR(__xludf.DUMMYFUNCTION("""COMPUTED_VALUE"""),"Sekretaris Jurusan Studi Agama-Agama dan Tasawuf Psikoterapi Pada Fakultas Ushuluddin, Adab, dan Humaniora")</f>
        <v>Sekretaris Jurusan Studi Agama-Agama dan Tasawuf Psikoterapi Pada Fakultas Ushuluddin, Adab, dan Humaniora</v>
      </c>
      <c r="Y11" s="3" t="str">
        <f ca="1">IFERROR(__xludf.DUMMYFUNCTION("""COMPUTED_VALUE"""),"S-2")</f>
        <v>S-2</v>
      </c>
      <c r="Z11" s="3" t="str">
        <f ca="1">IFERROR(__xludf.DUMMYFUNCTION("""COMPUTED_VALUE"""),"5 Tahun 1 Bulan 27 Hari")</f>
        <v>5 Tahun 1 Bulan 27 Hari</v>
      </c>
      <c r="AA11" s="8">
        <f ca="1">IFERROR(__xludf.DUMMYFUNCTION("""COMPUTED_VALUE"""),57466)</f>
        <v>57466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4"/>
      <c r="AR11" s="3"/>
      <c r="AS11" s="4"/>
      <c r="AT11" s="3"/>
      <c r="AU11" s="3"/>
    </row>
    <row r="12" spans="1:47" x14ac:dyDescent="0.2">
      <c r="A12" s="12">
        <v>11</v>
      </c>
      <c r="B12" s="3" t="str">
        <f ca="1">IFERROR(__xludf.DUMMYFUNCTION("""COMPUTED_VALUE"""),"Ageng Widodo")</f>
        <v>Ageng Widodo</v>
      </c>
      <c r="C12" s="3" t="str">
        <f ca="1">IFERROR(__xludf.DUMMYFUNCTION("""COMPUTED_VALUE"""),"Ageng Widodo, M.A.")</f>
        <v>Ageng Widodo, M.A.</v>
      </c>
      <c r="D12" s="3" t="str">
        <f ca="1">IFERROR(__xludf.DUMMYFUNCTION("""COMPUTED_VALUE"""),"Ageng Widodo, M.A.")</f>
        <v>Ageng Widodo, M.A.</v>
      </c>
      <c r="E12" s="3" t="str">
        <f ca="1">IFERROR(__xludf.DUMMYFUNCTION("""COMPUTED_VALUE"""),"199306222019031015")</f>
        <v>199306222019031015</v>
      </c>
      <c r="F12" s="3" t="str">
        <f ca="1">IFERROR(__xludf.DUMMYFUNCTION("""COMPUTED_VALUE"""),"19930622 201903 1 015")</f>
        <v>19930622 201903 1 015</v>
      </c>
      <c r="G12" s="3">
        <f ca="1">IFERROR(__xludf.DUMMYFUNCTION("""COMPUTED_VALUE"""),2022069301)</f>
        <v>2022069301</v>
      </c>
      <c r="H12" s="6" t="str">
        <f ca="1">IFERROR(__xludf.DUMMYFUNCTION("""COMPUTED_VALUE"""),"5954771672130272")</f>
        <v>5954771672130272</v>
      </c>
      <c r="I12" s="3" t="str">
        <f ca="1">IFERROR(__xludf.DUMMYFUNCTION("""COMPUTED_VALUE"""),"PNS")</f>
        <v>PNS</v>
      </c>
      <c r="J12" s="3" t="str">
        <f ca="1">IFERROR(__xludf.DUMMYFUNCTION("""COMPUTED_VALUE"""),"Dosen PNS")</f>
        <v>Dosen PNS</v>
      </c>
      <c r="K12" s="5" t="str">
        <f ca="1">IFERROR(__xludf.DUMMYFUNCTION("""COMPUTED_VALUE"""),"L")</f>
        <v>L</v>
      </c>
      <c r="L12" s="3" t="str">
        <f ca="1">IFERROR(__xludf.DUMMYFUNCTION("""COMPUTED_VALUE"""),"Sinarsari")</f>
        <v>Sinarsari</v>
      </c>
      <c r="M12" s="7">
        <f ca="1">IFERROR(__xludf.DUMMYFUNCTION("""COMPUTED_VALUE"""),34142)</f>
        <v>34142</v>
      </c>
      <c r="N12" s="4" t="str">
        <f ca="1">IFERROR(__xludf.DUMMYFUNCTION("""COMPUTED_VALUE"""),"Penata Tk.I")</f>
        <v>Penata Tk.I</v>
      </c>
      <c r="O12" s="3" t="str">
        <f ca="1">IFERROR(__xludf.DUMMYFUNCTION("""COMPUTED_VALUE"""),"III/d")</f>
        <v>III/d</v>
      </c>
      <c r="P12" s="7">
        <f ca="1">IFERROR(__xludf.DUMMYFUNCTION("""COMPUTED_VALUE"""),45931)</f>
        <v>45931</v>
      </c>
      <c r="Q12" s="3" t="str">
        <f ca="1">IFERROR(__xludf.DUMMYFUNCTION("""COMPUTED_VALUE"""),"199565/B.II/KP.07.1/08/2025")</f>
        <v>199565/B.II/KP.07.1/08/2025</v>
      </c>
      <c r="R12" s="3" t="str">
        <f ca="1">IFERROR(__xludf.DUMMYFUNCTION("""COMPUTED_VALUE"""),"Lektor")</f>
        <v>Lektor</v>
      </c>
      <c r="S12" s="3" t="str">
        <f ca="1">IFERROR(__xludf.DUMMYFUNCTION("""COMPUTED_VALUE"""),"Lektor")</f>
        <v>Lektor</v>
      </c>
      <c r="T12" s="7">
        <f ca="1">IFERROR(__xludf.DUMMYFUNCTION("""COMPUTED_VALUE"""),44986)</f>
        <v>44986</v>
      </c>
      <c r="U12" s="3" t="str">
        <f ca="1">IFERROR(__xludf.DUMMYFUNCTION("""COMPUTED_VALUE"""),"486/Un.19/K.AUPK/Kp.07.6/3/2023")</f>
        <v>486/Un.19/K.AUPK/Kp.07.6/3/2023</v>
      </c>
      <c r="V12" s="7">
        <f ca="1">IFERROR(__xludf.DUMMYFUNCTION("""COMPUTED_VALUE"""),44986)</f>
        <v>44986</v>
      </c>
      <c r="W12" s="3">
        <f ca="1">IFERROR(__xludf.DUMMYFUNCTION("""COMPUTED_VALUE"""),11)</f>
        <v>11</v>
      </c>
      <c r="X12" s="7" t="str">
        <f ca="1">IFERROR(__xludf.DUMMYFUNCTION("""COMPUTED_VALUE"""),"Kepala Laboratorium Pada Fakultas Dakwah")</f>
        <v>Kepala Laboratorium Pada Fakultas Dakwah</v>
      </c>
      <c r="Y12" s="3" t="str">
        <f ca="1">IFERROR(__xludf.DUMMYFUNCTION("""COMPUTED_VALUE"""),"S-2")</f>
        <v>S-2</v>
      </c>
      <c r="Z12" s="3" t="str">
        <f ca="1">IFERROR(__xludf.DUMMYFUNCTION("""COMPUTED_VALUE"""),"6 Tahun 10 Bulan 27 Hari")</f>
        <v>6 Tahun 10 Bulan 27 Hari</v>
      </c>
      <c r="AA12" s="8">
        <f ca="1">IFERROR(__xludf.DUMMYFUNCTION("""COMPUTED_VALUE"""),57892)</f>
        <v>57892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4"/>
      <c r="AR12" s="3"/>
      <c r="AS12" s="4"/>
      <c r="AT12" s="3"/>
      <c r="AU12" s="3"/>
    </row>
    <row r="13" spans="1:47" x14ac:dyDescent="0.2">
      <c r="A13" s="12">
        <v>12</v>
      </c>
      <c r="B13" s="3" t="str">
        <f ca="1">IFERROR(__xludf.DUMMYFUNCTION("""COMPUTED_VALUE"""),"Agus Husein As Sabiq")</f>
        <v>Agus Husein As Sabiq</v>
      </c>
      <c r="C13" s="3" t="str">
        <f ca="1">IFERROR(__xludf.DUMMYFUNCTION("""COMPUTED_VALUE"""),"Agus Husein As Sabiq, M.Pd.")</f>
        <v>Agus Husein As Sabiq, M.Pd.</v>
      </c>
      <c r="D13" s="3" t="str">
        <f ca="1">IFERROR(__xludf.DUMMYFUNCTION("""COMPUTED_VALUE"""),"Agus Husein As Sabiq, M.Pd.")</f>
        <v>Agus Husein As Sabiq, M.Pd.</v>
      </c>
      <c r="E13" s="3" t="str">
        <f ca="1">IFERROR(__xludf.DUMMYFUNCTION("""COMPUTED_VALUE"""),"198708112020121006")</f>
        <v>198708112020121006</v>
      </c>
      <c r="F13" s="3" t="str">
        <f ca="1">IFERROR(__xludf.DUMMYFUNCTION("""COMPUTED_VALUE"""),"‌19870811 202012 1 006")</f>
        <v>‌19870811 202012 1 006</v>
      </c>
      <c r="G13" s="3">
        <f ca="1">IFERROR(__xludf.DUMMYFUNCTION("""COMPUTED_VALUE"""),2011088701)</f>
        <v>2011088701</v>
      </c>
      <c r="H13" s="6" t="str">
        <f ca="1">IFERROR(__xludf.DUMMYFUNCTION("""COMPUTED_VALUE"""),"0143765666130283")</f>
        <v>0143765666130283</v>
      </c>
      <c r="I13" s="3" t="str">
        <f ca="1">IFERROR(__xludf.DUMMYFUNCTION("""COMPUTED_VALUE"""),"PNS")</f>
        <v>PNS</v>
      </c>
      <c r="J13" s="3" t="str">
        <f ca="1">IFERROR(__xludf.DUMMYFUNCTION("""COMPUTED_VALUE"""),"Dosen PNS")</f>
        <v>Dosen PNS</v>
      </c>
      <c r="K13" s="5" t="str">
        <f ca="1">IFERROR(__xludf.DUMMYFUNCTION("""COMPUTED_VALUE"""),"L")</f>
        <v>L</v>
      </c>
      <c r="L13" s="3" t="str">
        <f ca="1">IFERROR(__xludf.DUMMYFUNCTION("""COMPUTED_VALUE"""),"Kebumen")</f>
        <v>Kebumen</v>
      </c>
      <c r="M13" s="7">
        <f ca="1">IFERROR(__xludf.DUMMYFUNCTION("""COMPUTED_VALUE"""),32000)</f>
        <v>32000</v>
      </c>
      <c r="N13" s="4" t="str">
        <f ca="1">IFERROR(__xludf.DUMMYFUNCTION("""COMPUTED_VALUE"""),"Penata")</f>
        <v>Penata</v>
      </c>
      <c r="O13" s="3" t="str">
        <f ca="1">IFERROR(__xludf.DUMMYFUNCTION("""COMPUTED_VALUE"""),"III/c")</f>
        <v>III/c</v>
      </c>
      <c r="P13" s="7">
        <f ca="1">IFERROR(__xludf.DUMMYFUNCTION("""COMPUTED_VALUE"""),45689)</f>
        <v>45689</v>
      </c>
      <c r="Q13" s="3" t="str">
        <f ca="1">IFERROR(__xludf.DUMMYFUNCTION("""COMPUTED_VALUE"""),"232/Un.19/K.AUPK/KP.11.1/01/2025")</f>
        <v>232/Un.19/K.AUPK/KP.11.1/01/2025</v>
      </c>
      <c r="R13" s="3" t="str">
        <f ca="1">IFERROR(__xludf.DUMMYFUNCTION("""COMPUTED_VALUE"""),"Lektor")</f>
        <v>Lektor</v>
      </c>
      <c r="S13" s="3" t="str">
        <f ca="1">IFERROR(__xludf.DUMMYFUNCTION("""COMPUTED_VALUE"""),"Lektor")</f>
        <v>Lektor</v>
      </c>
      <c r="T13" s="7">
        <f ca="1">IFERROR(__xludf.DUMMYFUNCTION("""COMPUTED_VALUE"""),45566)</f>
        <v>45566</v>
      </c>
      <c r="U13" s="3" t="str">
        <f ca="1">IFERROR(__xludf.DUMMYFUNCTION("""COMPUTED_VALUE"""),"868.5 TAHUN 2024")</f>
        <v>868.5 TAHUN 2024</v>
      </c>
      <c r="V13" s="7">
        <f ca="1">IFERROR(__xludf.DUMMYFUNCTION("""COMPUTED_VALUE"""),45566)</f>
        <v>45566</v>
      </c>
      <c r="W13" s="3">
        <f ca="1">IFERROR(__xludf.DUMMYFUNCTION("""COMPUTED_VALUE"""),11)</f>
        <v>11</v>
      </c>
      <c r="X13" s="3"/>
      <c r="Y13" s="3" t="str">
        <f ca="1">IFERROR(__xludf.DUMMYFUNCTION("""COMPUTED_VALUE"""),"S-2")</f>
        <v>S-2</v>
      </c>
      <c r="Z13" s="3" t="str">
        <f ca="1">IFERROR(__xludf.DUMMYFUNCTION("""COMPUTED_VALUE"""),"5 Tahun 1 Bulan 27 Hari")</f>
        <v>5 Tahun 1 Bulan 27 Hari</v>
      </c>
      <c r="AA13" s="8">
        <f ca="1">IFERROR(__xludf.DUMMYFUNCTION("""COMPUTED_VALUE"""),55763)</f>
        <v>55763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4"/>
      <c r="AR13" s="3"/>
      <c r="AS13" s="4"/>
      <c r="AT13" s="3"/>
      <c r="AU13" s="3"/>
    </row>
    <row r="14" spans="1:47" x14ac:dyDescent="0.2">
      <c r="A14" s="12">
        <v>13</v>
      </c>
      <c r="B14" s="3" t="str">
        <f ca="1">IFERROR(__xludf.DUMMYFUNCTION("""COMPUTED_VALUE"""),"Agus Sriyanto")</f>
        <v>Agus Sriyanto</v>
      </c>
      <c r="C14" s="3" t="str">
        <f ca="1">IFERROR(__xludf.DUMMYFUNCTION("""COMPUTED_VALUE"""),"Agus Sriyanto, S.Sos., M.Si.")</f>
        <v>Agus Sriyanto, S.Sos., M.Si.</v>
      </c>
      <c r="D14" s="3" t="str">
        <f ca="1">IFERROR(__xludf.DUMMYFUNCTION("""COMPUTED_VALUE"""),"Agus Sriyanto, S.Sos., M.Si.")</f>
        <v>Agus Sriyanto, S.Sos., M.Si.</v>
      </c>
      <c r="E14" s="3" t="str">
        <f ca="1">IFERROR(__xludf.DUMMYFUNCTION("""COMPUTED_VALUE"""),"197509071999031002")</f>
        <v>197509071999031002</v>
      </c>
      <c r="F14" s="3" t="str">
        <f ca="1">IFERROR(__xludf.DUMMYFUNCTION("""COMPUTED_VALUE"""),"19750907 199903 1 002")</f>
        <v>19750907 199903 1 002</v>
      </c>
      <c r="G14" s="3">
        <f ca="1">IFERROR(__xludf.DUMMYFUNCTION("""COMPUTED_VALUE"""),2007097501)</f>
        <v>2007097501</v>
      </c>
      <c r="H14" s="6" t="str">
        <f ca="1">IFERROR(__xludf.DUMMYFUNCTION("""COMPUTED_VALUE"""),"3239753654130113")</f>
        <v>3239753654130113</v>
      </c>
      <c r="I14" s="3" t="str">
        <f ca="1">IFERROR(__xludf.DUMMYFUNCTION("""COMPUTED_VALUE"""),"PNS")</f>
        <v>PNS</v>
      </c>
      <c r="J14" s="3" t="str">
        <f ca="1">IFERROR(__xludf.DUMMYFUNCTION("""COMPUTED_VALUE"""),"Dosen PNS")</f>
        <v>Dosen PNS</v>
      </c>
      <c r="K14" s="5" t="str">
        <f ca="1">IFERROR(__xludf.DUMMYFUNCTION("""COMPUTED_VALUE"""),"L")</f>
        <v>L</v>
      </c>
      <c r="L14" s="3" t="str">
        <f ca="1">IFERROR(__xludf.DUMMYFUNCTION("""COMPUTED_VALUE"""),"Boyolali")</f>
        <v>Boyolali</v>
      </c>
      <c r="M14" s="7">
        <f ca="1">IFERROR(__xludf.DUMMYFUNCTION("""COMPUTED_VALUE"""),27644)</f>
        <v>27644</v>
      </c>
      <c r="N14" s="4" t="str">
        <f ca="1">IFERROR(__xludf.DUMMYFUNCTION("""COMPUTED_VALUE"""),"Penata Tk.I")</f>
        <v>Penata Tk.I</v>
      </c>
      <c r="O14" s="3" t="str">
        <f ca="1">IFERROR(__xludf.DUMMYFUNCTION("""COMPUTED_VALUE"""),"III/d")</f>
        <v>III/d</v>
      </c>
      <c r="P14" s="7">
        <f ca="1">IFERROR(__xludf.DUMMYFUNCTION("""COMPUTED_VALUE"""),39539)</f>
        <v>39539</v>
      </c>
      <c r="Q14" s="3" t="str">
        <f ca="1">IFERROR(__xludf.DUMMYFUNCTION("""COMPUTED_VALUE"""),"B.II/3/5595")</f>
        <v>B.II/3/5595</v>
      </c>
      <c r="R14" s="3" t="str">
        <f ca="1">IFERROR(__xludf.DUMMYFUNCTION("""COMPUTED_VALUE"""),"Lektor")</f>
        <v>Lektor</v>
      </c>
      <c r="S14" s="3" t="str">
        <f ca="1">IFERROR(__xludf.DUMMYFUNCTION("""COMPUTED_VALUE"""),"Lektor")</f>
        <v>Lektor</v>
      </c>
      <c r="T14" s="7">
        <f ca="1">IFERROR(__xludf.DUMMYFUNCTION("""COMPUTED_VALUE"""),39508)</f>
        <v>39508</v>
      </c>
      <c r="U14" s="3" t="str">
        <f ca="1">IFERROR(__xludf.DUMMYFUNCTION("""COMPUTED_VALUE"""),"Sti.23/K/Kp.07,6/995/2008")</f>
        <v>Sti.23/K/Kp.07,6/995/2008</v>
      </c>
      <c r="V14" s="7">
        <f ca="1">IFERROR(__xludf.DUMMYFUNCTION("""COMPUTED_VALUE"""),39508)</f>
        <v>39508</v>
      </c>
      <c r="W14" s="3">
        <f ca="1">IFERROR(__xludf.DUMMYFUNCTION("""COMPUTED_VALUE"""),11)</f>
        <v>11</v>
      </c>
      <c r="X14" s="7" t="str">
        <f ca="1">IFERROR(__xludf.DUMMYFUNCTION("""COMPUTED_VALUE"""),"Sekretaris Jurusan Konseling dan Pengembangan Masyarakat Pada Fakultas Dakwah")</f>
        <v>Sekretaris Jurusan Konseling dan Pengembangan Masyarakat Pada Fakultas Dakwah</v>
      </c>
      <c r="Y14" s="3" t="str">
        <f ca="1">IFERROR(__xludf.DUMMYFUNCTION("""COMPUTED_VALUE"""),"S-2")</f>
        <v>S-2</v>
      </c>
      <c r="Z14" s="3" t="str">
        <f ca="1">IFERROR(__xludf.DUMMYFUNCTION("""COMPUTED_VALUE"""),"26 Tahun 10 Bulan 27 Hari")</f>
        <v>26 Tahun 10 Bulan 27 Hari</v>
      </c>
      <c r="AA14" s="8">
        <f ca="1">IFERROR(__xludf.DUMMYFUNCTION("""COMPUTED_VALUE"""),51410)</f>
        <v>51410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4"/>
      <c r="AR14" s="3"/>
      <c r="AS14" s="4"/>
      <c r="AT14" s="3"/>
      <c r="AU14" s="3"/>
    </row>
    <row r="15" spans="1:47" x14ac:dyDescent="0.2">
      <c r="A15" s="12">
        <v>14</v>
      </c>
      <c r="B15" s="3" t="str">
        <f ca="1">IFERROR(__xludf.DUMMYFUNCTION("""COMPUTED_VALUE"""),"Agus Sunaryo")</f>
        <v>Agus Sunaryo</v>
      </c>
      <c r="C15" s="3" t="str">
        <f ca="1">IFERROR(__xludf.DUMMYFUNCTION("""COMPUTED_VALUE"""),"Agus Sunaryo, S.H.I., M.S.I.")</f>
        <v>Agus Sunaryo, S.H.I., M.S.I.</v>
      </c>
      <c r="D15" s="3" t="str">
        <f ca="1">IFERROR(__xludf.DUMMYFUNCTION("""COMPUTED_VALUE"""),"Dr. Agus Sunaryo, S.H.I., M.S.I.")</f>
        <v>Dr. Agus Sunaryo, S.H.I., M.S.I.</v>
      </c>
      <c r="E15" s="3" t="str">
        <f ca="1">IFERROR(__xludf.DUMMYFUNCTION("""COMPUTED_VALUE"""),"197904282009011006")</f>
        <v>197904282009011006</v>
      </c>
      <c r="F15" s="3" t="str">
        <f ca="1">IFERROR(__xludf.DUMMYFUNCTION("""COMPUTED_VALUE"""),"19790428 200901 1 006")</f>
        <v>19790428 200901 1 006</v>
      </c>
      <c r="G15" s="3">
        <f ca="1">IFERROR(__xludf.DUMMYFUNCTION("""COMPUTED_VALUE"""),2028047902)</f>
        <v>2028047902</v>
      </c>
      <c r="H15" s="6" t="str">
        <f ca="1">IFERROR(__xludf.DUMMYFUNCTION("""COMPUTED_VALUE"""),"5760757658130142")</f>
        <v>5760757658130142</v>
      </c>
      <c r="I15" s="3" t="str">
        <f ca="1">IFERROR(__xludf.DUMMYFUNCTION("""COMPUTED_VALUE"""),"PNS")</f>
        <v>PNS</v>
      </c>
      <c r="J15" s="3" t="str">
        <f ca="1">IFERROR(__xludf.DUMMYFUNCTION("""COMPUTED_VALUE"""),"Dosen PNS")</f>
        <v>Dosen PNS</v>
      </c>
      <c r="K15" s="5" t="str">
        <f ca="1">IFERROR(__xludf.DUMMYFUNCTION("""COMPUTED_VALUE"""),"L")</f>
        <v>L</v>
      </c>
      <c r="L15" s="3" t="str">
        <f ca="1">IFERROR(__xludf.DUMMYFUNCTION("""COMPUTED_VALUE"""),"Jember")</f>
        <v>Jember</v>
      </c>
      <c r="M15" s="7">
        <f ca="1">IFERROR(__xludf.DUMMYFUNCTION("""COMPUTED_VALUE"""),28973)</f>
        <v>28973</v>
      </c>
      <c r="N15" s="4" t="str">
        <f ca="1">IFERROR(__xludf.DUMMYFUNCTION("""COMPUTED_VALUE"""),"Penata Tk.I")</f>
        <v>Penata Tk.I</v>
      </c>
      <c r="O15" s="3" t="str">
        <f ca="1">IFERROR(__xludf.DUMMYFUNCTION("""COMPUTED_VALUE"""),"III/d")</f>
        <v>III/d</v>
      </c>
      <c r="P15" s="7">
        <f ca="1">IFERROR(__xludf.DUMMYFUNCTION("""COMPUTED_VALUE"""),42278)</f>
        <v>42278</v>
      </c>
      <c r="Q15" s="3" t="str">
        <f ca="1">IFERROR(__xludf.DUMMYFUNCTION("""COMPUTED_VALUE"""),"B.II/3/09203")</f>
        <v>B.II/3/09203</v>
      </c>
      <c r="R15" s="3" t="str">
        <f ca="1">IFERROR(__xludf.DUMMYFUNCTION("""COMPUTED_VALUE"""),"Lektor")</f>
        <v>Lektor</v>
      </c>
      <c r="S15" s="3" t="str">
        <f ca="1">IFERROR(__xludf.DUMMYFUNCTION("""COMPUTED_VALUE"""),"Lektor")</f>
        <v>Lektor</v>
      </c>
      <c r="T15" s="7">
        <f ca="1">IFERROR(__xludf.DUMMYFUNCTION("""COMPUTED_VALUE"""),41153)</f>
        <v>41153</v>
      </c>
      <c r="U15" s="3" t="str">
        <f ca="1">IFERROR(__xludf.DUMMYFUNCTION("""COMPUTED_VALUE"""),"Sti.23/K/Kp.07.6/235/2012")</f>
        <v>Sti.23/K/Kp.07.6/235/2012</v>
      </c>
      <c r="V15" s="7">
        <f ca="1">IFERROR(__xludf.DUMMYFUNCTION("""COMPUTED_VALUE"""),41164)</f>
        <v>41164</v>
      </c>
      <c r="W15" s="3">
        <f ca="1">IFERROR(__xludf.DUMMYFUNCTION("""COMPUTED_VALUE"""),11)</f>
        <v>11</v>
      </c>
      <c r="X15" s="3"/>
      <c r="Y15" s="3" t="str">
        <f ca="1">IFERROR(__xludf.DUMMYFUNCTION("""COMPUTED_VALUE"""),"S-3")</f>
        <v>S-3</v>
      </c>
      <c r="Z15" s="3" t="str">
        <f ca="1">IFERROR(__xludf.DUMMYFUNCTION("""COMPUTED_VALUE"""),"17 Tahun 0 Bulan 27 Hari")</f>
        <v>17 Tahun 0 Bulan 27 Hari</v>
      </c>
      <c r="AA15" s="8">
        <f ca="1">IFERROR(__xludf.DUMMYFUNCTION("""COMPUTED_VALUE"""),52718)</f>
        <v>52718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4"/>
      <c r="AR15" s="3"/>
      <c r="AS15" s="4"/>
      <c r="AT15" s="3"/>
      <c r="AU15" s="3"/>
    </row>
    <row r="16" spans="1:47" x14ac:dyDescent="0.2">
      <c r="A16" s="12">
        <v>15</v>
      </c>
      <c r="B16" s="3" t="str">
        <f ca="1">IFERROR(__xludf.DUMMYFUNCTION("""COMPUTED_VALUE"""),"Ahmad Dahlan")</f>
        <v>Ahmad Dahlan</v>
      </c>
      <c r="C16" s="3" t="str">
        <f ca="1">IFERROR(__xludf.DUMMYFUNCTION("""COMPUTED_VALUE"""),"Dr. Ahmad Dahlan, M.S.I.")</f>
        <v>Dr. Ahmad Dahlan, M.S.I.</v>
      </c>
      <c r="D16" s="3" t="str">
        <f ca="1">IFERROR(__xludf.DUMMYFUNCTION("""COMPUTED_VALUE"""),"Dr. Ahmad Dahlan, M.S.I.")</f>
        <v>Dr. Ahmad Dahlan, M.S.I.</v>
      </c>
      <c r="E16" s="3" t="str">
        <f ca="1">IFERROR(__xludf.DUMMYFUNCTION("""COMPUTED_VALUE"""),"197310142003121002")</f>
        <v>197310142003121002</v>
      </c>
      <c r="F16" s="3" t="str">
        <f ca="1">IFERROR(__xludf.DUMMYFUNCTION("""COMPUTED_VALUE"""),"19731014 200312 1 002")</f>
        <v>19731014 200312 1 002</v>
      </c>
      <c r="G16" s="3">
        <f ca="1">IFERROR(__xludf.DUMMYFUNCTION("""COMPUTED_VALUE"""),2014107303)</f>
        <v>2014107303</v>
      </c>
      <c r="H16" s="6" t="str">
        <f ca="1">IFERROR(__xludf.DUMMYFUNCTION("""COMPUTED_VALUE"""),"4346751652130093")</f>
        <v>4346751652130093</v>
      </c>
      <c r="I16" s="3" t="str">
        <f ca="1">IFERROR(__xludf.DUMMYFUNCTION("""COMPUTED_VALUE"""),"PNS")</f>
        <v>PNS</v>
      </c>
      <c r="J16" s="3" t="str">
        <f ca="1">IFERROR(__xludf.DUMMYFUNCTION("""COMPUTED_VALUE"""),"Dosen PNS")</f>
        <v>Dosen PNS</v>
      </c>
      <c r="K16" s="5" t="str">
        <f ca="1">IFERROR(__xludf.DUMMYFUNCTION("""COMPUTED_VALUE"""),"L")</f>
        <v>L</v>
      </c>
      <c r="L16" s="3" t="str">
        <f ca="1">IFERROR(__xludf.DUMMYFUNCTION("""COMPUTED_VALUE"""),"Tegal")</f>
        <v>Tegal</v>
      </c>
      <c r="M16" s="9">
        <f ca="1">IFERROR(__xludf.DUMMYFUNCTION("""COMPUTED_VALUE"""),26951)</f>
        <v>26951</v>
      </c>
      <c r="N16" s="4" t="str">
        <f ca="1">IFERROR(__xludf.DUMMYFUNCTION("""COMPUTED_VALUE"""),"Pembina Utama Muda")</f>
        <v>Pembina Utama Muda</v>
      </c>
      <c r="O16" s="3" t="str">
        <f ca="1">IFERROR(__xludf.DUMMYFUNCTION("""COMPUTED_VALUE"""),"IV/c")</f>
        <v>IV/c</v>
      </c>
      <c r="P16" s="7">
        <f ca="1">IFERROR(__xludf.DUMMYFUNCTION("""COMPUTED_VALUE"""),45383)</f>
        <v>45383</v>
      </c>
      <c r="Q16" s="3" t="str">
        <f ca="1">IFERROR(__xludf.DUMMYFUNCTION("""COMPUTED_VALUE"""),"00086/KEP/AA/15001/24")</f>
        <v>00086/KEP/AA/15001/24</v>
      </c>
      <c r="R16" s="3" t="str">
        <f ca="1">IFERROR(__xludf.DUMMYFUNCTION("""COMPUTED_VALUE"""),"Lektor Kepala")</f>
        <v>Lektor Kepala</v>
      </c>
      <c r="S16" s="3" t="str">
        <f ca="1">IFERROR(__xludf.DUMMYFUNCTION("""COMPUTED_VALUE"""),"Lektor Kepala")</f>
        <v>Lektor Kepala</v>
      </c>
      <c r="T16" s="7">
        <f ca="1">IFERROR(__xludf.DUMMYFUNCTION("""COMPUTED_VALUE"""),41974)</f>
        <v>41974</v>
      </c>
      <c r="U16" s="3" t="str">
        <f ca="1">IFERROR(__xludf.DUMMYFUNCTION("""COMPUTED_VALUE"""),"B.II/3/81844")</f>
        <v>B.II/3/81844</v>
      </c>
      <c r="V16" s="7">
        <f ca="1">IFERROR(__xludf.DUMMYFUNCTION("""COMPUTED_VALUE"""),43009)</f>
        <v>43009</v>
      </c>
      <c r="W16" s="3">
        <f ca="1">IFERROR(__xludf.DUMMYFUNCTION("""COMPUTED_VALUE"""),13)</f>
        <v>13</v>
      </c>
      <c r="X16" s="7" t="str">
        <f ca="1">IFERROR(__xludf.DUMMYFUNCTION("""COMPUTED_VALUE"""),"Ketua Jurusan Ekonomi dan Keuangan Syariah Pada Fakultas Ekonomi dan Bisnis Islam")</f>
        <v>Ketua Jurusan Ekonomi dan Keuangan Syariah Pada Fakultas Ekonomi dan Bisnis Islam</v>
      </c>
      <c r="Y16" s="3" t="str">
        <f ca="1">IFERROR(__xludf.DUMMYFUNCTION("""COMPUTED_VALUE"""),"S-3")</f>
        <v>S-3</v>
      </c>
      <c r="Z16" s="3" t="str">
        <f ca="1">IFERROR(__xludf.DUMMYFUNCTION("""COMPUTED_VALUE"""),"22 Tahun 1 Bulan 27 Hari")</f>
        <v>22 Tahun 1 Bulan 27 Hari</v>
      </c>
      <c r="AA16" s="8">
        <f ca="1">IFERROR(__xludf.DUMMYFUNCTION("""COMPUTED_VALUE"""),50710)</f>
        <v>50710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4"/>
      <c r="AR16" s="3"/>
      <c r="AS16" s="4"/>
      <c r="AT16" s="3"/>
      <c r="AU16" s="3"/>
    </row>
    <row r="17" spans="1:47" x14ac:dyDescent="0.2">
      <c r="A17" s="12">
        <v>16</v>
      </c>
      <c r="B17" s="3" t="str">
        <f ca="1">IFERROR(__xludf.DUMMYFUNCTION("""COMPUTED_VALUE"""),"Ahmad Muttaqin")</f>
        <v>Ahmad Muttaqin</v>
      </c>
      <c r="C17" s="3" t="str">
        <f ca="1">IFERROR(__xludf.DUMMYFUNCTION("""COMPUTED_VALUE"""),"Dr. Ahmad Muttaqin, S.Ag., M.Si.")</f>
        <v>Dr. Ahmad Muttaqin, S.Ag., M.Si.</v>
      </c>
      <c r="D17" s="3" t="str">
        <f ca="1">IFERROR(__xludf.DUMMYFUNCTION("""COMPUTED_VALUE"""),"Dr. Ahmad Muttaqin, S.Ag., M.Si.")</f>
        <v>Dr. Ahmad Muttaqin, S.Ag., M.Si.</v>
      </c>
      <c r="E17" s="3" t="str">
        <f ca="1">IFERROR(__xludf.DUMMYFUNCTION("""COMPUTED_VALUE"""),"197911152008011018")</f>
        <v>197911152008011018</v>
      </c>
      <c r="F17" s="3" t="str">
        <f ca="1">IFERROR(__xludf.DUMMYFUNCTION("""COMPUTED_VALUE"""),"19791115 200801 1 018")</f>
        <v>19791115 200801 1 018</v>
      </c>
      <c r="G17" s="3">
        <f ca="1">IFERROR(__xludf.DUMMYFUNCTION("""COMPUTED_VALUE"""),2015117902)</f>
        <v>2015117902</v>
      </c>
      <c r="H17" s="6" t="str">
        <f ca="1">IFERROR(__xludf.DUMMYFUNCTION("""COMPUTED_VALUE"""),"2447757658130153")</f>
        <v>2447757658130153</v>
      </c>
      <c r="I17" s="3" t="str">
        <f ca="1">IFERROR(__xludf.DUMMYFUNCTION("""COMPUTED_VALUE"""),"PNS")</f>
        <v>PNS</v>
      </c>
      <c r="J17" s="3" t="str">
        <f ca="1">IFERROR(__xludf.DUMMYFUNCTION("""COMPUTED_VALUE"""),"Dosen PNS")</f>
        <v>Dosen PNS</v>
      </c>
      <c r="K17" s="5" t="str">
        <f ca="1">IFERROR(__xludf.DUMMYFUNCTION("""COMPUTED_VALUE"""),"L")</f>
        <v>L</v>
      </c>
      <c r="L17" s="3" t="str">
        <f ca="1">IFERROR(__xludf.DUMMYFUNCTION("""COMPUTED_VALUE"""),"Cilacap")</f>
        <v>Cilacap</v>
      </c>
      <c r="M17" s="9">
        <f ca="1">IFERROR(__xludf.DUMMYFUNCTION("""COMPUTED_VALUE"""),29174)</f>
        <v>29174</v>
      </c>
      <c r="N17" s="4" t="str">
        <f ca="1">IFERROR(__xludf.DUMMYFUNCTION("""COMPUTED_VALUE"""),"Pembina")</f>
        <v>Pembina</v>
      </c>
      <c r="O17" s="3" t="str">
        <f ca="1">IFERROR(__xludf.DUMMYFUNCTION("""COMPUTED_VALUE"""),"IV/a")</f>
        <v>IV/a</v>
      </c>
      <c r="P17" s="7">
        <f ca="1">IFERROR(__xludf.DUMMYFUNCTION("""COMPUTED_VALUE"""),45992)</f>
        <v>45992</v>
      </c>
      <c r="Q17" s="3" t="str">
        <f ca="1">IFERROR(__xludf.DUMMYFUNCTION("""COMPUTED_VALUE"""),"213728/B.II/KP.07.1/11/2025")</f>
        <v>213728/B.II/KP.07.1/11/2025</v>
      </c>
      <c r="R17" s="3" t="str">
        <f ca="1">IFERROR(__xludf.DUMMYFUNCTION("""COMPUTED_VALUE"""),"Lektor Kepala")</f>
        <v>Lektor Kepala</v>
      </c>
      <c r="S17" s="3" t="str">
        <f ca="1">IFERROR(__xludf.DUMMYFUNCTION("""COMPUTED_VALUE"""),"Lektor Kepala")</f>
        <v>Lektor Kepala</v>
      </c>
      <c r="T17" s="7">
        <f ca="1">IFERROR(__xludf.DUMMYFUNCTION("""COMPUTED_VALUE"""),45962)</f>
        <v>45962</v>
      </c>
      <c r="U17" s="3" t="str">
        <f ca="1">IFERROR(__xludf.DUMMYFUNCTION("""COMPUTED_VALUE"""),"209510/B.II/KP.07.6/10/2025")</f>
        <v>209510/B.II/KP.07.6/10/2025</v>
      </c>
      <c r="V17" s="7">
        <f ca="1">IFERROR(__xludf.DUMMYFUNCTION("""COMPUTED_VALUE"""),45943)</f>
        <v>45943</v>
      </c>
      <c r="W17" s="3">
        <f ca="1">IFERROR(__xludf.DUMMYFUNCTION("""COMPUTED_VALUE"""),13)</f>
        <v>13</v>
      </c>
      <c r="X17" s="7" t="str">
        <f ca="1">IFERROR(__xludf.DUMMYFUNCTION("""COMPUTED_VALUE"""),"Wakil Dekan Bidang Akademik dan Kelembagaan Pada Fakultas Dakwah")</f>
        <v>Wakil Dekan Bidang Akademik dan Kelembagaan Pada Fakultas Dakwah</v>
      </c>
      <c r="Y17" s="3" t="str">
        <f ca="1">IFERROR(__xludf.DUMMYFUNCTION("""COMPUTED_VALUE"""),"S-3")</f>
        <v>S-3</v>
      </c>
      <c r="Z17" s="3" t="str">
        <f ca="1">IFERROR(__xludf.DUMMYFUNCTION("""COMPUTED_VALUE"""),"18 Tahun 0 Bulan 27 Hari")</f>
        <v>18 Tahun 0 Bulan 27 Hari</v>
      </c>
      <c r="AA17" s="8">
        <f ca="1">IFERROR(__xludf.DUMMYFUNCTION("""COMPUTED_VALUE"""),52932)</f>
        <v>52932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4"/>
      <c r="AR17" s="3"/>
      <c r="AS17" s="4"/>
      <c r="AT17" s="3"/>
      <c r="AU17" s="3"/>
    </row>
    <row r="18" spans="1:47" x14ac:dyDescent="0.2">
      <c r="A18" s="12">
        <v>17</v>
      </c>
      <c r="B18" s="3" t="str">
        <f ca="1">IFERROR(__xludf.DUMMYFUNCTION("""COMPUTED_VALUE"""),"Ahsan Hasbullah")</f>
        <v>Ahsan Hasbullah</v>
      </c>
      <c r="C18" s="3" t="str">
        <f ca="1">IFERROR(__xludf.DUMMYFUNCTION("""COMPUTED_VALUE"""),"Dr. Ahsan Hasbullah, M.Pd.")</f>
        <v>Dr. Ahsan Hasbullah, M.Pd.</v>
      </c>
      <c r="D18" s="3" t="str">
        <f ca="1">IFERROR(__xludf.DUMMYFUNCTION("""COMPUTED_VALUE"""),"Dr. Ahsan Hasbullah, M.Pd.")</f>
        <v>Dr. Ahsan Hasbullah, M.Pd.</v>
      </c>
      <c r="E18" s="3" t="str">
        <f ca="1">IFERROR(__xludf.DUMMYFUNCTION("""COMPUTED_VALUE"""),"196905102009011002")</f>
        <v>196905102009011002</v>
      </c>
      <c r="F18" s="3" t="str">
        <f ca="1">IFERROR(__xludf.DUMMYFUNCTION("""COMPUTED_VALUE"""),"19690510 200901 1 002")</f>
        <v>19690510 200901 1 002</v>
      </c>
      <c r="G18" s="3">
        <f ca="1">IFERROR(__xludf.DUMMYFUNCTION("""COMPUTED_VALUE"""),2010056901)</f>
        <v>2010056901</v>
      </c>
      <c r="H18" s="6" t="str">
        <f ca="1">IFERROR(__xludf.DUMMYFUNCTION("""COMPUTED_VALUE"""),"8842747648130182")</f>
        <v>8842747648130182</v>
      </c>
      <c r="I18" s="3" t="str">
        <f ca="1">IFERROR(__xludf.DUMMYFUNCTION("""COMPUTED_VALUE"""),"PNS")</f>
        <v>PNS</v>
      </c>
      <c r="J18" s="3" t="str">
        <f ca="1">IFERROR(__xludf.DUMMYFUNCTION("""COMPUTED_VALUE"""),"Dosen PNS")</f>
        <v>Dosen PNS</v>
      </c>
      <c r="K18" s="5" t="str">
        <f ca="1">IFERROR(__xludf.DUMMYFUNCTION("""COMPUTED_VALUE"""),"L")</f>
        <v>L</v>
      </c>
      <c r="L18" s="3" t="str">
        <f ca="1">IFERROR(__xludf.DUMMYFUNCTION("""COMPUTED_VALUE"""),"Garut")</f>
        <v>Garut</v>
      </c>
      <c r="M18" s="7">
        <f ca="1">IFERROR(__xludf.DUMMYFUNCTION("""COMPUTED_VALUE"""),25333)</f>
        <v>25333</v>
      </c>
      <c r="N18" s="4" t="str">
        <f ca="1">IFERROR(__xludf.DUMMYFUNCTION("""COMPUTED_VALUE"""),"Penata")</f>
        <v>Penata</v>
      </c>
      <c r="O18" s="3" t="str">
        <f ca="1">IFERROR(__xludf.DUMMYFUNCTION("""COMPUTED_VALUE"""),"III/c")</f>
        <v>III/c</v>
      </c>
      <c r="P18" s="7">
        <f ca="1">IFERROR(__xludf.DUMMYFUNCTION("""COMPUTED_VALUE"""),42461)</f>
        <v>42461</v>
      </c>
      <c r="Q18" s="3" t="str">
        <f ca="1">IFERROR(__xludf.DUMMYFUNCTION("""COMPUTED_VALUE"""),"In.17/R/Kp.07.1/260/2016")</f>
        <v>In.17/R/Kp.07.1/260/2016</v>
      </c>
      <c r="R18" s="3" t="str">
        <f ca="1">IFERROR(__xludf.DUMMYFUNCTION("""COMPUTED_VALUE"""),"Lektor")</f>
        <v>Lektor</v>
      </c>
      <c r="S18" s="3" t="str">
        <f ca="1">IFERROR(__xludf.DUMMYFUNCTION("""COMPUTED_VALUE"""),"Lektor")</f>
        <v>Lektor</v>
      </c>
      <c r="T18" s="7">
        <f ca="1">IFERROR(__xludf.DUMMYFUNCTION("""COMPUTED_VALUE"""),42339)</f>
        <v>42339</v>
      </c>
      <c r="U18" s="3" t="str">
        <f ca="1">IFERROR(__xludf.DUMMYFUNCTION("""COMPUTED_VALUE"""),"In.22/R/Kp.07.6/908/2015")</f>
        <v>In.22/R/Kp.07.6/908/2015</v>
      </c>
      <c r="V18" s="3"/>
      <c r="W18" s="3">
        <f ca="1">IFERROR(__xludf.DUMMYFUNCTION("""COMPUTED_VALUE"""),11)</f>
        <v>11</v>
      </c>
      <c r="X18" s="3"/>
      <c r="Y18" s="3" t="str">
        <f ca="1">IFERROR(__xludf.DUMMYFUNCTION("""COMPUTED_VALUE"""),"S-3")</f>
        <v>S-3</v>
      </c>
      <c r="Z18" s="3" t="str">
        <f ca="1">IFERROR(__xludf.DUMMYFUNCTION("""COMPUTED_VALUE"""),"17 Tahun 0 Bulan 27 Hari")</f>
        <v>17 Tahun 0 Bulan 27 Hari</v>
      </c>
      <c r="AA18" s="8">
        <f ca="1">IFERROR(__xludf.DUMMYFUNCTION("""COMPUTED_VALUE"""),49096)</f>
        <v>49096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4"/>
      <c r="AR18" s="3"/>
      <c r="AS18" s="4"/>
      <c r="AT18" s="3"/>
      <c r="AU18" s="3"/>
    </row>
    <row r="19" spans="1:47" x14ac:dyDescent="0.2">
      <c r="A19" s="12">
        <v>18</v>
      </c>
      <c r="B19" s="3" t="str">
        <f ca="1">IFERROR(__xludf.DUMMYFUNCTION("""COMPUTED_VALUE"""),"Ainul Yaqin")</f>
        <v>Ainul Yaqin</v>
      </c>
      <c r="C19" s="3" t="str">
        <f ca="1">IFERROR(__xludf.DUMMYFUNCTION("""COMPUTED_VALUE"""),"Ainul Yaqin, M.Sy.")</f>
        <v>Ainul Yaqin, M.Sy.</v>
      </c>
      <c r="D19" s="3" t="str">
        <f ca="1">IFERROR(__xludf.DUMMYFUNCTION("""COMPUTED_VALUE"""),"Ainul Yaqin, M.Sy.")</f>
        <v>Ainul Yaqin, M.Sy.</v>
      </c>
      <c r="E19" s="3" t="str">
        <f ca="1">IFERROR(__xludf.DUMMYFUNCTION("""COMPUTED_VALUE"""),"198812282018011001")</f>
        <v>198812282018011001</v>
      </c>
      <c r="F19" s="3" t="str">
        <f ca="1">IFERROR(__xludf.DUMMYFUNCTION("""COMPUTED_VALUE"""),"19881228 201801 1 001")</f>
        <v>19881228 201801 1 001</v>
      </c>
      <c r="G19" s="3">
        <f ca="1">IFERROR(__xludf.DUMMYFUNCTION("""COMPUTED_VALUE"""),2028128802)</f>
        <v>2028128802</v>
      </c>
      <c r="H19" s="6" t="str">
        <f ca="1">IFERROR(__xludf.DUMMYFUNCTION("""COMPUTED_VALUE"""),"7560766667130273")</f>
        <v>7560766667130273</v>
      </c>
      <c r="I19" s="3" t="str">
        <f ca="1">IFERROR(__xludf.DUMMYFUNCTION("""COMPUTED_VALUE"""),"PNS")</f>
        <v>PNS</v>
      </c>
      <c r="J19" s="3" t="str">
        <f ca="1">IFERROR(__xludf.DUMMYFUNCTION("""COMPUTED_VALUE"""),"Dosen PNS")</f>
        <v>Dosen PNS</v>
      </c>
      <c r="K19" s="5" t="str">
        <f ca="1">IFERROR(__xludf.DUMMYFUNCTION("""COMPUTED_VALUE"""),"L")</f>
        <v>L</v>
      </c>
      <c r="L19" s="3" t="str">
        <f ca="1">IFERROR(__xludf.DUMMYFUNCTION("""COMPUTED_VALUE"""),"Banyumas")</f>
        <v>Banyumas</v>
      </c>
      <c r="M19" s="9">
        <f ca="1">IFERROR(__xludf.DUMMYFUNCTION("""COMPUTED_VALUE"""),32505)</f>
        <v>32505</v>
      </c>
      <c r="N19" s="4" t="str">
        <f ca="1">IFERROR(__xludf.DUMMYFUNCTION("""COMPUTED_VALUE"""),"Penata Tk.I")</f>
        <v>Penata Tk.I</v>
      </c>
      <c r="O19" s="3" t="str">
        <f ca="1">IFERROR(__xludf.DUMMYFUNCTION("""COMPUTED_VALUE"""),"III/d")</f>
        <v>III/d</v>
      </c>
      <c r="P19" s="7">
        <f ca="1">IFERROR(__xludf.DUMMYFUNCTION("""COMPUTED_VALUE"""),45748)</f>
        <v>45748</v>
      </c>
      <c r="Q19" s="3" t="str">
        <f ca="1">IFERROR(__xludf.DUMMYFUNCTION("""COMPUTED_VALUE"""),"274/Un.19/K.AUPK/KP.11.1/02/2025")</f>
        <v>274/Un.19/K.AUPK/KP.11.1/02/2025</v>
      </c>
      <c r="R19" s="3" t="str">
        <f ca="1">IFERROR(__xludf.DUMMYFUNCTION("""COMPUTED_VALUE"""),"Lektor")</f>
        <v>Lektor</v>
      </c>
      <c r="S19" s="3" t="str">
        <f ca="1">IFERROR(__xludf.DUMMYFUNCTION("""COMPUTED_VALUE"""),"Lektor")</f>
        <v>Lektor</v>
      </c>
      <c r="T19" s="7">
        <f ca="1">IFERROR(__xludf.DUMMYFUNCTION("""COMPUTED_VALUE"""),44805)</f>
        <v>44805</v>
      </c>
      <c r="U19" s="3" t="str">
        <f ca="1">IFERROR(__xludf.DUMMYFUNCTION("""COMPUTED_VALUE"""),"2034/Un.19/R/Kp.07.8/9/2022")</f>
        <v>2034/Un.19/R/Kp.07.8/9/2022</v>
      </c>
      <c r="V19" s="7">
        <f ca="1">IFERROR(__xludf.DUMMYFUNCTION("""COMPUTED_VALUE"""),44812)</f>
        <v>44812</v>
      </c>
      <c r="W19" s="3">
        <f ca="1">IFERROR(__xludf.DUMMYFUNCTION("""COMPUTED_VALUE"""),11)</f>
        <v>11</v>
      </c>
      <c r="X19" s="7" t="str">
        <f ca="1">IFERROR(__xludf.DUMMYFUNCTION("""COMPUTED_VALUE"""),"Koordinator Program Studi S-1 Hukum Ekonomi Syariah Pada Fakultas Syariah")</f>
        <v>Koordinator Program Studi S-1 Hukum Ekonomi Syariah Pada Fakultas Syariah</v>
      </c>
      <c r="Y19" s="3" t="str">
        <f ca="1">IFERROR(__xludf.DUMMYFUNCTION("""COMPUTED_VALUE"""),"S-2")</f>
        <v>S-2</v>
      </c>
      <c r="Z19" s="3" t="str">
        <f ca="1">IFERROR(__xludf.DUMMYFUNCTION("""COMPUTED_VALUE"""),"8 Tahun 0 Bulan 27 Hari")</f>
        <v>8 Tahun 0 Bulan 27 Hari</v>
      </c>
      <c r="AA19" s="8">
        <f ca="1">IFERROR(__xludf.DUMMYFUNCTION("""COMPUTED_VALUE"""),56250)</f>
        <v>56250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4"/>
      <c r="AR19" s="3"/>
      <c r="AS19" s="4"/>
      <c r="AT19" s="3"/>
      <c r="AU19" s="3"/>
    </row>
    <row r="20" spans="1:47" x14ac:dyDescent="0.2">
      <c r="A20" s="12">
        <v>19</v>
      </c>
      <c r="B20" s="3" t="str">
        <f ca="1">IFERROR(__xludf.DUMMYFUNCTION("""COMPUTED_VALUE"""),"Akhmad Faozan")</f>
        <v>Akhmad Faozan</v>
      </c>
      <c r="C20" s="3" t="str">
        <f ca="1">IFERROR(__xludf.DUMMYFUNCTION("""COMPUTED_VALUE"""),"Dr. H. Akhmad Faozan, Lc., M.Ag.")</f>
        <v>Dr. H. Akhmad Faozan, Lc., M.Ag.</v>
      </c>
      <c r="D20" s="3" t="str">
        <f ca="1">IFERROR(__xludf.DUMMYFUNCTION("""COMPUTED_VALUE"""),"Dr. H. Akhmad Faozan, Lc., M.Ag.")</f>
        <v>Dr. H. Akhmad Faozan, Lc., M.Ag.</v>
      </c>
      <c r="E20" s="3" t="str">
        <f ca="1">IFERROR(__xludf.DUMMYFUNCTION("""COMPUTED_VALUE"""),"197412172003121006")</f>
        <v>197412172003121006</v>
      </c>
      <c r="F20" s="3" t="str">
        <f ca="1">IFERROR(__xludf.DUMMYFUNCTION("""COMPUTED_VALUE"""),"19741217 200312 1 006")</f>
        <v>19741217 200312 1 006</v>
      </c>
      <c r="G20" s="3">
        <f ca="1">IFERROR(__xludf.DUMMYFUNCTION("""COMPUTED_VALUE"""),2017127402)</f>
        <v>2017127402</v>
      </c>
      <c r="H20" s="6" t="str">
        <f ca="1">IFERROR(__xludf.DUMMYFUNCTION("""COMPUTED_VALUE"""),"0549752653130083")</f>
        <v>0549752653130083</v>
      </c>
      <c r="I20" s="3" t="str">
        <f ca="1">IFERROR(__xludf.DUMMYFUNCTION("""COMPUTED_VALUE"""),"PNS")</f>
        <v>PNS</v>
      </c>
      <c r="J20" s="3" t="str">
        <f ca="1">IFERROR(__xludf.DUMMYFUNCTION("""COMPUTED_VALUE"""),"Dosen PNS")</f>
        <v>Dosen PNS</v>
      </c>
      <c r="K20" s="5" t="str">
        <f ca="1">IFERROR(__xludf.DUMMYFUNCTION("""COMPUTED_VALUE"""),"L")</f>
        <v>L</v>
      </c>
      <c r="L20" s="3" t="str">
        <f ca="1">IFERROR(__xludf.DUMMYFUNCTION("""COMPUTED_VALUE"""),"Cilacap")</f>
        <v>Cilacap</v>
      </c>
      <c r="M20" s="9">
        <f ca="1">IFERROR(__xludf.DUMMYFUNCTION("""COMPUTED_VALUE"""),27380)</f>
        <v>27380</v>
      </c>
      <c r="N20" s="4" t="str">
        <f ca="1">IFERROR(__xludf.DUMMYFUNCTION("""COMPUTED_VALUE"""),"Pembina Tk.I")</f>
        <v>Pembina Tk.I</v>
      </c>
      <c r="O20" s="3" t="str">
        <f ca="1">IFERROR(__xludf.DUMMYFUNCTION("""COMPUTED_VALUE"""),"IV/b")</f>
        <v>IV/b</v>
      </c>
      <c r="P20" s="7">
        <f ca="1">IFERROR(__xludf.DUMMYFUNCTION("""COMPUTED_VALUE"""),45383)</f>
        <v>45383</v>
      </c>
      <c r="Q20" s="3" t="str">
        <f ca="1">IFERROR(__xludf.DUMMYFUNCTION("""COMPUTED_VALUE"""),"013157/B.II/3/2024")</f>
        <v>013157/B.II/3/2024</v>
      </c>
      <c r="R20" s="3" t="str">
        <f ca="1">IFERROR(__xludf.DUMMYFUNCTION("""COMPUTED_VALUE"""),"Lektor Kepala")</f>
        <v>Lektor Kepala</v>
      </c>
      <c r="S20" s="3" t="str">
        <f ca="1">IFERROR(__xludf.DUMMYFUNCTION("""COMPUTED_VALUE"""),"Lektor Kepala")</f>
        <v>Lektor Kepala</v>
      </c>
      <c r="T20" s="7">
        <f ca="1">IFERROR(__xludf.DUMMYFUNCTION("""COMPUTED_VALUE"""),43160)</f>
        <v>43160</v>
      </c>
      <c r="U20" s="3" t="str">
        <f ca="1">IFERROR(__xludf.DUMMYFUNCTION("""COMPUTED_VALUE"""),"434/In.17/R/Kp.07.6/8/2021")</f>
        <v>434/In.17/R/Kp.07.6/8/2021</v>
      </c>
      <c r="V20" s="7">
        <f ca="1">IFERROR(__xludf.DUMMYFUNCTION("""COMPUTED_VALUE"""),43160)</f>
        <v>43160</v>
      </c>
      <c r="W20" s="3">
        <f ca="1">IFERROR(__xludf.DUMMYFUNCTION("""COMPUTED_VALUE"""),13)</f>
        <v>13</v>
      </c>
      <c r="X20" s="7" t="str">
        <f ca="1">IFERROR(__xludf.DUMMYFUNCTION("""COMPUTED_VALUE"""),"Wakil Dekan Bidang Akademik dan Kelembagaan Pada Fakultas Ekonomi dan Bisnis Islam")</f>
        <v>Wakil Dekan Bidang Akademik dan Kelembagaan Pada Fakultas Ekonomi dan Bisnis Islam</v>
      </c>
      <c r="Y20" s="3" t="str">
        <f ca="1">IFERROR(__xludf.DUMMYFUNCTION("""COMPUTED_VALUE"""),"S-3")</f>
        <v>S-3</v>
      </c>
      <c r="Z20" s="3" t="str">
        <f ca="1">IFERROR(__xludf.DUMMYFUNCTION("""COMPUTED_VALUE"""),"22 Tahun 1 Bulan 27 Hari")</f>
        <v>22 Tahun 1 Bulan 27 Hari</v>
      </c>
      <c r="AA20" s="8">
        <f ca="1">IFERROR(__xludf.DUMMYFUNCTION("""COMPUTED_VALUE"""),51136)</f>
        <v>51136</v>
      </c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4"/>
      <c r="AR20" s="3"/>
      <c r="AS20" s="4"/>
      <c r="AT20" s="3"/>
      <c r="AU20" s="3"/>
    </row>
    <row r="21" spans="1:47" x14ac:dyDescent="0.2">
      <c r="A21" s="12">
        <v>20</v>
      </c>
      <c r="B21" s="3" t="str">
        <f ca="1">IFERROR(__xludf.DUMMYFUNCTION("""COMPUTED_VALUE"""),"Alfi Nur'aini")</f>
        <v>Alfi Nur'aini</v>
      </c>
      <c r="C21" s="3" t="str">
        <f ca="1">IFERROR(__xludf.DUMMYFUNCTION("""COMPUTED_VALUE"""),"Alfi Nur'aini, M.Ag.")</f>
        <v>Alfi Nur'aini, M.Ag.</v>
      </c>
      <c r="D21" s="3" t="str">
        <f ca="1">IFERROR(__xludf.DUMMYFUNCTION("""COMPUTED_VALUE"""),"Alfi Nur'aini, M.Ag.")</f>
        <v>Alfi Nur'aini, M.Ag.</v>
      </c>
      <c r="E21" s="3" t="str">
        <f ca="1">IFERROR(__xludf.DUMMYFUNCTION("""COMPUTED_VALUE"""),"199307302019082001")</f>
        <v>199307302019082001</v>
      </c>
      <c r="F21" s="3" t="str">
        <f ca="1">IFERROR(__xludf.DUMMYFUNCTION("""COMPUTED_VALUE"""),"19930730 201908 2 001")</f>
        <v>19930730 201908 2 001</v>
      </c>
      <c r="G21" s="3">
        <f ca="1">IFERROR(__xludf.DUMMYFUNCTION("""COMPUTED_VALUE"""),2030079303)</f>
        <v>2030079303</v>
      </c>
      <c r="H21" s="6" t="str">
        <f ca="1">IFERROR(__xludf.DUMMYFUNCTION("""COMPUTED_VALUE"""),"7062771672230253")</f>
        <v>7062771672230253</v>
      </c>
      <c r="I21" s="3" t="str">
        <f ca="1">IFERROR(__xludf.DUMMYFUNCTION("""COMPUTED_VALUE"""),"PNS")</f>
        <v>PNS</v>
      </c>
      <c r="J21" s="3" t="str">
        <f ca="1">IFERROR(__xludf.DUMMYFUNCTION("""COMPUTED_VALUE"""),"Dosen PNS")</f>
        <v>Dosen PNS</v>
      </c>
      <c r="K21" s="5" t="str">
        <f ca="1">IFERROR(__xludf.DUMMYFUNCTION("""COMPUTED_VALUE"""),"P")</f>
        <v>P</v>
      </c>
      <c r="L21" s="3" t="str">
        <f ca="1">IFERROR(__xludf.DUMMYFUNCTION("""COMPUTED_VALUE"""),"Kebumen")</f>
        <v>Kebumen</v>
      </c>
      <c r="M21" s="7">
        <f ca="1">IFERROR(__xludf.DUMMYFUNCTION("""COMPUTED_VALUE"""),34180)</f>
        <v>34180</v>
      </c>
      <c r="N21" s="4" t="str">
        <f ca="1">IFERROR(__xludf.DUMMYFUNCTION("""COMPUTED_VALUE"""),"Penata")</f>
        <v>Penata</v>
      </c>
      <c r="O21" s="3" t="str">
        <f ca="1">IFERROR(__xludf.DUMMYFUNCTION("""COMPUTED_VALUE"""),"III/c")</f>
        <v>III/c</v>
      </c>
      <c r="P21" s="7">
        <f ca="1">IFERROR(__xludf.DUMMYFUNCTION("""COMPUTED_VALUE"""),45992)</f>
        <v>45992</v>
      </c>
      <c r="Q21" s="3" t="str">
        <f ca="1">IFERROR(__xludf.DUMMYFUNCTION("""COMPUTED_VALUE"""),"214544/B.II/KP.07.1/11/2025")</f>
        <v>214544/B.II/KP.07.1/11/2025</v>
      </c>
      <c r="R21" s="3" t="str">
        <f ca="1">IFERROR(__xludf.DUMMYFUNCTION("""COMPUTED_VALUE"""),"Lektor")</f>
        <v>Lektor</v>
      </c>
      <c r="S21" s="3" t="str">
        <f ca="1">IFERROR(__xludf.DUMMYFUNCTION("""COMPUTED_VALUE"""),"Lektor")</f>
        <v>Lektor</v>
      </c>
      <c r="T21" s="7">
        <f ca="1">IFERROR(__xludf.DUMMYFUNCTION("""COMPUTED_VALUE"""),45962)</f>
        <v>45962</v>
      </c>
      <c r="U21" s="3" t="str">
        <f ca="1">IFERROR(__xludf.DUMMYFUNCTION("""COMPUTED_VALUE"""),"208798/B.II/KP.07.6/10/2025")</f>
        <v>208798/B.II/KP.07.6/10/2025</v>
      </c>
      <c r="V21" s="7">
        <f ca="1">IFERROR(__xludf.DUMMYFUNCTION("""COMPUTED_VALUE"""),45936)</f>
        <v>45936</v>
      </c>
      <c r="W21" s="3">
        <f ca="1">IFERROR(__xludf.DUMMYFUNCTION("""COMPUTED_VALUE"""),11)</f>
        <v>11</v>
      </c>
      <c r="X21" s="3"/>
      <c r="Y21" s="3" t="str">
        <f ca="1">IFERROR(__xludf.DUMMYFUNCTION("""COMPUTED_VALUE"""),"S-2")</f>
        <v>S-2</v>
      </c>
      <c r="Z21" s="3" t="str">
        <f ca="1">IFERROR(__xludf.DUMMYFUNCTION("""COMPUTED_VALUE"""),"6 Tahun 5 Bulan 27 Hari")</f>
        <v>6 Tahun 5 Bulan 27 Hari</v>
      </c>
      <c r="AA21" s="8">
        <f ca="1">IFERROR(__xludf.DUMMYFUNCTION("""COMPUTED_VALUE"""),57923)</f>
        <v>57923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4"/>
      <c r="AR21" s="3"/>
      <c r="AS21" s="4"/>
      <c r="AT21" s="3"/>
      <c r="AU21" s="3"/>
    </row>
    <row r="22" spans="1:47" x14ac:dyDescent="0.2">
      <c r="A22" s="12">
        <v>21</v>
      </c>
      <c r="B22" s="3" t="str">
        <f ca="1">IFERROR(__xludf.DUMMYFUNCTION("""COMPUTED_VALUE"""),"Ali Muhdi")</f>
        <v>Ali Muhdi</v>
      </c>
      <c r="C22" s="3" t="str">
        <f ca="1">IFERROR(__xludf.DUMMYFUNCTION("""COMPUTED_VALUE"""),"Dr. Ali Muhdi, S.Pd.I., M.S.I.")</f>
        <v>Dr. Ali Muhdi, S.Pd.I., M.S.I.</v>
      </c>
      <c r="D22" s="3" t="str">
        <f ca="1">IFERROR(__xludf.DUMMYFUNCTION("""COMPUTED_VALUE"""),"Dr. Ali Muhdi, S.Pd.I., M.S.I.")</f>
        <v>Dr. Ali Muhdi, S.Pd.I., M.S.I.</v>
      </c>
      <c r="E22" s="3" t="str">
        <f ca="1">IFERROR(__xludf.DUMMYFUNCTION("""COMPUTED_VALUE"""),"197702252008011007")</f>
        <v>197702252008011007</v>
      </c>
      <c r="F22" s="3" t="str">
        <f ca="1">IFERROR(__xludf.DUMMYFUNCTION("""COMPUTED_VALUE"""),"19770225 200801 1 007")</f>
        <v>19770225 200801 1 007</v>
      </c>
      <c r="G22" s="3">
        <f ca="1">IFERROR(__xludf.DUMMYFUNCTION("""COMPUTED_VALUE"""),2025027702)</f>
        <v>2025027702</v>
      </c>
      <c r="H22" s="6" t="str">
        <f ca="1">IFERROR(__xludf.DUMMYFUNCTION("""COMPUTED_VALUE"""),"5557755656200002")</f>
        <v>5557755656200002</v>
      </c>
      <c r="I22" s="3" t="str">
        <f ca="1">IFERROR(__xludf.DUMMYFUNCTION("""COMPUTED_VALUE"""),"PNS")</f>
        <v>PNS</v>
      </c>
      <c r="J22" s="3" t="str">
        <f ca="1">IFERROR(__xludf.DUMMYFUNCTION("""COMPUTED_VALUE"""),"Dosen PNS")</f>
        <v>Dosen PNS</v>
      </c>
      <c r="K22" s="5" t="str">
        <f ca="1">IFERROR(__xludf.DUMMYFUNCTION("""COMPUTED_VALUE"""),"L")</f>
        <v>L</v>
      </c>
      <c r="L22" s="3" t="str">
        <f ca="1">IFERROR(__xludf.DUMMYFUNCTION("""COMPUTED_VALUE"""),"Kebumen")</f>
        <v>Kebumen</v>
      </c>
      <c r="M22" s="7">
        <f ca="1">IFERROR(__xludf.DUMMYFUNCTION("""COMPUTED_VALUE"""),28181)</f>
        <v>28181</v>
      </c>
      <c r="N22" s="4" t="str">
        <f ca="1">IFERROR(__xludf.DUMMYFUNCTION("""COMPUTED_VALUE"""),"Pembina")</f>
        <v>Pembina</v>
      </c>
      <c r="O22" s="3" t="str">
        <f ca="1">IFERROR(__xludf.DUMMYFUNCTION("""COMPUTED_VALUE"""),"IV/a")</f>
        <v>IV/a</v>
      </c>
      <c r="P22" s="7">
        <f ca="1">IFERROR(__xludf.DUMMYFUNCTION("""COMPUTED_VALUE"""),45870)</f>
        <v>45870</v>
      </c>
      <c r="Q22" s="3" t="str">
        <f ca="1">IFERROR(__xludf.DUMMYFUNCTION("""COMPUTED_VALUE"""),"188060/B.II/KP.07.1/05/2025")</f>
        <v>188060/B.II/KP.07.1/05/2025</v>
      </c>
      <c r="R22" s="3" t="str">
        <f ca="1">IFERROR(__xludf.DUMMYFUNCTION("""COMPUTED_VALUE"""),"Lektor Kepala")</f>
        <v>Lektor Kepala</v>
      </c>
      <c r="S22" s="3" t="str">
        <f ca="1">IFERROR(__xludf.DUMMYFUNCTION("""COMPUTED_VALUE"""),"Lektor Kepala")</f>
        <v>Lektor Kepala</v>
      </c>
      <c r="T22" s="7">
        <f ca="1">IFERROR(__xludf.DUMMYFUNCTION("""COMPUTED_VALUE"""),45778)</f>
        <v>45778</v>
      </c>
      <c r="U22" s="3" t="str">
        <f ca="1">IFERROR(__xludf.DUMMYFUNCTION("""COMPUTED_VALUE"""),"172739/B.II/KP.07/04/2025")</f>
        <v>172739/B.II/KP.07/04/2025</v>
      </c>
      <c r="V22" s="7">
        <f ca="1">IFERROR(__xludf.DUMMYFUNCTION("""COMPUTED_VALUE"""),45768)</f>
        <v>45768</v>
      </c>
      <c r="W22" s="3">
        <f ca="1">IFERROR(__xludf.DUMMYFUNCTION("""COMPUTED_VALUE"""),13)</f>
        <v>13</v>
      </c>
      <c r="X22" s="3"/>
      <c r="Y22" s="3" t="str">
        <f ca="1">IFERROR(__xludf.DUMMYFUNCTION("""COMPUTED_VALUE"""),"S-3")</f>
        <v>S-3</v>
      </c>
      <c r="Z22" s="3" t="str">
        <f ca="1">IFERROR(__xludf.DUMMYFUNCTION("""COMPUTED_VALUE"""),"18 Tahun 0 Bulan 27 Hari")</f>
        <v>18 Tahun 0 Bulan 27 Hari</v>
      </c>
      <c r="AA22" s="8">
        <f ca="1">IFERROR(__xludf.DUMMYFUNCTION("""COMPUTED_VALUE"""),51926)</f>
        <v>51926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4"/>
      <c r="AR22" s="3"/>
      <c r="AS22" s="4"/>
      <c r="AT22" s="3"/>
      <c r="AU22" s="3"/>
    </row>
    <row r="23" spans="1:47" x14ac:dyDescent="0.2">
      <c r="A23" s="12">
        <v>22</v>
      </c>
      <c r="B23" s="3" t="str">
        <f ca="1">IFERROR(__xludf.DUMMYFUNCTION("""COMPUTED_VALUE"""),"Alief Budiyono")</f>
        <v>Alief Budiyono</v>
      </c>
      <c r="C23" s="3" t="str">
        <f ca="1">IFERROR(__xludf.DUMMYFUNCTION("""COMPUTED_VALUE"""),"Dr. Alief Budiyono, S.Psi., M.Pd.")</f>
        <v>Dr. Alief Budiyono, S.Psi., M.Pd.</v>
      </c>
      <c r="D23" s="3" t="str">
        <f ca="1">IFERROR(__xludf.DUMMYFUNCTION("""COMPUTED_VALUE"""),"Dr. Alief Budiyono, S.Psi., M.Pd.")</f>
        <v>Dr. Alief Budiyono, S.Psi., M.Pd.</v>
      </c>
      <c r="E23" s="3" t="str">
        <f ca="1">IFERROR(__xludf.DUMMYFUNCTION("""COMPUTED_VALUE"""),"197902172009121003")</f>
        <v>197902172009121003</v>
      </c>
      <c r="F23" s="3" t="str">
        <f ca="1">IFERROR(__xludf.DUMMYFUNCTION("""COMPUTED_VALUE"""),"19790217 200912 1 003")</f>
        <v>19790217 200912 1 003</v>
      </c>
      <c r="G23" s="3">
        <f ca="1">IFERROR(__xludf.DUMMYFUNCTION("""COMPUTED_VALUE"""),2017027904)</f>
        <v>2017027904</v>
      </c>
      <c r="H23" s="6" t="str">
        <f ca="1">IFERROR(__xludf.DUMMYFUNCTION("""COMPUTED_VALUE"""),"8549757658130122")</f>
        <v>8549757658130122</v>
      </c>
      <c r="I23" s="3" t="str">
        <f ca="1">IFERROR(__xludf.DUMMYFUNCTION("""COMPUTED_VALUE"""),"PNS")</f>
        <v>PNS</v>
      </c>
      <c r="J23" s="3" t="str">
        <f ca="1">IFERROR(__xludf.DUMMYFUNCTION("""COMPUTED_VALUE"""),"Dosen PNS")</f>
        <v>Dosen PNS</v>
      </c>
      <c r="K23" s="5" t="str">
        <f ca="1">IFERROR(__xludf.DUMMYFUNCTION("""COMPUTED_VALUE"""),"L")</f>
        <v>L</v>
      </c>
      <c r="L23" s="3" t="str">
        <f ca="1">IFERROR(__xludf.DUMMYFUNCTION("""COMPUTED_VALUE"""),"Rembang")</f>
        <v>Rembang</v>
      </c>
      <c r="M23" s="7">
        <f ca="1">IFERROR(__xludf.DUMMYFUNCTION("""COMPUTED_VALUE"""),28903)</f>
        <v>28903</v>
      </c>
      <c r="N23" s="4" t="str">
        <f ca="1">IFERROR(__xludf.DUMMYFUNCTION("""COMPUTED_VALUE"""),"Pembina Tk.I")</f>
        <v>Pembina Tk.I</v>
      </c>
      <c r="O23" s="3" t="str">
        <f ca="1">IFERROR(__xludf.DUMMYFUNCTION("""COMPUTED_VALUE"""),"IV/b")</f>
        <v>IV/b</v>
      </c>
      <c r="P23" s="7">
        <f ca="1">IFERROR(__xludf.DUMMYFUNCTION("""COMPUTED_VALUE"""),45748)</f>
        <v>45748</v>
      </c>
      <c r="Q23" s="3" t="str">
        <f ca="1">IFERROR(__xludf.DUMMYFUNCTION("""COMPUTED_VALUE"""),"170032/B.II/KP.07.1/03/2025")</f>
        <v>170032/B.II/KP.07.1/03/2025</v>
      </c>
      <c r="R23" s="3" t="str">
        <f ca="1">IFERROR(__xludf.DUMMYFUNCTION("""COMPUTED_VALUE"""),"Lektor Kepala")</f>
        <v>Lektor Kepala</v>
      </c>
      <c r="S23" s="3" t="str">
        <f ca="1">IFERROR(__xludf.DUMMYFUNCTION("""COMPUTED_VALUE"""),"Lektor Kepala")</f>
        <v>Lektor Kepala</v>
      </c>
      <c r="T23" s="7">
        <f ca="1">IFERROR(__xludf.DUMMYFUNCTION("""COMPUTED_VALUE"""),44835)</f>
        <v>44835</v>
      </c>
      <c r="U23" s="3" t="str">
        <f ca="1">IFERROR(__xludf.DUMMYFUNCTION("""COMPUTED_VALUE"""),"000117/B.II/3/2023")</f>
        <v>000117/B.II/3/2023</v>
      </c>
      <c r="V23" s="7">
        <f ca="1">IFERROR(__xludf.DUMMYFUNCTION("""COMPUTED_VALUE"""),44928)</f>
        <v>44928</v>
      </c>
      <c r="W23" s="3">
        <f ca="1">IFERROR(__xludf.DUMMYFUNCTION("""COMPUTED_VALUE"""),13)</f>
        <v>13</v>
      </c>
      <c r="X23" s="7" t="str">
        <f ca="1">IFERROR(__xludf.DUMMYFUNCTION("""COMPUTED_VALUE"""),"Wakil Dekan Bidang Administrasi Umum, Perencanaan dan Keuangan Pada Fakultas Dakwah")</f>
        <v>Wakil Dekan Bidang Administrasi Umum, Perencanaan dan Keuangan Pada Fakultas Dakwah</v>
      </c>
      <c r="Y23" s="3" t="str">
        <f ca="1">IFERROR(__xludf.DUMMYFUNCTION("""COMPUTED_VALUE"""),"S-3")</f>
        <v>S-3</v>
      </c>
      <c r="Z23" s="3" t="str">
        <f ca="1">IFERROR(__xludf.DUMMYFUNCTION("""COMPUTED_VALUE"""),"16 Tahun 1 Bulan 27 Hari")</f>
        <v>16 Tahun 1 Bulan 27 Hari</v>
      </c>
      <c r="AA23" s="8">
        <f ca="1">IFERROR(__xludf.DUMMYFUNCTION("""COMPUTED_VALUE"""),52657)</f>
        <v>52657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4"/>
      <c r="AR23" s="3"/>
      <c r="AS23" s="4"/>
      <c r="AT23" s="3"/>
      <c r="AU23" s="3"/>
    </row>
    <row r="24" spans="1:47" x14ac:dyDescent="0.2">
      <c r="A24" s="12">
        <v>23</v>
      </c>
      <c r="B24" s="3" t="str">
        <f ca="1">IFERROR(__xludf.DUMMYFUNCTION("""COMPUTED_VALUE"""),"Amanah Aida Qur`an")</f>
        <v>Amanah Aida Qur`an</v>
      </c>
      <c r="C24" s="3" t="str">
        <f ca="1">IFERROR(__xludf.DUMMYFUNCTION("""COMPUTED_VALUE"""),"Amanah Aida Qur'an, S.E.Sy., M.E.")</f>
        <v>Amanah Aida Qur'an, S.E.Sy., M.E.</v>
      </c>
      <c r="D24" s="3" t="str">
        <f ca="1">IFERROR(__xludf.DUMMYFUNCTION("""COMPUTED_VALUE"""),"Amanah Aida Qur'an, S.E.Sy., M.E.")</f>
        <v>Amanah Aida Qur'an, S.E.Sy., M.E.</v>
      </c>
      <c r="E24" s="3" t="str">
        <f ca="1">IFERROR(__xludf.DUMMYFUNCTION("""COMPUTED_VALUE"""),"199308202020122013")</f>
        <v>199308202020122013</v>
      </c>
      <c r="F24" s="3" t="str">
        <f ca="1">IFERROR(__xludf.DUMMYFUNCTION("""COMPUTED_VALUE"""),"‌19930820 202012 2 013")</f>
        <v>‌19930820 202012 2 013</v>
      </c>
      <c r="G24" s="3">
        <f ca="1">IFERROR(__xludf.DUMMYFUNCTION("""COMPUTED_VALUE"""),2020089301)</f>
        <v>2020089301</v>
      </c>
      <c r="H24" s="6" t="str">
        <f ca="1">IFERROR(__xludf.DUMMYFUNCTION("""COMPUTED_VALUE"""),"8152771672230263")</f>
        <v>8152771672230263</v>
      </c>
      <c r="I24" s="3" t="str">
        <f ca="1">IFERROR(__xludf.DUMMYFUNCTION("""COMPUTED_VALUE"""),"PNS")</f>
        <v>PNS</v>
      </c>
      <c r="J24" s="3" t="str">
        <f ca="1">IFERROR(__xludf.DUMMYFUNCTION("""COMPUTED_VALUE"""),"Dosen PNS")</f>
        <v>Dosen PNS</v>
      </c>
      <c r="K24" s="5" t="str">
        <f ca="1">IFERROR(__xludf.DUMMYFUNCTION("""COMPUTED_VALUE"""),"P")</f>
        <v>P</v>
      </c>
      <c r="L24" s="3" t="str">
        <f ca="1">IFERROR(__xludf.DUMMYFUNCTION("""COMPUTED_VALUE"""),"Purbalingga")</f>
        <v>Purbalingga</v>
      </c>
      <c r="M24" s="7">
        <f ca="1">IFERROR(__xludf.DUMMYFUNCTION("""COMPUTED_VALUE"""),34201)</f>
        <v>34201</v>
      </c>
      <c r="N24" s="4" t="str">
        <f ca="1">IFERROR(__xludf.DUMMYFUNCTION("""COMPUTED_VALUE"""),"Penata Muda Tk.I")</f>
        <v>Penata Muda Tk.I</v>
      </c>
      <c r="O24" s="3" t="str">
        <f ca="1">IFERROR(__xludf.DUMMYFUNCTION("""COMPUTED_VALUE"""),"III/b")</f>
        <v>III/b</v>
      </c>
      <c r="P24" s="7">
        <f ca="1">IFERROR(__xludf.DUMMYFUNCTION("""COMPUTED_VALUE"""),44562)</f>
        <v>44562</v>
      </c>
      <c r="Q24" s="3" t="str">
        <f ca="1">IFERROR(__xludf.DUMMYFUNCTION("""COMPUTED_VALUE"""),"3581/Un.19/R/Kp.00.3/12/2021")</f>
        <v>3581/Un.19/R/Kp.00.3/12/2021</v>
      </c>
      <c r="R24" s="3" t="str">
        <f ca="1">IFERROR(__xludf.DUMMYFUNCTION("""COMPUTED_VALUE"""),"Asisten Ahli")</f>
        <v>Asisten Ahli</v>
      </c>
      <c r="S24" s="3" t="str">
        <f ca="1">IFERROR(__xludf.DUMMYFUNCTION("""COMPUTED_VALUE"""),"Asisten Ahli")</f>
        <v>Asisten Ahli</v>
      </c>
      <c r="T24" s="7">
        <f ca="1">IFERROR(__xludf.DUMMYFUNCTION("""COMPUTED_VALUE"""),45047)</f>
        <v>45047</v>
      </c>
      <c r="U24" s="3" t="str">
        <f ca="1">IFERROR(__xludf.DUMMYFUNCTION("""COMPUTED_VALUE"""),"013480/B.II/3/2023")</f>
        <v>013480/B.II/3/2023</v>
      </c>
      <c r="V24" s="3"/>
      <c r="W24" s="3">
        <f ca="1">IFERROR(__xludf.DUMMYFUNCTION("""COMPUTED_VALUE"""),9)</f>
        <v>9</v>
      </c>
      <c r="X24" s="3"/>
      <c r="Y24" s="3" t="str">
        <f ca="1">IFERROR(__xludf.DUMMYFUNCTION("""COMPUTED_VALUE"""),"S-2")</f>
        <v>S-2</v>
      </c>
      <c r="Z24" s="3" t="str">
        <f ca="1">IFERROR(__xludf.DUMMYFUNCTION("""COMPUTED_VALUE"""),"5 Tahun 1 Bulan 27 Hari")</f>
        <v>5 Tahun 1 Bulan 27 Hari</v>
      </c>
      <c r="AA24" s="8">
        <f ca="1">IFERROR(__xludf.DUMMYFUNCTION("""COMPUTED_VALUE"""),57954)</f>
        <v>57954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4"/>
      <c r="AR24" s="3"/>
      <c r="AS24" s="4"/>
      <c r="AT24" s="3"/>
      <c r="AU24" s="3"/>
    </row>
    <row r="25" spans="1:47" x14ac:dyDescent="0.2">
      <c r="A25" s="12">
        <v>24</v>
      </c>
      <c r="B25" s="3" t="str">
        <f ca="1">IFERROR(__xludf.DUMMYFUNCTION("""COMPUTED_VALUE"""),"Amirotun Sholikhah")</f>
        <v>Amirotun Sholikhah</v>
      </c>
      <c r="C25" s="3" t="str">
        <f ca="1">IFERROR(__xludf.DUMMYFUNCTION("""COMPUTED_VALUE"""),"Dra. Hj. Amirotun Sholikhah, M.Si.")</f>
        <v>Dra. Hj. Amirotun Sholikhah, M.Si.</v>
      </c>
      <c r="D25" s="3" t="str">
        <f ca="1">IFERROR(__xludf.DUMMYFUNCTION("""COMPUTED_VALUE"""),"Dra. Hj. Amirotun Sholikhah, M.Si.")</f>
        <v>Dra. Hj. Amirotun Sholikhah, M.Si.</v>
      </c>
      <c r="E25" s="3" t="str">
        <f ca="1">IFERROR(__xludf.DUMMYFUNCTION("""COMPUTED_VALUE"""),"196510061993032002")</f>
        <v>196510061993032002</v>
      </c>
      <c r="F25" s="3" t="str">
        <f ca="1">IFERROR(__xludf.DUMMYFUNCTION("""COMPUTED_VALUE"""),"19651006 199303 2 002")</f>
        <v>19651006 199303 2 002</v>
      </c>
      <c r="G25" s="3">
        <f ca="1">IFERROR(__xludf.DUMMYFUNCTION("""COMPUTED_VALUE"""),2006106501)</f>
        <v>2006106501</v>
      </c>
      <c r="H25" s="6" t="str">
        <f ca="1">IFERROR(__xludf.DUMMYFUNCTION("""COMPUTED_VALUE"""),"3338743644230073")</f>
        <v>3338743644230073</v>
      </c>
      <c r="I25" s="3" t="str">
        <f ca="1">IFERROR(__xludf.DUMMYFUNCTION("""COMPUTED_VALUE"""),"PNS")</f>
        <v>PNS</v>
      </c>
      <c r="J25" s="3" t="str">
        <f ca="1">IFERROR(__xludf.DUMMYFUNCTION("""COMPUTED_VALUE"""),"Dosen PNS")</f>
        <v>Dosen PNS</v>
      </c>
      <c r="K25" s="5" t="str">
        <f ca="1">IFERROR(__xludf.DUMMYFUNCTION("""COMPUTED_VALUE"""),"L")</f>
        <v>L</v>
      </c>
      <c r="L25" s="3" t="str">
        <f ca="1">IFERROR(__xludf.DUMMYFUNCTION("""COMPUTED_VALUE"""),"Boyolali")</f>
        <v>Boyolali</v>
      </c>
      <c r="M25" s="7">
        <f ca="1">IFERROR(__xludf.DUMMYFUNCTION("""COMPUTED_VALUE"""),24021)</f>
        <v>24021</v>
      </c>
      <c r="N25" s="4" t="str">
        <f ca="1">IFERROR(__xludf.DUMMYFUNCTION("""COMPUTED_VALUE"""),"Penata Tk.I")</f>
        <v>Penata Tk.I</v>
      </c>
      <c r="O25" s="3" t="str">
        <f ca="1">IFERROR(__xludf.DUMMYFUNCTION("""COMPUTED_VALUE"""),"III/d")</f>
        <v>III/d</v>
      </c>
      <c r="P25" s="7">
        <f ca="1">IFERROR(__xludf.DUMMYFUNCTION("""COMPUTED_VALUE"""),43739)</f>
        <v>43739</v>
      </c>
      <c r="Q25" s="3" t="str">
        <f ca="1">IFERROR(__xludf.DUMMYFUNCTION("""COMPUTED_VALUE"""),"B.II/3/025468")</f>
        <v>B.II/3/025468</v>
      </c>
      <c r="R25" s="3" t="str">
        <f ca="1">IFERROR(__xludf.DUMMYFUNCTION("""COMPUTED_VALUE"""),"Lektor")</f>
        <v>Lektor</v>
      </c>
      <c r="S25" s="3" t="str">
        <f ca="1">IFERROR(__xludf.DUMMYFUNCTION("""COMPUTED_VALUE"""),"Lektor")</f>
        <v>Lektor</v>
      </c>
      <c r="T25" s="7">
        <f ca="1">IFERROR(__xludf.DUMMYFUNCTION("""COMPUTED_VALUE"""),43525)</f>
        <v>43525</v>
      </c>
      <c r="U25" s="3" t="str">
        <f ca="1">IFERROR(__xludf.DUMMYFUNCTION("""COMPUTED_VALUE"""),"190/In.17/R/Kp.07.6/6/2019")</f>
        <v>190/In.17/R/Kp.07.6/6/2019</v>
      </c>
      <c r="V25" s="3"/>
      <c r="W25" s="3">
        <f ca="1">IFERROR(__xludf.DUMMYFUNCTION("""COMPUTED_VALUE"""),11)</f>
        <v>11</v>
      </c>
      <c r="X25" s="3"/>
      <c r="Y25" s="3" t="str">
        <f ca="1">IFERROR(__xludf.DUMMYFUNCTION("""COMPUTED_VALUE"""),"S-2")</f>
        <v>S-2</v>
      </c>
      <c r="Z25" s="3" t="str">
        <f ca="1">IFERROR(__xludf.DUMMYFUNCTION("""COMPUTED_VALUE"""),"32 Tahun 10 Bulan 27 Hari")</f>
        <v>32 Tahun 10 Bulan 27 Hari</v>
      </c>
      <c r="AA25" s="8">
        <f ca="1">IFERROR(__xludf.DUMMYFUNCTION("""COMPUTED_VALUE"""),47788)</f>
        <v>47788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4"/>
      <c r="AR25" s="3"/>
      <c r="AS25" s="4"/>
      <c r="AT25" s="3"/>
      <c r="AU25" s="3"/>
    </row>
    <row r="26" spans="1:47" x14ac:dyDescent="0.2">
      <c r="A26" s="12">
        <v>25</v>
      </c>
      <c r="B26" s="3" t="str">
        <f ca="1">IFERROR(__xludf.DUMMYFUNCTION("""COMPUTED_VALUE"""),"Anggitiyas Sekarinasih")</f>
        <v>Anggitiyas Sekarinasih</v>
      </c>
      <c r="C26" s="3" t="str">
        <f ca="1">IFERROR(__xludf.DUMMYFUNCTION("""COMPUTED_VALUE"""),"Anggitiyas Sekarinasih, M.Pd.")</f>
        <v>Anggitiyas Sekarinasih, M.Pd.</v>
      </c>
      <c r="D26" s="3" t="str">
        <f ca="1">IFERROR(__xludf.DUMMYFUNCTION("""COMPUTED_VALUE"""),"Anggitiyas Sekarinasih, M.Pd.")</f>
        <v>Anggitiyas Sekarinasih, M.Pd.</v>
      </c>
      <c r="E26" s="3" t="str">
        <f ca="1">IFERROR(__xludf.DUMMYFUNCTION("""COMPUTED_VALUE"""),"199205112018012002")</f>
        <v>199205112018012002</v>
      </c>
      <c r="F26" s="3" t="str">
        <f ca="1">IFERROR(__xludf.DUMMYFUNCTION("""COMPUTED_VALUE"""),"19920511 201801 2 002")</f>
        <v>19920511 201801 2 002</v>
      </c>
      <c r="G26" s="3">
        <f ca="1">IFERROR(__xludf.DUMMYFUNCTION("""COMPUTED_VALUE"""),2011059201)</f>
        <v>2011059201</v>
      </c>
      <c r="H26" s="6" t="str">
        <f ca="1">IFERROR(__xludf.DUMMYFUNCTION("""COMPUTED_VALUE"""),"5843770671230352")</f>
        <v>5843770671230352</v>
      </c>
      <c r="I26" s="3" t="str">
        <f ca="1">IFERROR(__xludf.DUMMYFUNCTION("""COMPUTED_VALUE"""),"PNS")</f>
        <v>PNS</v>
      </c>
      <c r="J26" s="3" t="str">
        <f ca="1">IFERROR(__xludf.DUMMYFUNCTION("""COMPUTED_VALUE"""),"Dosen PNS")</f>
        <v>Dosen PNS</v>
      </c>
      <c r="K26" s="5" t="str">
        <f ca="1">IFERROR(__xludf.DUMMYFUNCTION("""COMPUTED_VALUE"""),"P")</f>
        <v>P</v>
      </c>
      <c r="L26" s="3" t="str">
        <f ca="1">IFERROR(__xludf.DUMMYFUNCTION("""COMPUTED_VALUE"""),"Gunungkidul")</f>
        <v>Gunungkidul</v>
      </c>
      <c r="M26" s="7">
        <f ca="1">IFERROR(__xludf.DUMMYFUNCTION("""COMPUTED_VALUE"""),33735)</f>
        <v>33735</v>
      </c>
      <c r="N26" s="4" t="str">
        <f ca="1">IFERROR(__xludf.DUMMYFUNCTION("""COMPUTED_VALUE"""),"Penata Tk.I")</f>
        <v>Penata Tk.I</v>
      </c>
      <c r="O26" s="3" t="str">
        <f ca="1">IFERROR(__xludf.DUMMYFUNCTION("""COMPUTED_VALUE"""),"III/d")</f>
        <v>III/d</v>
      </c>
      <c r="P26" s="7">
        <f ca="1">IFERROR(__xludf.DUMMYFUNCTION("""COMPUTED_VALUE"""),45931)</f>
        <v>45931</v>
      </c>
      <c r="Q26" s="3" t="str">
        <f ca="1">IFERROR(__xludf.DUMMYFUNCTION("""COMPUTED_VALUE"""),"199566/B.II/KP.07.1/08/2025")</f>
        <v>199566/B.II/KP.07.1/08/2025</v>
      </c>
      <c r="R26" s="3" t="str">
        <f ca="1">IFERROR(__xludf.DUMMYFUNCTION("""COMPUTED_VALUE"""),"Lektor")</f>
        <v>Lektor</v>
      </c>
      <c r="S26" s="3" t="str">
        <f ca="1">IFERROR(__xludf.DUMMYFUNCTION("""COMPUTED_VALUE"""),"Lektor")</f>
        <v>Lektor</v>
      </c>
      <c r="T26" s="7">
        <f ca="1">IFERROR(__xludf.DUMMYFUNCTION("""COMPUTED_VALUE"""),44986)</f>
        <v>44986</v>
      </c>
      <c r="U26" s="3" t="str">
        <f ca="1">IFERROR(__xludf.DUMMYFUNCTION("""COMPUTED_VALUE"""),"480/Un.19/K.AUPK/Kp.07.6/3/2023")</f>
        <v>480/Un.19/K.AUPK/Kp.07.6/3/2023</v>
      </c>
      <c r="V26" s="7">
        <f ca="1">IFERROR(__xludf.DUMMYFUNCTION("""COMPUTED_VALUE"""),44986)</f>
        <v>44986</v>
      </c>
      <c r="W26" s="3">
        <f ca="1">IFERROR(__xludf.DUMMYFUNCTION("""COMPUTED_VALUE"""),11)</f>
        <v>11</v>
      </c>
      <c r="X26" s="3"/>
      <c r="Y26" s="3" t="str">
        <f ca="1">IFERROR(__xludf.DUMMYFUNCTION("""COMPUTED_VALUE"""),"S-2")</f>
        <v>S-2</v>
      </c>
      <c r="Z26" s="3" t="str">
        <f ca="1">IFERROR(__xludf.DUMMYFUNCTION("""COMPUTED_VALUE"""),"8 Tahun 0 Bulan 27 Hari")</f>
        <v>8 Tahun 0 Bulan 27 Hari</v>
      </c>
      <c r="AA26" s="8">
        <f ca="1">IFERROR(__xludf.DUMMYFUNCTION("""COMPUTED_VALUE"""),57497)</f>
        <v>57497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4"/>
      <c r="AR26" s="3"/>
      <c r="AS26" s="4"/>
      <c r="AT26" s="3"/>
      <c r="AU26" s="3"/>
    </row>
    <row r="27" spans="1:47" x14ac:dyDescent="0.2">
      <c r="A27" s="12">
        <v>26</v>
      </c>
      <c r="B27" s="3" t="str">
        <f ca="1">IFERROR(__xludf.DUMMYFUNCTION("""COMPUTED_VALUE"""),"Ansori")</f>
        <v>Ansori</v>
      </c>
      <c r="C27" s="3" t="str">
        <f ca="1">IFERROR(__xludf.DUMMYFUNCTION("""COMPUTED_VALUE"""),"Prof. Dr. H. Ansori, M.Ag.")</f>
        <v>Prof. Dr. H. Ansori, M.Ag.</v>
      </c>
      <c r="D27" s="3" t="str">
        <f ca="1">IFERROR(__xludf.DUMMYFUNCTION("""COMPUTED_VALUE"""),"Prof. Dr. H. Ansori, M.Ag.")</f>
        <v>Prof. Dr. H. Ansori, M.Ag.</v>
      </c>
      <c r="E27" s="3" t="str">
        <f ca="1">IFERROR(__xludf.DUMMYFUNCTION("""COMPUTED_VALUE"""),"196504071992031004")</f>
        <v>196504071992031004</v>
      </c>
      <c r="F27" s="3" t="str">
        <f ca="1">IFERROR(__xludf.DUMMYFUNCTION("""COMPUTED_VALUE"""),"19650407 199203 1 004")</f>
        <v>19650407 199203 1 004</v>
      </c>
      <c r="G27" s="3">
        <f ca="1">IFERROR(__xludf.DUMMYFUNCTION("""COMPUTED_VALUE"""),2007046501)</f>
        <v>2007046501</v>
      </c>
      <c r="H27" s="6" t="str">
        <f ca="1">IFERROR(__xludf.DUMMYFUNCTION("""COMPUTED_VALUE"""),"3739743644131102")</f>
        <v>3739743644131102</v>
      </c>
      <c r="I27" s="3" t="str">
        <f ca="1">IFERROR(__xludf.DUMMYFUNCTION("""COMPUTED_VALUE"""),"PNS")</f>
        <v>PNS</v>
      </c>
      <c r="J27" s="3" t="str">
        <f ca="1">IFERROR(__xludf.DUMMYFUNCTION("""COMPUTED_VALUE"""),"Dosen PNS")</f>
        <v>Dosen PNS</v>
      </c>
      <c r="K27" s="5" t="str">
        <f ca="1">IFERROR(__xludf.DUMMYFUNCTION("""COMPUTED_VALUE"""),"L")</f>
        <v>L</v>
      </c>
      <c r="L27" s="3" t="str">
        <f ca="1">IFERROR(__xludf.DUMMYFUNCTION("""COMPUTED_VALUE"""),"Banyuwangi")</f>
        <v>Banyuwangi</v>
      </c>
      <c r="M27" s="7">
        <f ca="1">IFERROR(__xludf.DUMMYFUNCTION("""COMPUTED_VALUE"""),23839)</f>
        <v>23839</v>
      </c>
      <c r="N27" s="4" t="str">
        <f ca="1">IFERROR(__xludf.DUMMYFUNCTION("""COMPUTED_VALUE"""),"Pembina Utama Madya")</f>
        <v>Pembina Utama Madya</v>
      </c>
      <c r="O27" s="3" t="str">
        <f ca="1">IFERROR(__xludf.DUMMYFUNCTION("""COMPUTED_VALUE"""),"IV/d")</f>
        <v>IV/d</v>
      </c>
      <c r="P27" s="7">
        <f ca="1">IFERROR(__xludf.DUMMYFUNCTION("""COMPUTED_VALUE"""),45931)</f>
        <v>45931</v>
      </c>
      <c r="Q27" s="3" t="str">
        <f ca="1">IFERROR(__xludf.DUMMYFUNCTION("""COMPUTED_VALUE"""),"00517/KEP/AA/15001/25")</f>
        <v>00517/KEP/AA/15001/25</v>
      </c>
      <c r="R27" s="3" t="str">
        <f ca="1">IFERROR(__xludf.DUMMYFUNCTION("""COMPUTED_VALUE"""),"Guru Besar")</f>
        <v>Guru Besar</v>
      </c>
      <c r="S27" s="3" t="str">
        <f ca="1">IFERROR(__xludf.DUMMYFUNCTION("""COMPUTED_VALUE"""),"Guru Besar")</f>
        <v>Guru Besar</v>
      </c>
      <c r="T27" s="7">
        <f ca="1">IFERROR(__xludf.DUMMYFUNCTION("""COMPUTED_VALUE"""),44927)</f>
        <v>44927</v>
      </c>
      <c r="U27" s="3" t="str">
        <f ca="1">IFERROR(__xludf.DUMMYFUNCTION("""COMPUTED_VALUE"""),"005224/B.II/3/2023")</f>
        <v>005224/B.II/3/2023</v>
      </c>
      <c r="V27" s="7">
        <f ca="1">IFERROR(__xludf.DUMMYFUNCTION("""COMPUTED_VALUE"""),44986)</f>
        <v>44986</v>
      </c>
      <c r="W27" s="3">
        <f ca="1">IFERROR(__xludf.DUMMYFUNCTION("""COMPUTED_VALUE"""),15)</f>
        <v>15</v>
      </c>
      <c r="X27" s="7" t="str">
        <f ca="1">IFERROR(__xludf.DUMMYFUNCTION("""COMPUTED_VALUE"""),"Ketua Lembaga Penelitian dan Pengabdian pada Masyarakat")</f>
        <v>Ketua Lembaga Penelitian dan Pengabdian pada Masyarakat</v>
      </c>
      <c r="Y27" s="3" t="str">
        <f ca="1">IFERROR(__xludf.DUMMYFUNCTION("""COMPUTED_VALUE"""),"S-3")</f>
        <v>S-3</v>
      </c>
      <c r="Z27" s="3" t="str">
        <f ca="1">IFERROR(__xludf.DUMMYFUNCTION("""COMPUTED_VALUE"""),"33 Tahun 10 Bulan 27 Hari")</f>
        <v>33 Tahun 10 Bulan 27 Hari</v>
      </c>
      <c r="AA27" s="8">
        <f ca="1">IFERROR(__xludf.DUMMYFUNCTION("""COMPUTED_VALUE"""),49430)</f>
        <v>49430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4"/>
      <c r="AR27" s="3"/>
      <c r="AS27" s="4"/>
      <c r="AT27" s="3"/>
      <c r="AU27" s="3"/>
    </row>
    <row r="28" spans="1:47" x14ac:dyDescent="0.2">
      <c r="A28" s="12">
        <v>27</v>
      </c>
      <c r="B28" s="3" t="str">
        <f ca="1">IFERROR(__xludf.DUMMYFUNCTION("""COMPUTED_VALUE"""),"Arini Rufaida")</f>
        <v>Arini Rufaida</v>
      </c>
      <c r="C28" s="3" t="str">
        <f ca="1">IFERROR(__xludf.DUMMYFUNCTION("""COMPUTED_VALUE"""),"Arini Rufaida, M.H.I.")</f>
        <v>Arini Rufaida, M.H.I.</v>
      </c>
      <c r="D28" s="3" t="str">
        <f ca="1">IFERROR(__xludf.DUMMYFUNCTION("""COMPUTED_VALUE"""),"Arini Rufaida, M.H.I.")</f>
        <v>Arini Rufaida, M.H.I.</v>
      </c>
      <c r="E28" s="3" t="str">
        <f ca="1">IFERROR(__xludf.DUMMYFUNCTION("""COMPUTED_VALUE"""),"198909092020122009")</f>
        <v>198909092020122009</v>
      </c>
      <c r="F28" s="3" t="str">
        <f ca="1">IFERROR(__xludf.DUMMYFUNCTION("""COMPUTED_VALUE"""),"19890909 202012 2 009")</f>
        <v>19890909 202012 2 009</v>
      </c>
      <c r="G28" s="3">
        <f ca="1">IFERROR(__xludf.DUMMYFUNCTION("""COMPUTED_VALUE"""),2009098902)</f>
        <v>2009098902</v>
      </c>
      <c r="H28" s="6" t="str">
        <f ca="1">IFERROR(__xludf.DUMMYFUNCTION("""COMPUTED_VALUE"""),"3241767668230453")</f>
        <v>3241767668230453</v>
      </c>
      <c r="I28" s="3" t="str">
        <f ca="1">IFERROR(__xludf.DUMMYFUNCTION("""COMPUTED_VALUE"""),"PNS")</f>
        <v>PNS</v>
      </c>
      <c r="J28" s="3" t="str">
        <f ca="1">IFERROR(__xludf.DUMMYFUNCTION("""COMPUTED_VALUE"""),"Dosen PNS")</f>
        <v>Dosen PNS</v>
      </c>
      <c r="K28" s="5" t="str">
        <f ca="1">IFERROR(__xludf.DUMMYFUNCTION("""COMPUTED_VALUE"""),"P")</f>
        <v>P</v>
      </c>
      <c r="L28" s="3" t="str">
        <f ca="1">IFERROR(__xludf.DUMMYFUNCTION("""COMPUTED_VALUE"""),"Banyumas")</f>
        <v>Banyumas</v>
      </c>
      <c r="M28" s="7">
        <f ca="1">IFERROR(__xludf.DUMMYFUNCTION("""COMPUTED_VALUE"""),32760)</f>
        <v>32760</v>
      </c>
      <c r="N28" s="4" t="str">
        <f ca="1">IFERROR(__xludf.DUMMYFUNCTION("""COMPUTED_VALUE"""),"Penata")</f>
        <v>Penata</v>
      </c>
      <c r="O28" s="3" t="str">
        <f ca="1">IFERROR(__xludf.DUMMYFUNCTION("""COMPUTED_VALUE"""),"III/c")</f>
        <v>III/c</v>
      </c>
      <c r="P28" s="7">
        <f ca="1">IFERROR(__xludf.DUMMYFUNCTION("""COMPUTED_VALUE"""),45689)</f>
        <v>45689</v>
      </c>
      <c r="Q28" s="3" t="str">
        <f ca="1">IFERROR(__xludf.DUMMYFUNCTION("""COMPUTED_VALUE"""),"225/Un.19/K.AUPK/KP.11.1/01/2025")</f>
        <v>225/Un.19/K.AUPK/KP.11.1/01/2025</v>
      </c>
      <c r="R28" s="3" t="str">
        <f ca="1">IFERROR(__xludf.DUMMYFUNCTION("""COMPUTED_VALUE"""),"Lektor")</f>
        <v>Lektor</v>
      </c>
      <c r="S28" s="3" t="str">
        <f ca="1">IFERROR(__xludf.DUMMYFUNCTION("""COMPUTED_VALUE"""),"Lektor")</f>
        <v>Lektor</v>
      </c>
      <c r="T28" s="7">
        <f ca="1">IFERROR(__xludf.DUMMYFUNCTION("""COMPUTED_VALUE"""),45627)</f>
        <v>45627</v>
      </c>
      <c r="U28" s="3" t="str">
        <f ca="1">IFERROR(__xludf.DUMMYFUNCTION("""COMPUTED_VALUE"""),"948/Un.19/R/KP.08.1/12/2024")</f>
        <v>948/Un.19/R/KP.08.1/12/2024</v>
      </c>
      <c r="V28" s="7">
        <f ca="1">IFERROR(__xludf.DUMMYFUNCTION("""COMPUTED_VALUE"""),45646)</f>
        <v>45646</v>
      </c>
      <c r="W28" s="3">
        <f ca="1">IFERROR(__xludf.DUMMYFUNCTION("""COMPUTED_VALUE"""),11)</f>
        <v>11</v>
      </c>
      <c r="X28" s="7" t="str">
        <f ca="1">IFERROR(__xludf.DUMMYFUNCTION("""COMPUTED_VALUE"""),"Koordinator Program Studi S-1 Hukum Keluarga Islam Pada Fakultas Syariah")</f>
        <v>Koordinator Program Studi S-1 Hukum Keluarga Islam Pada Fakultas Syariah</v>
      </c>
      <c r="Y28" s="3" t="str">
        <f ca="1">IFERROR(__xludf.DUMMYFUNCTION("""COMPUTED_VALUE"""),"S-2")</f>
        <v>S-2</v>
      </c>
      <c r="Z28" s="3" t="str">
        <f ca="1">IFERROR(__xludf.DUMMYFUNCTION("""COMPUTED_VALUE"""),"5 Tahun 1 Bulan 27 Hari")</f>
        <v>5 Tahun 1 Bulan 27 Hari</v>
      </c>
      <c r="AA28" s="8">
        <f ca="1">IFERROR(__xludf.DUMMYFUNCTION("""COMPUTED_VALUE"""),56523)</f>
        <v>56523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4"/>
      <c r="AR28" s="3"/>
      <c r="AS28" s="4"/>
      <c r="AT28" s="3"/>
      <c r="AU28" s="3"/>
    </row>
    <row r="29" spans="1:47" x14ac:dyDescent="0.2">
      <c r="A29" s="12">
        <v>28</v>
      </c>
      <c r="B29" s="3" t="str">
        <f ca="1">IFERROR(__xludf.DUMMYFUNCTION("""COMPUTED_VALUE"""),"Aris Saefulloh")</f>
        <v>Aris Saefulloh</v>
      </c>
      <c r="C29" s="3" t="str">
        <f ca="1">IFERROR(__xludf.DUMMYFUNCTION("""COMPUTED_VALUE"""),"Dr. Aris Saefulloh, S.Sos.I., M.A.")</f>
        <v>Dr. Aris Saefulloh, S.Sos.I., M.A.</v>
      </c>
      <c r="D29" s="3" t="str">
        <f ca="1">IFERROR(__xludf.DUMMYFUNCTION("""COMPUTED_VALUE"""),"Dr. Aris Saefulloh, S.Sos.I., M.A.")</f>
        <v>Dr. Aris Saefulloh, S.Sos.I., M.A.</v>
      </c>
      <c r="E29" s="3" t="str">
        <f ca="1">IFERROR(__xludf.DUMMYFUNCTION("""COMPUTED_VALUE"""),"197901252005011001")</f>
        <v>197901252005011001</v>
      </c>
      <c r="F29" s="3" t="str">
        <f ca="1">IFERROR(__xludf.DUMMYFUNCTION("""COMPUTED_VALUE"""),"19790125 200501 1 001")</f>
        <v>19790125 200501 1 001</v>
      </c>
      <c r="G29" s="3">
        <f ca="1">IFERROR(__xludf.DUMMYFUNCTION("""COMPUTED_VALUE"""),2025017601)</f>
        <v>2025017601</v>
      </c>
      <c r="H29" s="6" t="str">
        <f ca="1">IFERROR(__xludf.DUMMYFUNCTION("""COMPUTED_VALUE"""),"1457757658130142")</f>
        <v>1457757658130142</v>
      </c>
      <c r="I29" s="3" t="str">
        <f ca="1">IFERROR(__xludf.DUMMYFUNCTION("""COMPUTED_VALUE"""),"PNS")</f>
        <v>PNS</v>
      </c>
      <c r="J29" s="3" t="str">
        <f ca="1">IFERROR(__xludf.DUMMYFUNCTION("""COMPUTED_VALUE"""),"Dosen PNS")</f>
        <v>Dosen PNS</v>
      </c>
      <c r="K29" s="5" t="str">
        <f ca="1">IFERROR(__xludf.DUMMYFUNCTION("""COMPUTED_VALUE"""),"L")</f>
        <v>L</v>
      </c>
      <c r="L29" s="3" t="str">
        <f ca="1">IFERROR(__xludf.DUMMYFUNCTION("""COMPUTED_VALUE"""),"Purwokerto")</f>
        <v>Purwokerto</v>
      </c>
      <c r="M29" s="7">
        <f ca="1">IFERROR(__xludf.DUMMYFUNCTION("""COMPUTED_VALUE"""),28880)</f>
        <v>28880</v>
      </c>
      <c r="N29" s="4" t="str">
        <f ca="1">IFERROR(__xludf.DUMMYFUNCTION("""COMPUTED_VALUE"""),"Pembina")</f>
        <v>Pembina</v>
      </c>
      <c r="O29" s="3" t="str">
        <f ca="1">IFERROR(__xludf.DUMMYFUNCTION("""COMPUTED_VALUE"""),"IV/a")</f>
        <v>IV/a</v>
      </c>
      <c r="P29" s="7">
        <f ca="1">IFERROR(__xludf.DUMMYFUNCTION("""COMPUTED_VALUE"""),45992)</f>
        <v>45992</v>
      </c>
      <c r="Q29" s="3" t="str">
        <f ca="1">IFERROR(__xludf.DUMMYFUNCTION("""COMPUTED_VALUE"""),"213729/B.II/KP.07.1/11/2025")</f>
        <v>213729/B.II/KP.07.1/11/2025</v>
      </c>
      <c r="R29" s="3" t="str">
        <f ca="1">IFERROR(__xludf.DUMMYFUNCTION("""COMPUTED_VALUE"""),"Lektor Kepala")</f>
        <v>Lektor Kepala</v>
      </c>
      <c r="S29" s="3" t="str">
        <f ca="1">IFERROR(__xludf.DUMMYFUNCTION("""COMPUTED_VALUE"""),"Lektor Kepala")</f>
        <v>Lektor Kepala</v>
      </c>
      <c r="T29" s="7">
        <f ca="1">IFERROR(__xludf.DUMMYFUNCTION("""COMPUTED_VALUE"""),45962)</f>
        <v>45962</v>
      </c>
      <c r="U29" s="3" t="str">
        <f ca="1">IFERROR(__xludf.DUMMYFUNCTION("""COMPUTED_VALUE"""),"209511/B.II/KP.07.6/10/2025")</f>
        <v>209511/B.II/KP.07.6/10/2025</v>
      </c>
      <c r="V29" s="7">
        <f ca="1">IFERROR(__xludf.DUMMYFUNCTION("""COMPUTED_VALUE"""),45943)</f>
        <v>45943</v>
      </c>
      <c r="W29" s="3">
        <f ca="1">IFERROR(__xludf.DUMMYFUNCTION("""COMPUTED_VALUE"""),13)</f>
        <v>13</v>
      </c>
      <c r="X29" s="7" t="str">
        <f ca="1">IFERROR(__xludf.DUMMYFUNCTION("""COMPUTED_VALUE"""),"Kepala Pusat Pengembangan Mutu Akademik Pada Lembaga Penjaminan Mutu")</f>
        <v>Kepala Pusat Pengembangan Mutu Akademik Pada Lembaga Penjaminan Mutu</v>
      </c>
      <c r="Y29" s="3" t="str">
        <f ca="1">IFERROR(__xludf.DUMMYFUNCTION("""COMPUTED_VALUE"""),"S-3")</f>
        <v>S-3</v>
      </c>
      <c r="Z29" s="3" t="str">
        <f ca="1">IFERROR(__xludf.DUMMYFUNCTION("""COMPUTED_VALUE"""),"21 Tahun 0 Bulan 27 Hari")</f>
        <v>21 Tahun 0 Bulan 27 Hari</v>
      </c>
      <c r="AA29" s="8">
        <f ca="1">IFERROR(__xludf.DUMMYFUNCTION("""COMPUTED_VALUE"""),52628)</f>
        <v>52628</v>
      </c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4"/>
      <c r="AR29" s="3"/>
      <c r="AS29" s="4"/>
      <c r="AT29" s="3"/>
      <c r="AU29" s="3"/>
    </row>
    <row r="30" spans="1:47" x14ac:dyDescent="0.2">
      <c r="A30" s="12">
        <v>29</v>
      </c>
      <c r="B30" s="3" t="str">
        <f ca="1">IFERROR(__xludf.DUMMYFUNCTION("""COMPUTED_VALUE"""),"Arsam")</f>
        <v>Arsam</v>
      </c>
      <c r="C30" s="3" t="str">
        <f ca="1">IFERROR(__xludf.DUMMYFUNCTION("""COMPUTED_VALUE"""),"Arsam, S.Sos.I., M.S.I.")</f>
        <v>Arsam, S.Sos.I., M.S.I.</v>
      </c>
      <c r="D30" s="3" t="str">
        <f ca="1">IFERROR(__xludf.DUMMYFUNCTION("""COMPUTED_VALUE"""),"Arsam, S.Sos.I., M.S.I.")</f>
        <v>Arsam, S.Sos.I., M.S.I.</v>
      </c>
      <c r="E30" s="3" t="str">
        <f ca="1">IFERROR(__xludf.DUMMYFUNCTION("""COMPUTED_VALUE"""),"197806122009011011")</f>
        <v>197806122009011011</v>
      </c>
      <c r="F30" s="3" t="str">
        <f ca="1">IFERROR(__xludf.DUMMYFUNCTION("""COMPUTED_VALUE"""),"19780612 200901 1 011")</f>
        <v>19780612 200901 1 011</v>
      </c>
      <c r="G30" s="3">
        <f ca="1">IFERROR(__xludf.DUMMYFUNCTION("""COMPUTED_VALUE"""),2012067801)</f>
        <v>2012067801</v>
      </c>
      <c r="H30" s="6" t="str">
        <f ca="1">IFERROR(__xludf.DUMMYFUNCTION("""COMPUTED_VALUE"""),"3944756657130202")</f>
        <v>3944756657130202</v>
      </c>
      <c r="I30" s="3" t="str">
        <f ca="1">IFERROR(__xludf.DUMMYFUNCTION("""COMPUTED_VALUE"""),"PNS")</f>
        <v>PNS</v>
      </c>
      <c r="J30" s="3" t="str">
        <f ca="1">IFERROR(__xludf.DUMMYFUNCTION("""COMPUTED_VALUE"""),"Dosen PNS")</f>
        <v>Dosen PNS</v>
      </c>
      <c r="K30" s="5" t="str">
        <f ca="1">IFERROR(__xludf.DUMMYFUNCTION("""COMPUTED_VALUE"""),"L")</f>
        <v>L</v>
      </c>
      <c r="L30" s="3" t="str">
        <f ca="1">IFERROR(__xludf.DUMMYFUNCTION("""COMPUTED_VALUE"""),"Semarang")</f>
        <v>Semarang</v>
      </c>
      <c r="M30" s="7">
        <f ca="1">IFERROR(__xludf.DUMMYFUNCTION("""COMPUTED_VALUE"""),28653)</f>
        <v>28653</v>
      </c>
      <c r="N30" s="4" t="str">
        <f ca="1">IFERROR(__xludf.DUMMYFUNCTION("""COMPUTED_VALUE"""),"Penata Tk.I")</f>
        <v>Penata Tk.I</v>
      </c>
      <c r="O30" s="3" t="str">
        <f ca="1">IFERROR(__xludf.DUMMYFUNCTION("""COMPUTED_VALUE"""),"III/d")</f>
        <v>III/d</v>
      </c>
      <c r="P30" s="7">
        <f ca="1">IFERROR(__xludf.DUMMYFUNCTION("""COMPUTED_VALUE"""),42826)</f>
        <v>42826</v>
      </c>
      <c r="Q30" s="3" t="str">
        <f ca="1">IFERROR(__xludf.DUMMYFUNCTION("""COMPUTED_VALUE"""),"B.II/3/09727")</f>
        <v>B.II/3/09727</v>
      </c>
      <c r="R30" s="3" t="str">
        <f ca="1">IFERROR(__xludf.DUMMYFUNCTION("""COMPUTED_VALUE"""),"Lektor")</f>
        <v>Lektor</v>
      </c>
      <c r="S30" s="3" t="str">
        <f ca="1">IFERROR(__xludf.DUMMYFUNCTION("""COMPUTED_VALUE"""),"Lektor")</f>
        <v>Lektor</v>
      </c>
      <c r="T30" s="7">
        <f ca="1">IFERROR(__xludf.DUMMYFUNCTION("""COMPUTED_VALUE"""),42767)</f>
        <v>42767</v>
      </c>
      <c r="U30" s="3" t="str">
        <f ca="1">IFERROR(__xludf.DUMMYFUNCTION("""COMPUTED_VALUE"""),"103/In.17/R/Kp.07.6/2/2017")</f>
        <v>103/In.17/R/Kp.07.6/2/2017</v>
      </c>
      <c r="V30" s="7">
        <f ca="1">IFERROR(__xludf.DUMMYFUNCTION("""COMPUTED_VALUE"""),42767)</f>
        <v>42767</v>
      </c>
      <c r="W30" s="3">
        <f ca="1">IFERROR(__xludf.DUMMYFUNCTION("""COMPUTED_VALUE"""),11)</f>
        <v>11</v>
      </c>
      <c r="X30" s="7" t="str">
        <f ca="1">IFERROR(__xludf.DUMMYFUNCTION("""COMPUTED_VALUE"""),"Sekretaris Jurusan Komunikasi Islam Pada Fakultas Dakwah")</f>
        <v>Sekretaris Jurusan Komunikasi Islam Pada Fakultas Dakwah</v>
      </c>
      <c r="Y30" s="3" t="str">
        <f ca="1">IFERROR(__xludf.DUMMYFUNCTION("""COMPUTED_VALUE"""),"S-2")</f>
        <v>S-2</v>
      </c>
      <c r="Z30" s="3" t="str">
        <f ca="1">IFERROR(__xludf.DUMMYFUNCTION("""COMPUTED_VALUE"""),"17 Tahun 0 Bulan 27 Hari")</f>
        <v>17 Tahun 0 Bulan 27 Hari</v>
      </c>
      <c r="AA30" s="8">
        <f ca="1">IFERROR(__xludf.DUMMYFUNCTION("""COMPUTED_VALUE"""),52413)</f>
        <v>52413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4"/>
      <c r="AR30" s="3"/>
      <c r="AS30" s="4"/>
      <c r="AT30" s="3"/>
      <c r="AU30" s="3"/>
    </row>
    <row r="31" spans="1:47" x14ac:dyDescent="0.2">
      <c r="A31" s="12">
        <v>30</v>
      </c>
      <c r="B31" s="3" t="str">
        <f ca="1">IFERROR(__xludf.DUMMYFUNCTION("""COMPUTED_VALUE"""),"Asdlori")</f>
        <v>Asdlori</v>
      </c>
      <c r="C31" s="3" t="str">
        <f ca="1">IFERROR(__xludf.DUMMYFUNCTION("""COMPUTED_VALUE"""),"Prof. Dr. H. Asdlori, M.Pd.I.")</f>
        <v>Prof. Dr. H. Asdlori, M.Pd.I.</v>
      </c>
      <c r="D31" s="3" t="str">
        <f ca="1">IFERROR(__xludf.DUMMYFUNCTION("""COMPUTED_VALUE"""),"Prof. Dr. H. Asdlori, M.Pd.I.")</f>
        <v>Prof. Dr. H. Asdlori, M.Pd.I.</v>
      </c>
      <c r="E31" s="3" t="str">
        <f ca="1">IFERROR(__xludf.DUMMYFUNCTION("""COMPUTED_VALUE"""),"196303101991031003")</f>
        <v>196303101991031003</v>
      </c>
      <c r="F31" s="3" t="str">
        <f ca="1">IFERROR(__xludf.DUMMYFUNCTION("""COMPUTED_VALUE"""),"19630310 199103 1 003")</f>
        <v>19630310 199103 1 003</v>
      </c>
      <c r="G31" s="3">
        <f ca="1">IFERROR(__xludf.DUMMYFUNCTION("""COMPUTED_VALUE"""),2013036301)</f>
        <v>2013036301</v>
      </c>
      <c r="H31" s="6" t="str">
        <f ca="1">IFERROR(__xludf.DUMMYFUNCTION("""COMPUTED_VALUE"""),"9642741642130122")</f>
        <v>9642741642130122</v>
      </c>
      <c r="I31" s="3" t="str">
        <f ca="1">IFERROR(__xludf.DUMMYFUNCTION("""COMPUTED_VALUE"""),"PNS")</f>
        <v>PNS</v>
      </c>
      <c r="J31" s="3" t="str">
        <f ca="1">IFERROR(__xludf.DUMMYFUNCTION("""COMPUTED_VALUE"""),"Dosen PNS")</f>
        <v>Dosen PNS</v>
      </c>
      <c r="K31" s="5" t="str">
        <f ca="1">IFERROR(__xludf.DUMMYFUNCTION("""COMPUTED_VALUE"""),"L")</f>
        <v>L</v>
      </c>
      <c r="L31" s="3" t="str">
        <f ca="1">IFERROR(__xludf.DUMMYFUNCTION("""COMPUTED_VALUE"""),"Rembang")</f>
        <v>Rembang</v>
      </c>
      <c r="M31" s="7">
        <f ca="1">IFERROR(__xludf.DUMMYFUNCTION("""COMPUTED_VALUE"""),23080)</f>
        <v>23080</v>
      </c>
      <c r="N31" s="4" t="str">
        <f ca="1">IFERROR(__xludf.DUMMYFUNCTION("""COMPUTED_VALUE"""),"Pembina Tk.I")</f>
        <v>Pembina Tk.I</v>
      </c>
      <c r="O31" s="3" t="str">
        <f ca="1">IFERROR(__xludf.DUMMYFUNCTION("""COMPUTED_VALUE"""),"IV/b")</f>
        <v>IV/b</v>
      </c>
      <c r="P31" s="7">
        <f ca="1">IFERROR(__xludf.DUMMYFUNCTION("""COMPUTED_VALUE"""),45444)</f>
        <v>45444</v>
      </c>
      <c r="Q31" s="3" t="str">
        <f ca="1">IFERROR(__xludf.DUMMYFUNCTION("""COMPUTED_VALUE"""),"023873/B.II/3/2024")</f>
        <v>023873/B.II/3/2024</v>
      </c>
      <c r="R31" s="3" t="str">
        <f ca="1">IFERROR(__xludf.DUMMYFUNCTION("""COMPUTED_VALUE"""),"Guru Besar")</f>
        <v>Guru Besar</v>
      </c>
      <c r="S31" s="3" t="str">
        <f ca="1">IFERROR(__xludf.DUMMYFUNCTION("""COMPUTED_VALUE"""),"Guru Besar")</f>
        <v>Guru Besar</v>
      </c>
      <c r="T31" s="7">
        <f ca="1">IFERROR(__xludf.DUMMYFUNCTION("""COMPUTED_VALUE"""),45200)</f>
        <v>45200</v>
      </c>
      <c r="U31" s="3" t="str">
        <f ca="1">IFERROR(__xludf.DUMMYFUNCTION("""COMPUTED_VALUE"""),"123752/B.II/3/2023")</f>
        <v>123752/B.II/3/2023</v>
      </c>
      <c r="V31" s="7">
        <f ca="1">IFERROR(__xludf.DUMMYFUNCTION("""COMPUTED_VALUE"""),45281)</f>
        <v>45281</v>
      </c>
      <c r="W31" s="3">
        <f ca="1">IFERROR(__xludf.DUMMYFUNCTION("""COMPUTED_VALUE"""),15)</f>
        <v>15</v>
      </c>
      <c r="X31" s="7" t="str">
        <f ca="1">IFERROR(__xludf.DUMMYFUNCTION("""COMPUTED_VALUE"""),"Anggota Senat")</f>
        <v>Anggota Senat</v>
      </c>
      <c r="Y31" s="3" t="str">
        <f ca="1">IFERROR(__xludf.DUMMYFUNCTION("""COMPUTED_VALUE"""),"S-3")</f>
        <v>S-3</v>
      </c>
      <c r="Z31" s="3" t="str">
        <f ca="1">IFERROR(__xludf.DUMMYFUNCTION("""COMPUTED_VALUE"""),"34 Tahun 10 Bulan 27 Hari")</f>
        <v>34 Tahun 10 Bulan 27 Hari</v>
      </c>
      <c r="AA31" s="8">
        <f ca="1">IFERROR(__xludf.DUMMYFUNCTION("""COMPUTED_VALUE"""),48670)</f>
        <v>48670</v>
      </c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4"/>
      <c r="AR31" s="3"/>
      <c r="AS31" s="4"/>
      <c r="AT31" s="3"/>
      <c r="AU31" s="3"/>
    </row>
    <row r="32" spans="1:47" x14ac:dyDescent="0.2">
      <c r="A32" s="12">
        <v>31</v>
      </c>
      <c r="B32" s="3" t="str">
        <f ca="1">IFERROR(__xludf.DUMMYFUNCTION("""COMPUTED_VALUE"""),"Asef Umar Fakhrudin")</f>
        <v>Asef Umar Fakhrudin</v>
      </c>
      <c r="C32" s="3" t="str">
        <f ca="1">IFERROR(__xludf.DUMMYFUNCTION("""COMPUTED_VALUE"""),"Dr. Asef Umar Fakhrudin, M.Pd.I.")</f>
        <v>Dr. Asef Umar Fakhrudin, M.Pd.I.</v>
      </c>
      <c r="D32" s="3" t="str">
        <f ca="1">IFERROR(__xludf.DUMMYFUNCTION("""COMPUTED_VALUE"""),"Dr. Asef Umar Fakhrudin, M.Pd.I.")</f>
        <v>Dr. Asef Umar Fakhrudin, M.Pd.I.</v>
      </c>
      <c r="E32" s="3" t="str">
        <f ca="1">IFERROR(__xludf.DUMMYFUNCTION("""COMPUTED_VALUE"""),"198304232018011001")</f>
        <v>198304232018011001</v>
      </c>
      <c r="F32" s="3" t="str">
        <f ca="1">IFERROR(__xludf.DUMMYFUNCTION("""COMPUTED_VALUE"""),"19830423 201801 1 001")</f>
        <v>19830423 201801 1 001</v>
      </c>
      <c r="G32" s="3" t="str">
        <f ca="1">IFERROR(__xludf.DUMMYFUNCTION("""COMPUTED_VALUE"""),"0623048302")</f>
        <v>0623048302</v>
      </c>
      <c r="H32" s="6" t="str">
        <f ca="1">IFERROR(__xludf.DUMMYFUNCTION("""COMPUTED_VALUE"""),"0755761662130232")</f>
        <v>0755761662130232</v>
      </c>
      <c r="I32" s="3" t="str">
        <f ca="1">IFERROR(__xludf.DUMMYFUNCTION("""COMPUTED_VALUE"""),"PNS")</f>
        <v>PNS</v>
      </c>
      <c r="J32" s="3" t="str">
        <f ca="1">IFERROR(__xludf.DUMMYFUNCTION("""COMPUTED_VALUE"""),"Dosen PNS")</f>
        <v>Dosen PNS</v>
      </c>
      <c r="K32" s="5" t="str">
        <f ca="1">IFERROR(__xludf.DUMMYFUNCTION("""COMPUTED_VALUE"""),"L")</f>
        <v>L</v>
      </c>
      <c r="L32" s="3" t="str">
        <f ca="1">IFERROR(__xludf.DUMMYFUNCTION("""COMPUTED_VALUE"""),"Lamongan")</f>
        <v>Lamongan</v>
      </c>
      <c r="M32" s="7">
        <f ca="1">IFERROR(__xludf.DUMMYFUNCTION("""COMPUTED_VALUE"""),30429)</f>
        <v>30429</v>
      </c>
      <c r="N32" s="4" t="str">
        <f ca="1">IFERROR(__xludf.DUMMYFUNCTION("""COMPUTED_VALUE"""),"Penata")</f>
        <v>Penata</v>
      </c>
      <c r="O32" s="3" t="str">
        <f ca="1">IFERROR(__xludf.DUMMYFUNCTION("""COMPUTED_VALUE"""),"III/c")</f>
        <v>III/c</v>
      </c>
      <c r="P32" s="7">
        <f ca="1">IFERROR(__xludf.DUMMYFUNCTION("""COMPUTED_VALUE"""),45200)</f>
        <v>45200</v>
      </c>
      <c r="Q32" s="3" t="str">
        <f ca="1">IFERROR(__xludf.DUMMYFUNCTION("""COMPUTED_VALUE"""),"1110/Un.19/K.AUPK/KP.07.1/08/2023")</f>
        <v>1110/Un.19/K.AUPK/KP.07.1/08/2023</v>
      </c>
      <c r="R32" s="3" t="str">
        <f ca="1">IFERROR(__xludf.DUMMYFUNCTION("""COMPUTED_VALUE"""),"Lektor")</f>
        <v>Lektor</v>
      </c>
      <c r="S32" s="3" t="str">
        <f ca="1">IFERROR(__xludf.DUMMYFUNCTION("""COMPUTED_VALUE"""),"Lektor")</f>
        <v>Lektor</v>
      </c>
      <c r="T32" s="7">
        <f ca="1">IFERROR(__xludf.DUMMYFUNCTION("""COMPUTED_VALUE"""),45962)</f>
        <v>45962</v>
      </c>
      <c r="U32" s="3" t="str">
        <f ca="1">IFERROR(__xludf.DUMMYFUNCTION("""COMPUTED_VALUE"""),"208792/B.II/KP.07.6/10/2025")</f>
        <v>208792/B.II/KP.07.6/10/2025</v>
      </c>
      <c r="V32" s="7">
        <f ca="1">IFERROR(__xludf.DUMMYFUNCTION("""COMPUTED_VALUE"""),45936)</f>
        <v>45936</v>
      </c>
      <c r="W32" s="3">
        <f ca="1">IFERROR(__xludf.DUMMYFUNCTION("""COMPUTED_VALUE"""),11)</f>
        <v>11</v>
      </c>
      <c r="X32" s="7" t="str">
        <f ca="1">IFERROR(__xludf.DUMMYFUNCTION("""COMPUTED_VALUE"""),"Koordinator Program Studi S-1 Pendidikan Islam Anak Usia Dini Pada Fakultas Tarbiyah dan Ilmu Keguruan")</f>
        <v>Koordinator Program Studi S-1 Pendidikan Islam Anak Usia Dini Pada Fakultas Tarbiyah dan Ilmu Keguruan</v>
      </c>
      <c r="Y32" s="3" t="str">
        <f ca="1">IFERROR(__xludf.DUMMYFUNCTION("""COMPUTED_VALUE"""),"S-3")</f>
        <v>S-3</v>
      </c>
      <c r="Z32" s="3" t="str">
        <f ca="1">IFERROR(__xludf.DUMMYFUNCTION("""COMPUTED_VALUE"""),"8 Tahun 0 Bulan 27 Hari")</f>
        <v>8 Tahun 0 Bulan 27 Hari</v>
      </c>
      <c r="AA32" s="8">
        <f ca="1">IFERROR(__xludf.DUMMYFUNCTION("""COMPUTED_VALUE"""),54179)</f>
        <v>54179</v>
      </c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4"/>
      <c r="AR32" s="3"/>
      <c r="AS32" s="4"/>
      <c r="AT32" s="3"/>
      <c r="AU32" s="3"/>
    </row>
    <row r="33" spans="1:47" x14ac:dyDescent="0.2">
      <c r="A33" s="12">
        <v>32</v>
      </c>
      <c r="B33" s="3" t="str">
        <f ca="1">IFERROR(__xludf.DUMMYFUNCTION("""COMPUTED_VALUE"""),"Asep Amaludin")</f>
        <v>Asep Amaludin</v>
      </c>
      <c r="C33" s="3" t="str">
        <f ca="1">IFERROR(__xludf.DUMMYFUNCTION("""COMPUTED_VALUE"""),"Asep Amaludin, S.Pd., M.Si.")</f>
        <v>Asep Amaludin, S.Pd., M.Si.</v>
      </c>
      <c r="D33" s="3" t="str">
        <f ca="1">IFERROR(__xludf.DUMMYFUNCTION("""COMPUTED_VALUE"""),"Asep Amaludin, S.Pd., M.Si.")</f>
        <v>Asep Amaludin, S.Pd., M.Si.</v>
      </c>
      <c r="E33" s="3" t="str">
        <f ca="1">IFERROR(__xludf.DUMMYFUNCTION("""COMPUTED_VALUE"""),"198607172019031008")</f>
        <v>198607172019031008</v>
      </c>
      <c r="F33" s="3" t="str">
        <f ca="1">IFERROR(__xludf.DUMMYFUNCTION("""COMPUTED_VALUE"""),"19860717 201903 1 008")</f>
        <v>19860717 201903 1 008</v>
      </c>
      <c r="G33" s="3">
        <f ca="1">IFERROR(__xludf.DUMMYFUNCTION("""COMPUTED_VALUE"""),2017078603)</f>
        <v>2017078603</v>
      </c>
      <c r="H33" s="6" t="str">
        <f ca="1">IFERROR(__xludf.DUMMYFUNCTION("""COMPUTED_VALUE"""),"7049764665110073")</f>
        <v>7049764665110073</v>
      </c>
      <c r="I33" s="3" t="str">
        <f ca="1">IFERROR(__xludf.DUMMYFUNCTION("""COMPUTED_VALUE"""),"PNS")</f>
        <v>PNS</v>
      </c>
      <c r="J33" s="3" t="str">
        <f ca="1">IFERROR(__xludf.DUMMYFUNCTION("""COMPUTED_VALUE"""),"Dosen PNS")</f>
        <v>Dosen PNS</v>
      </c>
      <c r="K33" s="5" t="str">
        <f ca="1">IFERROR(__xludf.DUMMYFUNCTION("""COMPUTED_VALUE"""),"L")</f>
        <v>L</v>
      </c>
      <c r="L33" s="3" t="str">
        <f ca="1">IFERROR(__xludf.DUMMYFUNCTION("""COMPUTED_VALUE"""),"Pemalang")</f>
        <v>Pemalang</v>
      </c>
      <c r="M33" s="7">
        <f ca="1">IFERROR(__xludf.DUMMYFUNCTION("""COMPUTED_VALUE"""),31610)</f>
        <v>31610</v>
      </c>
      <c r="N33" s="4" t="str">
        <f ca="1">IFERROR(__xludf.DUMMYFUNCTION("""COMPUTED_VALUE"""),"Penata Tk.I")</f>
        <v>Penata Tk.I</v>
      </c>
      <c r="O33" s="3" t="str">
        <f ca="1">IFERROR(__xludf.DUMMYFUNCTION("""COMPUTED_VALUE"""),"III/d")</f>
        <v>III/d</v>
      </c>
      <c r="P33" s="7">
        <f ca="1">IFERROR(__xludf.DUMMYFUNCTION("""COMPUTED_VALUE"""),45931)</f>
        <v>45931</v>
      </c>
      <c r="Q33" s="3" t="str">
        <f ca="1">IFERROR(__xludf.DUMMYFUNCTION("""COMPUTED_VALUE"""),"199567/B.II/KP.07.1/08/2025")</f>
        <v>199567/B.II/KP.07.1/08/2025</v>
      </c>
      <c r="R33" s="3" t="str">
        <f ca="1">IFERROR(__xludf.DUMMYFUNCTION("""COMPUTED_VALUE"""),"Lektor")</f>
        <v>Lektor</v>
      </c>
      <c r="S33" s="3" t="str">
        <f ca="1">IFERROR(__xludf.DUMMYFUNCTION("""COMPUTED_VALUE"""),"Lektor")</f>
        <v>Lektor</v>
      </c>
      <c r="T33" s="7">
        <f ca="1">IFERROR(__xludf.DUMMYFUNCTION("""COMPUTED_VALUE"""),45047)</f>
        <v>45047</v>
      </c>
      <c r="U33" s="3" t="str">
        <f ca="1">IFERROR(__xludf.DUMMYFUNCTION("""COMPUTED_VALUE"""),"683/Un.19/K.AUPK/Kp.07.6/5/2023")</f>
        <v>683/Un.19/K.AUPK/Kp.07.6/5/2023</v>
      </c>
      <c r="V33" s="7">
        <f ca="1">IFERROR(__xludf.DUMMYFUNCTION("""COMPUTED_VALUE"""),45051)</f>
        <v>45051</v>
      </c>
      <c r="W33" s="3">
        <f ca="1">IFERROR(__xludf.DUMMYFUNCTION("""COMPUTED_VALUE"""),11)</f>
        <v>11</v>
      </c>
      <c r="X33" s="7" t="str">
        <f ca="1">IFERROR(__xludf.DUMMYFUNCTION("""COMPUTED_VALUE"""),"Sekretaris pada Pusat Pengembangan Bisnis")</f>
        <v>Sekretaris pada Pusat Pengembangan Bisnis</v>
      </c>
      <c r="Y33" s="3" t="str">
        <f ca="1">IFERROR(__xludf.DUMMYFUNCTION("""COMPUTED_VALUE"""),"S-2")</f>
        <v>S-2</v>
      </c>
      <c r="Z33" s="3" t="str">
        <f ca="1">IFERROR(__xludf.DUMMYFUNCTION("""COMPUTED_VALUE"""),"6 Tahun 10 Bulan 27 Hari")</f>
        <v>6 Tahun 10 Bulan 27 Hari</v>
      </c>
      <c r="AA33" s="8">
        <f ca="1">IFERROR(__xludf.DUMMYFUNCTION("""COMPUTED_VALUE"""),55366)</f>
        <v>55366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4"/>
      <c r="AR33" s="3"/>
      <c r="AS33" s="4"/>
      <c r="AT33" s="3"/>
      <c r="AU33" s="3"/>
    </row>
    <row r="34" spans="1:47" x14ac:dyDescent="0.2">
      <c r="A34" s="12">
        <v>33</v>
      </c>
      <c r="B34" s="3" t="str">
        <f ca="1">IFERROR(__xludf.DUMMYFUNCTION("""COMPUTED_VALUE"""),"Atabik")</f>
        <v>Atabik</v>
      </c>
      <c r="C34" s="3" t="str">
        <f ca="1">IFERROR(__xludf.DUMMYFUNCTION("""COMPUTED_VALUE"""),"Dr. H. Atabik, M.Ag.")</f>
        <v>Dr. H. Atabik, M.Ag.</v>
      </c>
      <c r="D34" s="3" t="str">
        <f ca="1">IFERROR(__xludf.DUMMYFUNCTION("""COMPUTED_VALUE"""),"Dr. H. Atabik, M.Ag.")</f>
        <v>Dr. H. Atabik, M.Ag.</v>
      </c>
      <c r="E34" s="3" t="str">
        <f ca="1">IFERROR(__xludf.DUMMYFUNCTION("""COMPUTED_VALUE"""),"196512051993031004")</f>
        <v>196512051993031004</v>
      </c>
      <c r="F34" s="3" t="str">
        <f ca="1">IFERROR(__xludf.DUMMYFUNCTION("""COMPUTED_VALUE"""),"19651205 199303 1 004")</f>
        <v>19651205 199303 1 004</v>
      </c>
      <c r="G34" s="3">
        <f ca="1">IFERROR(__xludf.DUMMYFUNCTION("""COMPUTED_VALUE"""),2005126503)</f>
        <v>2005126503</v>
      </c>
      <c r="H34" s="6" t="str">
        <f ca="1">IFERROR(__xludf.DUMMYFUNCTION("""COMPUTED_VALUE"""),"2537743644130103")</f>
        <v>2537743644130103</v>
      </c>
      <c r="I34" s="3" t="str">
        <f ca="1">IFERROR(__xludf.DUMMYFUNCTION("""COMPUTED_VALUE"""),"PNS")</f>
        <v>PNS</v>
      </c>
      <c r="J34" s="3" t="str">
        <f ca="1">IFERROR(__xludf.DUMMYFUNCTION("""COMPUTED_VALUE"""),"Dosen PNS")</f>
        <v>Dosen PNS</v>
      </c>
      <c r="K34" s="5" t="str">
        <f ca="1">IFERROR(__xludf.DUMMYFUNCTION("""COMPUTED_VALUE"""),"L")</f>
        <v>L</v>
      </c>
      <c r="L34" s="3" t="str">
        <f ca="1">IFERROR(__xludf.DUMMYFUNCTION("""COMPUTED_VALUE"""),"Kebumen")</f>
        <v>Kebumen</v>
      </c>
      <c r="M34" s="7">
        <f ca="1">IFERROR(__xludf.DUMMYFUNCTION("""COMPUTED_VALUE"""),24081)</f>
        <v>24081</v>
      </c>
      <c r="N34" s="4" t="str">
        <f ca="1">IFERROR(__xludf.DUMMYFUNCTION("""COMPUTED_VALUE"""),"Pembina Tk.I")</f>
        <v>Pembina Tk.I</v>
      </c>
      <c r="O34" s="3" t="str">
        <f ca="1">IFERROR(__xludf.DUMMYFUNCTION("""COMPUTED_VALUE"""),"IV/b")</f>
        <v>IV/b</v>
      </c>
      <c r="P34" s="7">
        <f ca="1">IFERROR(__xludf.DUMMYFUNCTION("""COMPUTED_VALUE"""),45383)</f>
        <v>45383</v>
      </c>
      <c r="Q34" s="3" t="str">
        <f ca="1">IFERROR(__xludf.DUMMYFUNCTION("""COMPUTED_VALUE"""),"013158/B.II/3/2024")</f>
        <v>013158/B.II/3/2024</v>
      </c>
      <c r="R34" s="3" t="str">
        <f ca="1">IFERROR(__xludf.DUMMYFUNCTION("""COMPUTED_VALUE"""),"Lektor Kepala")</f>
        <v>Lektor Kepala</v>
      </c>
      <c r="S34" s="3" t="str">
        <f ca="1">IFERROR(__xludf.DUMMYFUNCTION("""COMPUTED_VALUE"""),"Lektor Kepala")</f>
        <v>Lektor Kepala</v>
      </c>
      <c r="T34" s="7">
        <f ca="1">IFERROR(__xludf.DUMMYFUNCTION("""COMPUTED_VALUE"""),39052)</f>
        <v>39052</v>
      </c>
      <c r="U34" s="3" t="str">
        <f ca="1">IFERROR(__xludf.DUMMYFUNCTION("""COMPUTED_VALUE"""),"B.II/3/206")</f>
        <v>B.II/3/206</v>
      </c>
      <c r="V34" s="7">
        <f ca="1">IFERROR(__xludf.DUMMYFUNCTION("""COMPUTED_VALUE"""),39052)</f>
        <v>39052</v>
      </c>
      <c r="W34" s="3">
        <f ca="1">IFERROR(__xludf.DUMMYFUNCTION("""COMPUTED_VALUE"""),13)</f>
        <v>13</v>
      </c>
      <c r="X34" s="7" t="str">
        <f ca="1">IFERROR(__xludf.DUMMYFUNCTION("""COMPUTED_VALUE"""),"Wakil Direktur pada Pascasarjana")</f>
        <v>Wakil Direktur pada Pascasarjana</v>
      </c>
      <c r="Y34" s="3" t="str">
        <f ca="1">IFERROR(__xludf.DUMMYFUNCTION("""COMPUTED_VALUE"""),"S-3")</f>
        <v>S-3</v>
      </c>
      <c r="Z34" s="3" t="str">
        <f ca="1">IFERROR(__xludf.DUMMYFUNCTION("""COMPUTED_VALUE"""),"32 Tahun 10 Bulan 27 Hari")</f>
        <v>32 Tahun 10 Bulan 27 Hari</v>
      </c>
      <c r="AA34" s="8">
        <f ca="1">IFERROR(__xludf.DUMMYFUNCTION("""COMPUTED_VALUE"""),47849)</f>
        <v>47849</v>
      </c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4"/>
      <c r="AR34" s="3"/>
      <c r="AS34" s="4"/>
      <c r="AT34" s="3"/>
      <c r="AU34" s="3"/>
    </row>
    <row r="35" spans="1:47" x14ac:dyDescent="0.2">
      <c r="A35" s="12">
        <v>34</v>
      </c>
      <c r="B35" s="3" t="str">
        <f ca="1">IFERROR(__xludf.DUMMYFUNCTION("""COMPUTED_VALUE"""),"Ayu Kholifah")</f>
        <v>Ayu Kholifah</v>
      </c>
      <c r="C35" s="3" t="str">
        <f ca="1">IFERROR(__xludf.DUMMYFUNCTION("""COMPUTED_VALUE"""),"Ayu Kholifah, S.H.I., M.H.")</f>
        <v>Ayu Kholifah, S.H.I., M.H.</v>
      </c>
      <c r="D35" s="3" t="str">
        <f ca="1">IFERROR(__xludf.DUMMYFUNCTION("""COMPUTED_VALUE"""),"Ayu Kholifah, S.H.I., M.H.")</f>
        <v>Ayu Kholifah, S.H.I., M.H.</v>
      </c>
      <c r="E35" s="3" t="str">
        <f ca="1">IFERROR(__xludf.DUMMYFUNCTION("""COMPUTED_VALUE"""),"199112242020122014")</f>
        <v>199112242020122014</v>
      </c>
      <c r="F35" s="3" t="str">
        <f ca="1">IFERROR(__xludf.DUMMYFUNCTION("""COMPUTED_VALUE"""),"‌19911224 202012 2 014")</f>
        <v>‌19911224 202012 2 014</v>
      </c>
      <c r="G35" s="3">
        <f ca="1">IFERROR(__xludf.DUMMYFUNCTION("""COMPUTED_VALUE"""),2024129103)</f>
        <v>2024129103</v>
      </c>
      <c r="H35" s="6" t="str">
        <f ca="1">IFERROR(__xludf.DUMMYFUNCTION("""COMPUTED_VALUE"""),"6556769670230273")</f>
        <v>6556769670230273</v>
      </c>
      <c r="I35" s="3" t="str">
        <f ca="1">IFERROR(__xludf.DUMMYFUNCTION("""COMPUTED_VALUE"""),"PNS")</f>
        <v>PNS</v>
      </c>
      <c r="J35" s="3" t="str">
        <f ca="1">IFERROR(__xludf.DUMMYFUNCTION("""COMPUTED_VALUE"""),"Dosen PNS")</f>
        <v>Dosen PNS</v>
      </c>
      <c r="K35" s="5" t="str">
        <f ca="1">IFERROR(__xludf.DUMMYFUNCTION("""COMPUTED_VALUE"""),"P")</f>
        <v>P</v>
      </c>
      <c r="L35" s="3" t="str">
        <f ca="1">IFERROR(__xludf.DUMMYFUNCTION("""COMPUTED_VALUE"""),"Ciamis")</f>
        <v>Ciamis</v>
      </c>
      <c r="M35" s="9">
        <f ca="1">IFERROR(__xludf.DUMMYFUNCTION("""COMPUTED_VALUE"""),33596)</f>
        <v>33596</v>
      </c>
      <c r="N35" s="4" t="str">
        <f ca="1">IFERROR(__xludf.DUMMYFUNCTION("""COMPUTED_VALUE"""),"Penata")</f>
        <v>Penata</v>
      </c>
      <c r="O35" s="3" t="str">
        <f ca="1">IFERROR(__xludf.DUMMYFUNCTION("""COMPUTED_VALUE"""),"III/c")</f>
        <v>III/c</v>
      </c>
      <c r="P35" s="7">
        <f ca="1">IFERROR(__xludf.DUMMYFUNCTION("""COMPUTED_VALUE"""),45627)</f>
        <v>45627</v>
      </c>
      <c r="Q35" s="3" t="str">
        <f ca="1">IFERROR(__xludf.DUMMYFUNCTION("""COMPUTED_VALUE"""),"906/Un.19/K.AUPK/KP.07.1/11/2024")</f>
        <v>906/Un.19/K.AUPK/KP.07.1/11/2024</v>
      </c>
      <c r="R35" s="3" t="str">
        <f ca="1">IFERROR(__xludf.DUMMYFUNCTION("""COMPUTED_VALUE"""),"Lektor")</f>
        <v>Lektor</v>
      </c>
      <c r="S35" s="3" t="str">
        <f ca="1">IFERROR(__xludf.DUMMYFUNCTION("""COMPUTED_VALUE"""),"Lektor")</f>
        <v>Lektor</v>
      </c>
      <c r="T35" s="7">
        <f ca="1">IFERROR(__xludf.DUMMYFUNCTION("""COMPUTED_VALUE"""),45566)</f>
        <v>45566</v>
      </c>
      <c r="U35" s="3" t="str">
        <f ca="1">IFERROR(__xludf.DUMMYFUNCTION("""COMPUTED_VALUE"""),"868.1 TAHUN 2024")</f>
        <v>868.1 TAHUN 2024</v>
      </c>
      <c r="V35" s="7">
        <f ca="1">IFERROR(__xludf.DUMMYFUNCTION("""COMPUTED_VALUE"""),45566)</f>
        <v>45566</v>
      </c>
      <c r="W35" s="3">
        <f ca="1">IFERROR(__xludf.DUMMYFUNCTION("""COMPUTED_VALUE"""),11)</f>
        <v>11</v>
      </c>
      <c r="X35" s="3"/>
      <c r="Y35" s="3" t="str">
        <f ca="1">IFERROR(__xludf.DUMMYFUNCTION("""COMPUTED_VALUE"""),"S-2")</f>
        <v>S-2</v>
      </c>
      <c r="Z35" s="3" t="str">
        <f ca="1">IFERROR(__xludf.DUMMYFUNCTION("""COMPUTED_VALUE"""),"5 Tahun 1 Bulan 27 Hari")</f>
        <v>5 Tahun 1 Bulan 27 Hari</v>
      </c>
      <c r="AA35" s="8">
        <f ca="1">IFERROR(__xludf.DUMMYFUNCTION("""COMPUTED_VALUE"""),57346)</f>
        <v>57346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4"/>
      <c r="AR35" s="3"/>
      <c r="AS35" s="4"/>
      <c r="AT35" s="3"/>
      <c r="AU35" s="3"/>
    </row>
    <row r="36" spans="1:47" x14ac:dyDescent="0.2">
      <c r="A36" s="12">
        <v>35</v>
      </c>
      <c r="B36" s="3" t="str">
        <f ca="1">IFERROR(__xludf.DUMMYFUNCTION("""COMPUTED_VALUE"""),"Aziz Kurniawan")</f>
        <v>Aziz Kurniawan</v>
      </c>
      <c r="C36" s="3" t="str">
        <f ca="1">IFERROR(__xludf.DUMMYFUNCTION("""COMPUTED_VALUE"""),"Aziz Kurniawan, M.Pd.")</f>
        <v>Aziz Kurniawan, M.Pd.</v>
      </c>
      <c r="D36" s="3" t="str">
        <f ca="1">IFERROR(__xludf.DUMMYFUNCTION("""COMPUTED_VALUE"""),"Aziz Kurniawan, M.Pd.")</f>
        <v>Aziz Kurniawan, M.Pd.</v>
      </c>
      <c r="E36" s="3" t="str">
        <f ca="1">IFERROR(__xludf.DUMMYFUNCTION("""COMPUTED_VALUE"""),"199110012019031013")</f>
        <v>199110012019031013</v>
      </c>
      <c r="F36" s="3" t="str">
        <f ca="1">IFERROR(__xludf.DUMMYFUNCTION("""COMPUTED_VALUE"""),"19911001 201903 1 013")</f>
        <v>19911001 201903 1 013</v>
      </c>
      <c r="G36" s="3">
        <f ca="1">IFERROR(__xludf.DUMMYFUNCTION("""COMPUTED_VALUE"""),2001109103)</f>
        <v>2001109103</v>
      </c>
      <c r="H36" s="6" t="str">
        <f ca="1">IFERROR(__xludf.DUMMYFUNCTION("""COMPUTED_VALUE"""),"3333769670130353")</f>
        <v>3333769670130353</v>
      </c>
      <c r="I36" s="3" t="str">
        <f ca="1">IFERROR(__xludf.DUMMYFUNCTION("""COMPUTED_VALUE"""),"PNS")</f>
        <v>PNS</v>
      </c>
      <c r="J36" s="3" t="str">
        <f ca="1">IFERROR(__xludf.DUMMYFUNCTION("""COMPUTED_VALUE"""),"Dosen PNS")</f>
        <v>Dosen PNS</v>
      </c>
      <c r="K36" s="5" t="str">
        <f ca="1">IFERROR(__xludf.DUMMYFUNCTION("""COMPUTED_VALUE"""),"L")</f>
        <v>L</v>
      </c>
      <c r="L36" s="3" t="str">
        <f ca="1">IFERROR(__xludf.DUMMYFUNCTION("""COMPUTED_VALUE"""),"Semarang")</f>
        <v>Semarang</v>
      </c>
      <c r="M36" s="7">
        <f ca="1">IFERROR(__xludf.DUMMYFUNCTION("""COMPUTED_VALUE"""),33512)</f>
        <v>33512</v>
      </c>
      <c r="N36" s="4" t="str">
        <f ca="1">IFERROR(__xludf.DUMMYFUNCTION("""COMPUTED_VALUE"""),"Penata Tk.I")</f>
        <v>Penata Tk.I</v>
      </c>
      <c r="O36" s="3" t="str">
        <f ca="1">IFERROR(__xludf.DUMMYFUNCTION("""COMPUTED_VALUE"""),"III/d")</f>
        <v>III/d</v>
      </c>
      <c r="P36" s="7">
        <f ca="1">IFERROR(__xludf.DUMMYFUNCTION("""COMPUTED_VALUE"""),45931)</f>
        <v>45931</v>
      </c>
      <c r="Q36" s="3" t="str">
        <f ca="1">IFERROR(__xludf.DUMMYFUNCTION("""COMPUTED_VALUE"""),"199568/B.II/KP.07.1/08/2025")</f>
        <v>199568/B.II/KP.07.1/08/2025</v>
      </c>
      <c r="R36" s="3" t="str">
        <f ca="1">IFERROR(__xludf.DUMMYFUNCTION("""COMPUTED_VALUE"""),"Lektor")</f>
        <v>Lektor</v>
      </c>
      <c r="S36" s="3" t="str">
        <f ca="1">IFERROR(__xludf.DUMMYFUNCTION("""COMPUTED_VALUE"""),"Lektor")</f>
        <v>Lektor</v>
      </c>
      <c r="T36" s="7">
        <f ca="1">IFERROR(__xludf.DUMMYFUNCTION("""COMPUTED_VALUE"""),45047)</f>
        <v>45047</v>
      </c>
      <c r="U36" s="3" t="str">
        <f ca="1">IFERROR(__xludf.DUMMYFUNCTION("""COMPUTED_VALUE"""),"1622/In.17/R/Kp.07.6/5/2021")</f>
        <v>1622/In.17/R/Kp.07.6/5/2021</v>
      </c>
      <c r="V36" s="7">
        <f ca="1">IFERROR(__xludf.DUMMYFUNCTION("""COMPUTED_VALUE"""),44317)</f>
        <v>44317</v>
      </c>
      <c r="W36" s="3">
        <f ca="1">IFERROR(__xludf.DUMMYFUNCTION("""COMPUTED_VALUE"""),11)</f>
        <v>11</v>
      </c>
      <c r="X36" s="3"/>
      <c r="Y36" s="3" t="str">
        <f ca="1">IFERROR(__xludf.DUMMYFUNCTION("""COMPUTED_VALUE"""),"S-2")</f>
        <v>S-2</v>
      </c>
      <c r="Z36" s="3" t="str">
        <f ca="1">IFERROR(__xludf.DUMMYFUNCTION("""COMPUTED_VALUE"""),"6 Tahun 10 Bulan 27 Hari")</f>
        <v>6 Tahun 10 Bulan 27 Hari</v>
      </c>
      <c r="AA36" s="8">
        <f ca="1">IFERROR(__xludf.DUMMYFUNCTION("""COMPUTED_VALUE"""),57285)</f>
        <v>57285</v>
      </c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4"/>
      <c r="AR36" s="3"/>
      <c r="AS36" s="4"/>
      <c r="AT36" s="3"/>
      <c r="AU36" s="3"/>
    </row>
    <row r="37" spans="1:47" x14ac:dyDescent="0.2">
      <c r="A37" s="12">
        <v>36</v>
      </c>
      <c r="B37" s="3" t="str">
        <f ca="1">IFERROR(__xludf.DUMMYFUNCTION("""COMPUTED_VALUE"""),"Azka Nur Diana")</f>
        <v>Azka Nur Diana</v>
      </c>
      <c r="C37" s="3" t="str">
        <f ca="1">IFERROR(__xludf.DUMMYFUNCTION("""COMPUTED_VALUE"""),"Azka Nur Diana, S.E., M.Ak.")</f>
        <v>Azka Nur Diana, S.E., M.Ak.</v>
      </c>
      <c r="D37" s="3" t="str">
        <f ca="1">IFERROR(__xludf.DUMMYFUNCTION("""COMPUTED_VALUE"""),"Azka Nur Diana, S.E., M.Ak.")</f>
        <v>Azka Nur Diana, S.E., M.Ak.</v>
      </c>
      <c r="E37" s="3" t="str">
        <f ca="1">IFERROR(__xludf.DUMMYFUNCTION("""COMPUTED_VALUE"""),"199201152020122018")</f>
        <v>199201152020122018</v>
      </c>
      <c r="F37" s="3" t="str">
        <f ca="1">IFERROR(__xludf.DUMMYFUNCTION("""COMPUTED_VALUE"""),"‌19920115 202012 2 018")</f>
        <v>‌19920115 202012 2 018</v>
      </c>
      <c r="G37" s="3">
        <f ca="1">IFERROR(__xludf.DUMMYFUNCTION("""COMPUTED_VALUE"""),2015019201)</f>
        <v>2015019201</v>
      </c>
      <c r="H37" s="6" t="str">
        <f ca="1">IFERROR(__xludf.DUMMYFUNCTION("""COMPUTED_VALUE"""),"2447770671230312")</f>
        <v>2447770671230312</v>
      </c>
      <c r="I37" s="3" t="str">
        <f ca="1">IFERROR(__xludf.DUMMYFUNCTION("""COMPUTED_VALUE"""),"PNS")</f>
        <v>PNS</v>
      </c>
      <c r="J37" s="3" t="str">
        <f ca="1">IFERROR(__xludf.DUMMYFUNCTION("""COMPUTED_VALUE"""),"Dosen PNS")</f>
        <v>Dosen PNS</v>
      </c>
      <c r="K37" s="5" t="str">
        <f ca="1">IFERROR(__xludf.DUMMYFUNCTION("""COMPUTED_VALUE"""),"P")</f>
        <v>P</v>
      </c>
      <c r="L37" s="3" t="str">
        <f ca="1">IFERROR(__xludf.DUMMYFUNCTION("""COMPUTED_VALUE"""),"Banyumas")</f>
        <v>Banyumas</v>
      </c>
      <c r="M37" s="7">
        <f ca="1">IFERROR(__xludf.DUMMYFUNCTION("""COMPUTED_VALUE"""),33618)</f>
        <v>33618</v>
      </c>
      <c r="N37" s="4" t="str">
        <f ca="1">IFERROR(__xludf.DUMMYFUNCTION("""COMPUTED_VALUE"""),"Penata Muda Tk.I")</f>
        <v>Penata Muda Tk.I</v>
      </c>
      <c r="O37" s="3" t="str">
        <f ca="1">IFERROR(__xludf.DUMMYFUNCTION("""COMPUTED_VALUE"""),"III/b")</f>
        <v>III/b</v>
      </c>
      <c r="P37" s="7">
        <f ca="1">IFERROR(__xludf.DUMMYFUNCTION("""COMPUTED_VALUE"""),44562)</f>
        <v>44562</v>
      </c>
      <c r="Q37" s="3" t="str">
        <f ca="1">IFERROR(__xludf.DUMMYFUNCTION("""COMPUTED_VALUE"""),"3570/Un.19/R/KP.00.3/12/2021")</f>
        <v>3570/Un.19/R/KP.00.3/12/2021</v>
      </c>
      <c r="R37" s="3" t="str">
        <f ca="1">IFERROR(__xludf.DUMMYFUNCTION("""COMPUTED_VALUE"""),"Asisten Ahli")</f>
        <v>Asisten Ahli</v>
      </c>
      <c r="S37" s="3" t="str">
        <f ca="1">IFERROR(__xludf.DUMMYFUNCTION("""COMPUTED_VALUE"""),"Asisten Ahli")</f>
        <v>Asisten Ahli</v>
      </c>
      <c r="T37" s="7">
        <f ca="1">IFERROR(__xludf.DUMMYFUNCTION("""COMPUTED_VALUE"""),45047)</f>
        <v>45047</v>
      </c>
      <c r="U37" s="3" t="str">
        <f ca="1">IFERROR(__xludf.DUMMYFUNCTION("""COMPUTED_VALUE"""),"013486/B.II/3/2023")</f>
        <v>013486/B.II/3/2023</v>
      </c>
      <c r="V37" s="3"/>
      <c r="W37" s="3">
        <f ca="1">IFERROR(__xludf.DUMMYFUNCTION("""COMPUTED_VALUE"""),9)</f>
        <v>9</v>
      </c>
      <c r="X37" s="3"/>
      <c r="Y37" s="3" t="str">
        <f ca="1">IFERROR(__xludf.DUMMYFUNCTION("""COMPUTED_VALUE"""),"S-2")</f>
        <v>S-2</v>
      </c>
      <c r="Z37" s="3" t="str">
        <f ca="1">IFERROR(__xludf.DUMMYFUNCTION("""COMPUTED_VALUE"""),"5 Tahun 1 Bulan 27 Hari")</f>
        <v>5 Tahun 1 Bulan 27 Hari</v>
      </c>
      <c r="AA37" s="8">
        <f ca="1">IFERROR(__xludf.DUMMYFUNCTION("""COMPUTED_VALUE"""),57377)</f>
        <v>57377</v>
      </c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4"/>
      <c r="AR37" s="3"/>
      <c r="AS37" s="4"/>
      <c r="AT37" s="3"/>
      <c r="AU37" s="3"/>
    </row>
    <row r="38" spans="1:47" x14ac:dyDescent="0.2">
      <c r="A38" s="12">
        <v>37</v>
      </c>
      <c r="B38" s="3" t="str">
        <f ca="1">IFERROR(__xludf.DUMMYFUNCTION("""COMPUTED_VALUE"""),"Bani Sarif Maula")</f>
        <v>Bani Sarif Maula</v>
      </c>
      <c r="C38" s="3" t="str">
        <f ca="1">IFERROR(__xludf.DUMMYFUNCTION("""COMPUTED_VALUE"""),"Prof. Dr. Bani Sarif Maula, M.Ag.")</f>
        <v>Prof. Dr. Bani Sarif Maula, M.Ag.</v>
      </c>
      <c r="D38" s="3" t="str">
        <f ca="1">IFERROR(__xludf.DUMMYFUNCTION("""COMPUTED_VALUE"""),"Prof. Dr. Bani Sarif Maula, M.Ag.")</f>
        <v>Prof. Dr. Bani Sarif Maula, M.Ag.</v>
      </c>
      <c r="E38" s="3" t="str">
        <f ca="1">IFERROR(__xludf.DUMMYFUNCTION("""COMPUTED_VALUE"""),"197506202001121003")</f>
        <v>197506202001121003</v>
      </c>
      <c r="F38" s="3" t="str">
        <f ca="1">IFERROR(__xludf.DUMMYFUNCTION("""COMPUTED_VALUE"""),"19750620 200112 1 003")</f>
        <v>19750620 200112 1 003</v>
      </c>
      <c r="G38" s="3">
        <f ca="1">IFERROR(__xludf.DUMMYFUNCTION("""COMPUTED_VALUE"""),2020067503)</f>
        <v>2020067503</v>
      </c>
      <c r="H38" s="6" t="str">
        <f ca="1">IFERROR(__xludf.DUMMYFUNCTION("""COMPUTED_VALUE"""),"7952753654130112")</f>
        <v>7952753654130112</v>
      </c>
      <c r="I38" s="3" t="str">
        <f ca="1">IFERROR(__xludf.DUMMYFUNCTION("""COMPUTED_VALUE"""),"PNS")</f>
        <v>PNS</v>
      </c>
      <c r="J38" s="3" t="str">
        <f ca="1">IFERROR(__xludf.DUMMYFUNCTION("""COMPUTED_VALUE"""),"Dosen PNS")</f>
        <v>Dosen PNS</v>
      </c>
      <c r="K38" s="5" t="str">
        <f ca="1">IFERROR(__xludf.DUMMYFUNCTION("""COMPUTED_VALUE"""),"L")</f>
        <v>L</v>
      </c>
      <c r="L38" s="3" t="str">
        <f ca="1">IFERROR(__xludf.DUMMYFUNCTION("""COMPUTED_VALUE"""),"Astanajapura")</f>
        <v>Astanajapura</v>
      </c>
      <c r="M38" s="7">
        <f ca="1">IFERROR(__xludf.DUMMYFUNCTION("""COMPUTED_VALUE"""),27565)</f>
        <v>27565</v>
      </c>
      <c r="N38" s="4" t="str">
        <f ca="1">IFERROR(__xludf.DUMMYFUNCTION("""COMPUTED_VALUE"""),"Pembina Utama Muda")</f>
        <v>Pembina Utama Muda</v>
      </c>
      <c r="O38" s="3" t="str">
        <f ca="1">IFERROR(__xludf.DUMMYFUNCTION("""COMPUTED_VALUE"""),"IV/c")</f>
        <v>IV/c</v>
      </c>
      <c r="P38" s="7">
        <f ca="1">IFERROR(__xludf.DUMMYFUNCTION("""COMPUTED_VALUE"""),45383)</f>
        <v>45383</v>
      </c>
      <c r="Q38" s="3" t="str">
        <f ca="1">IFERROR(__xludf.DUMMYFUNCTION("""COMPUTED_VALUE"""),"00045/KEP/AA/15001/24")</f>
        <v>00045/KEP/AA/15001/24</v>
      </c>
      <c r="R38" s="3" t="str">
        <f ca="1">IFERROR(__xludf.DUMMYFUNCTION("""COMPUTED_VALUE"""),"Guru Besar")</f>
        <v>Guru Besar</v>
      </c>
      <c r="S38" s="3" t="str">
        <f ca="1">IFERROR(__xludf.DUMMYFUNCTION("""COMPUTED_VALUE"""),"Guru Besar")</f>
        <v>Guru Besar</v>
      </c>
      <c r="T38" s="7">
        <f ca="1">IFERROR(__xludf.DUMMYFUNCTION("""COMPUTED_VALUE"""),45748)</f>
        <v>45748</v>
      </c>
      <c r="U38" s="3" t="str">
        <f ca="1">IFERROR(__xludf.DUMMYFUNCTION("""COMPUTED_VALUE"""),"170061/MA/KP.07.6/03/2025")</f>
        <v>170061/MA/KP.07.6/03/2025</v>
      </c>
      <c r="V38" s="7">
        <f ca="1">IFERROR(__xludf.DUMMYFUNCTION("""COMPUTED_VALUE"""),45726)</f>
        <v>45726</v>
      </c>
      <c r="W38" s="3">
        <f ca="1">IFERROR(__xludf.DUMMYFUNCTION("""COMPUTED_VALUE"""),15)</f>
        <v>15</v>
      </c>
      <c r="X38" s="7" t="str">
        <f ca="1">IFERROR(__xludf.DUMMYFUNCTION("""COMPUTED_VALUE"""),"Anggota Senat")</f>
        <v>Anggota Senat</v>
      </c>
      <c r="Y38" s="3" t="str">
        <f ca="1">IFERROR(__xludf.DUMMYFUNCTION("""COMPUTED_VALUE"""),"S-3")</f>
        <v>S-3</v>
      </c>
      <c r="Z38" s="3" t="str">
        <f ca="1">IFERROR(__xludf.DUMMYFUNCTION("""COMPUTED_VALUE"""),"24 Tahun 1 Bulan 27 Hari")</f>
        <v>24 Tahun 1 Bulan 27 Hari</v>
      </c>
      <c r="AA38" s="8">
        <f ca="1">IFERROR(__xludf.DUMMYFUNCTION("""COMPUTED_VALUE"""),53144)</f>
        <v>53144</v>
      </c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4"/>
      <c r="AR38" s="3"/>
      <c r="AS38" s="4"/>
      <c r="AT38" s="3"/>
      <c r="AU38" s="3"/>
    </row>
    <row r="39" spans="1:47" x14ac:dyDescent="0.2">
      <c r="A39" s="12">
        <v>38</v>
      </c>
      <c r="B39" s="3" t="str">
        <f ca="1">IFERROR(__xludf.DUMMYFUNCTION("""COMPUTED_VALUE"""),"Chandra Warsito")</f>
        <v>Chandra Warsito</v>
      </c>
      <c r="C39" s="3" t="str">
        <f ca="1">IFERROR(__xludf.DUMMYFUNCTION("""COMPUTED_VALUE"""),"Dr. H. Chandra Warsito, S.E., S.TP., M.Si.")</f>
        <v>Dr. H. Chandra Warsito, S.E., S.TP., M.Si.</v>
      </c>
      <c r="D39" s="3" t="str">
        <f ca="1">IFERROR(__xludf.DUMMYFUNCTION("""COMPUTED_VALUE"""),"Dr. H. Chandra Warsito, S.E., S.TP., M.Si.")</f>
        <v>Dr. H. Chandra Warsito, S.E., S.TP., M.Si.</v>
      </c>
      <c r="E39" s="3" t="str">
        <f ca="1">IFERROR(__xludf.DUMMYFUNCTION("""COMPUTED_VALUE"""),"197903232011011007")</f>
        <v>197903232011011007</v>
      </c>
      <c r="F39" s="3" t="str">
        <f ca="1">IFERROR(__xludf.DUMMYFUNCTION("""COMPUTED_VALUE"""),"19790323 201101 1 007")</f>
        <v>19790323 201101 1 007</v>
      </c>
      <c r="G39" s="3">
        <f ca="1">IFERROR(__xludf.DUMMYFUNCTION("""COMPUTED_VALUE"""),2023037901)</f>
        <v>2023037901</v>
      </c>
      <c r="H39" s="6" t="str">
        <f ca="1">IFERROR(__xludf.DUMMYFUNCTION("""COMPUTED_VALUE"""),"8655757658130202")</f>
        <v>8655757658130202</v>
      </c>
      <c r="I39" s="3" t="str">
        <f ca="1">IFERROR(__xludf.DUMMYFUNCTION("""COMPUTED_VALUE"""),"PNS")</f>
        <v>PNS</v>
      </c>
      <c r="J39" s="3" t="str">
        <f ca="1">IFERROR(__xludf.DUMMYFUNCTION("""COMPUTED_VALUE"""),"Dosen PNS")</f>
        <v>Dosen PNS</v>
      </c>
      <c r="K39" s="5" t="str">
        <f ca="1">IFERROR(__xludf.DUMMYFUNCTION("""COMPUTED_VALUE"""),"L")</f>
        <v>L</v>
      </c>
      <c r="L39" s="3" t="str">
        <f ca="1">IFERROR(__xludf.DUMMYFUNCTION("""COMPUTED_VALUE"""),"Surakarta")</f>
        <v>Surakarta</v>
      </c>
      <c r="M39" s="7">
        <f ca="1">IFERROR(__xludf.DUMMYFUNCTION("""COMPUTED_VALUE"""),28937)</f>
        <v>28937</v>
      </c>
      <c r="N39" s="4" t="str">
        <f ca="1">IFERROR(__xludf.DUMMYFUNCTION("""COMPUTED_VALUE"""),"Pembina Tk.I")</f>
        <v>Pembina Tk.I</v>
      </c>
      <c r="O39" s="3" t="str">
        <f ca="1">IFERROR(__xludf.DUMMYFUNCTION("""COMPUTED_VALUE"""),"IV/b")</f>
        <v>IV/b</v>
      </c>
      <c r="P39" s="7">
        <f ca="1">IFERROR(__xludf.DUMMYFUNCTION("""COMPUTED_VALUE"""),45931)</f>
        <v>45931</v>
      </c>
      <c r="Q39" s="3" t="str">
        <f ca="1">IFERROR(__xludf.DUMMYFUNCTION("""COMPUTED_VALUE"""),"196857/B.II/KP.07.1/08/2025")</f>
        <v>196857/B.II/KP.07.1/08/2025</v>
      </c>
      <c r="R39" s="3" t="str">
        <f ca="1">IFERROR(__xludf.DUMMYFUNCTION("""COMPUTED_VALUE"""),"Lektor Kepala")</f>
        <v>Lektor Kepala</v>
      </c>
      <c r="S39" s="3" t="str">
        <f ca="1">IFERROR(__xludf.DUMMYFUNCTION("""COMPUTED_VALUE"""),"Lektor Kepala")</f>
        <v>Lektor Kepala</v>
      </c>
      <c r="T39" s="7">
        <f ca="1">IFERROR(__xludf.DUMMYFUNCTION("""COMPUTED_VALUE"""),44958)</f>
        <v>44958</v>
      </c>
      <c r="U39" s="3" t="str">
        <f ca="1">IFERROR(__xludf.DUMMYFUNCTION("""COMPUTED_VALUE"""),"013491/B.II/3/2023")</f>
        <v>013491/B.II/3/2023</v>
      </c>
      <c r="V39" s="7">
        <f ca="1">IFERROR(__xludf.DUMMYFUNCTION("""COMPUTED_VALUE"""),45090)</f>
        <v>45090</v>
      </c>
      <c r="W39" s="3">
        <f ca="1">IFERROR(__xludf.DUMMYFUNCTION("""COMPUTED_VALUE"""),13)</f>
        <v>13</v>
      </c>
      <c r="X39" s="7" t="str">
        <f ca="1">IFERROR(__xludf.DUMMYFUNCTION("""COMPUTED_VALUE"""),"Wakil Dekan Bidang Kemahasiswaan, Alumni dan Kerja Sama Pada Fakultas Ekonomi dan Bisnis Islam")</f>
        <v>Wakil Dekan Bidang Kemahasiswaan, Alumni dan Kerja Sama Pada Fakultas Ekonomi dan Bisnis Islam</v>
      </c>
      <c r="Y39" s="3" t="str">
        <f ca="1">IFERROR(__xludf.DUMMYFUNCTION("""COMPUTED_VALUE"""),"S-3")</f>
        <v>S-3</v>
      </c>
      <c r="Z39" s="3" t="str">
        <f ca="1">IFERROR(__xludf.DUMMYFUNCTION("""COMPUTED_VALUE"""),"15 Tahun 0 Bulan 27 Hari")</f>
        <v>15 Tahun 0 Bulan 27 Hari</v>
      </c>
      <c r="AA39" s="8">
        <f ca="1">IFERROR(__xludf.DUMMYFUNCTION("""COMPUTED_VALUE"""),52688)</f>
        <v>52688</v>
      </c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4"/>
      <c r="AR39" s="3"/>
      <c r="AS39" s="4"/>
      <c r="AT39" s="3"/>
      <c r="AU39" s="3"/>
    </row>
    <row r="40" spans="1:47" x14ac:dyDescent="0.2">
      <c r="A40" s="12">
        <v>39</v>
      </c>
      <c r="B40" s="3" t="str">
        <f ca="1">IFERROR(__xludf.DUMMYFUNCTION("""COMPUTED_VALUE"""),"Dani Kusumastuti")</f>
        <v>Dani Kusumastuti</v>
      </c>
      <c r="C40" s="3" t="str">
        <f ca="1">IFERROR(__xludf.DUMMYFUNCTION("""COMPUTED_VALUE"""),"Dani Kusumastuti, S.E., M.Si.")</f>
        <v>Dani Kusumastuti, S.E., M.Si.</v>
      </c>
      <c r="D40" s="3" t="str">
        <f ca="1">IFERROR(__xludf.DUMMYFUNCTION("""COMPUTED_VALUE"""),"Dani Kusumastuti, S.E., M.Si.")</f>
        <v>Dani Kusumastuti, S.E., M.Si.</v>
      </c>
      <c r="E40" s="3" t="str">
        <f ca="1">IFERROR(__xludf.DUMMYFUNCTION("""COMPUTED_VALUE"""),"197504202006042001")</f>
        <v>197504202006042001</v>
      </c>
      <c r="F40" s="3" t="str">
        <f ca="1">IFERROR(__xludf.DUMMYFUNCTION("""COMPUTED_VALUE"""),"19750420 200604 2 001")</f>
        <v>19750420 200604 2 001</v>
      </c>
      <c r="G40" s="3">
        <f ca="1">IFERROR(__xludf.DUMMYFUNCTION("""COMPUTED_VALUE"""),2020047503)</f>
        <v>2020047503</v>
      </c>
      <c r="H40" s="6" t="str">
        <f ca="1">IFERROR(__xludf.DUMMYFUNCTION("""COMPUTED_VALUE"""),"4752753654230102")</f>
        <v>4752753654230102</v>
      </c>
      <c r="I40" s="3" t="str">
        <f ca="1">IFERROR(__xludf.DUMMYFUNCTION("""COMPUTED_VALUE"""),"PNS")</f>
        <v>PNS</v>
      </c>
      <c r="J40" s="3" t="str">
        <f ca="1">IFERROR(__xludf.DUMMYFUNCTION("""COMPUTED_VALUE"""),"Dosen PNS")</f>
        <v>Dosen PNS</v>
      </c>
      <c r="K40" s="5" t="str">
        <f ca="1">IFERROR(__xludf.DUMMYFUNCTION("""COMPUTED_VALUE"""),"P")</f>
        <v>P</v>
      </c>
      <c r="L40" s="3" t="str">
        <f ca="1">IFERROR(__xludf.DUMMYFUNCTION("""COMPUTED_VALUE"""),"Banyumas")</f>
        <v>Banyumas</v>
      </c>
      <c r="M40" s="7">
        <f ca="1">IFERROR(__xludf.DUMMYFUNCTION("""COMPUTED_VALUE"""),27504)</f>
        <v>27504</v>
      </c>
      <c r="N40" s="4" t="str">
        <f ca="1">IFERROR(__xludf.DUMMYFUNCTION("""COMPUTED_VALUE"""),"Penata Tk.I")</f>
        <v>Penata Tk.I</v>
      </c>
      <c r="O40" s="3" t="str">
        <f ca="1">IFERROR(__xludf.DUMMYFUNCTION("""COMPUTED_VALUE"""),"III/d")</f>
        <v>III/d</v>
      </c>
      <c r="P40" s="7">
        <f ca="1">IFERROR(__xludf.DUMMYFUNCTION("""COMPUTED_VALUE"""),45383)</f>
        <v>45383</v>
      </c>
      <c r="Q40" s="3" t="str">
        <f ca="1">IFERROR(__xludf.DUMMYFUNCTION("""COMPUTED_VALUE"""),"509/Un.19/K.AUPK/KP.07.1/03/2024")</f>
        <v>509/Un.19/K.AUPK/KP.07.1/03/2024</v>
      </c>
      <c r="R40" s="3" t="str">
        <f ca="1">IFERROR(__xludf.DUMMYFUNCTION("""COMPUTED_VALUE"""),"Lektor")</f>
        <v>Lektor</v>
      </c>
      <c r="S40" s="3" t="str">
        <f ca="1">IFERROR(__xludf.DUMMYFUNCTION("""COMPUTED_VALUE"""),"Lektor")</f>
        <v>Lektor</v>
      </c>
      <c r="T40" s="7">
        <f ca="1">IFERROR(__xludf.DUMMYFUNCTION("""COMPUTED_VALUE"""),44166)</f>
        <v>44166</v>
      </c>
      <c r="U40" s="3" t="str">
        <f ca="1">IFERROR(__xludf.DUMMYFUNCTION("""COMPUTED_VALUE"""),"521/In.17/R/Kp.07.6/1/2021")</f>
        <v>521/In.17/R/Kp.07.6/1/2021</v>
      </c>
      <c r="V40" s="3"/>
      <c r="W40" s="3">
        <f ca="1">IFERROR(__xludf.DUMMYFUNCTION("""COMPUTED_VALUE"""),11)</f>
        <v>11</v>
      </c>
      <c r="X40" s="7" t="str">
        <f ca="1">IFERROR(__xludf.DUMMYFUNCTION("""COMPUTED_VALUE"""),"Kepala Pusat Kajian dan Pengembangan Halal (Halal Center) Pada Lembaga Penelitian dan Pengabdian Kepada Masyarakat")</f>
        <v>Kepala Pusat Kajian dan Pengembangan Halal (Halal Center) Pada Lembaga Penelitian dan Pengabdian Kepada Masyarakat</v>
      </c>
      <c r="Y40" s="3" t="str">
        <f ca="1">IFERROR(__xludf.DUMMYFUNCTION("""COMPUTED_VALUE"""),"S-2")</f>
        <v>S-2</v>
      </c>
      <c r="Z40" s="3" t="str">
        <f ca="1">IFERROR(__xludf.DUMMYFUNCTION("""COMPUTED_VALUE"""),"19 Tahun 9 Bulan 27 Hari")</f>
        <v>19 Tahun 9 Bulan 27 Hari</v>
      </c>
      <c r="AA40" s="8">
        <f ca="1">IFERROR(__xludf.DUMMYFUNCTION("""COMPUTED_VALUE"""),51257)</f>
        <v>51257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4"/>
      <c r="AR40" s="3"/>
      <c r="AS40" s="4"/>
      <c r="AT40" s="3"/>
      <c r="AU40" s="3"/>
    </row>
    <row r="41" spans="1:47" x14ac:dyDescent="0.2">
      <c r="A41" s="12">
        <v>40</v>
      </c>
      <c r="B41" s="3" t="str">
        <f ca="1">IFERROR(__xludf.DUMMYFUNCTION("""COMPUTED_VALUE"""),"Dedy Riyadin Saputro")</f>
        <v>Dedy Riyadin Saputro</v>
      </c>
      <c r="C41" s="3" t="str">
        <f ca="1">IFERROR(__xludf.DUMMYFUNCTION("""COMPUTED_VALUE"""),"Dedy Riyadin Saputro, M.I.Kom.")</f>
        <v>Dedy Riyadin Saputro, M.I.Kom.</v>
      </c>
      <c r="D41" s="3" t="str">
        <f ca="1">IFERROR(__xludf.DUMMYFUNCTION("""COMPUTED_VALUE"""),"Dedy Riyadin Saputro, M.I.Kom.")</f>
        <v>Dedy Riyadin Saputro, M.I.Kom.</v>
      </c>
      <c r="E41" s="3" t="str">
        <f ca="1">IFERROR(__xludf.DUMMYFUNCTION("""COMPUTED_VALUE"""),"198705252018011001")</f>
        <v>198705252018011001</v>
      </c>
      <c r="F41" s="3" t="str">
        <f ca="1">IFERROR(__xludf.DUMMYFUNCTION("""COMPUTED_VALUE"""),"19870525 201801 1 001")</f>
        <v>19870525 201801 1 001</v>
      </c>
      <c r="G41" s="3">
        <f ca="1">IFERROR(__xludf.DUMMYFUNCTION("""COMPUTED_VALUE"""),2025058701)</f>
        <v>2025058701</v>
      </c>
      <c r="H41" s="6" t="str">
        <f ca="1">IFERROR(__xludf.DUMMYFUNCTION("""COMPUTED_VALUE"""),"9857765666131102")</f>
        <v>9857765666131102</v>
      </c>
      <c r="I41" s="3" t="str">
        <f ca="1">IFERROR(__xludf.DUMMYFUNCTION("""COMPUTED_VALUE"""),"PNS")</f>
        <v>PNS</v>
      </c>
      <c r="J41" s="3" t="str">
        <f ca="1">IFERROR(__xludf.DUMMYFUNCTION("""COMPUTED_VALUE"""),"Dosen PNS")</f>
        <v>Dosen PNS</v>
      </c>
      <c r="K41" s="5" t="str">
        <f ca="1">IFERROR(__xludf.DUMMYFUNCTION("""COMPUTED_VALUE"""),"L")</f>
        <v>L</v>
      </c>
      <c r="L41" s="3" t="str">
        <f ca="1">IFERROR(__xludf.DUMMYFUNCTION("""COMPUTED_VALUE"""),"Brebes")</f>
        <v>Brebes</v>
      </c>
      <c r="M41" s="7">
        <f ca="1">IFERROR(__xludf.DUMMYFUNCTION("""COMPUTED_VALUE"""),31922)</f>
        <v>31922</v>
      </c>
      <c r="N41" s="4" t="str">
        <f ca="1">IFERROR(__xludf.DUMMYFUNCTION("""COMPUTED_VALUE"""),"Penata Tk.I")</f>
        <v>Penata Tk.I</v>
      </c>
      <c r="O41" s="3" t="str">
        <f ca="1">IFERROR(__xludf.DUMMYFUNCTION("""COMPUTED_VALUE"""),"III/d")</f>
        <v>III/d</v>
      </c>
      <c r="P41" s="7">
        <f ca="1">IFERROR(__xludf.DUMMYFUNCTION("""COMPUTED_VALUE"""),45748)</f>
        <v>45748</v>
      </c>
      <c r="Q41" s="3" t="str">
        <f ca="1">IFERROR(__xludf.DUMMYFUNCTION("""COMPUTED_VALUE"""),"280/Un.19/K.AUPK/KP.11.1/02/2025")</f>
        <v>280/Un.19/K.AUPK/KP.11.1/02/2025</v>
      </c>
      <c r="R41" s="3" t="str">
        <f ca="1">IFERROR(__xludf.DUMMYFUNCTION("""COMPUTED_VALUE"""),"Lektor")</f>
        <v>Lektor</v>
      </c>
      <c r="S41" s="3" t="str">
        <f ca="1">IFERROR(__xludf.DUMMYFUNCTION("""COMPUTED_VALUE"""),"Lektor")</f>
        <v>Lektor</v>
      </c>
      <c r="T41" s="7">
        <f ca="1">IFERROR(__xludf.DUMMYFUNCTION("""COMPUTED_VALUE"""),44896)</f>
        <v>44896</v>
      </c>
      <c r="U41" s="3" t="str">
        <f ca="1">IFERROR(__xludf.DUMMYFUNCTION("""COMPUTED_VALUE"""),"2721 /Un.19/R/Kp.07.6/12/2022")</f>
        <v>2721 /Un.19/R/Kp.07.6/12/2022</v>
      </c>
      <c r="V41" s="3"/>
      <c r="W41" s="3">
        <f ca="1">IFERROR(__xludf.DUMMYFUNCTION("""COMPUTED_VALUE"""),11)</f>
        <v>11</v>
      </c>
      <c r="X41" s="7" t="str">
        <f ca="1">IFERROR(__xludf.DUMMYFUNCTION("""COMPUTED_VALUE"""),"Koordinator Program Studi S-1 Komunikasi dan Penyiaran Islam Pada Fakultas Dakwah")</f>
        <v>Koordinator Program Studi S-1 Komunikasi dan Penyiaran Islam Pada Fakultas Dakwah</v>
      </c>
      <c r="Y41" s="3" t="str">
        <f ca="1">IFERROR(__xludf.DUMMYFUNCTION("""COMPUTED_VALUE"""),"S-2")</f>
        <v>S-2</v>
      </c>
      <c r="Z41" s="3" t="str">
        <f ca="1">IFERROR(__xludf.DUMMYFUNCTION("""COMPUTED_VALUE"""),"8 Tahun 0 Bulan 27 Hari")</f>
        <v>8 Tahun 0 Bulan 27 Hari</v>
      </c>
      <c r="AA41" s="8">
        <f ca="1">IFERROR(__xludf.DUMMYFUNCTION("""COMPUTED_VALUE"""),55671)</f>
        <v>55671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4"/>
      <c r="AR41" s="3"/>
      <c r="AS41" s="4"/>
      <c r="AT41" s="3"/>
      <c r="AU41" s="3"/>
    </row>
    <row r="42" spans="1:47" x14ac:dyDescent="0.2">
      <c r="A42" s="12">
        <v>41</v>
      </c>
      <c r="B42" s="3" t="str">
        <f ca="1">IFERROR(__xludf.DUMMYFUNCTION("""COMPUTED_VALUE"""),"Desi Wijayanti Ma'rufah")</f>
        <v>Desi Wijayanti Ma'rufah</v>
      </c>
      <c r="C42" s="3" t="str">
        <f ca="1">IFERROR(__xludf.DUMMYFUNCTION("""COMPUTED_VALUE"""),"Desi Wijayanti Ma'rufah, M.Pd.")</f>
        <v>Desi Wijayanti Ma'rufah, M.Pd.</v>
      </c>
      <c r="D42" s="3" t="str">
        <f ca="1">IFERROR(__xludf.DUMMYFUNCTION("""COMPUTED_VALUE"""),"Desi Wijayanti Ma'rufah, M.Pd.")</f>
        <v>Desi Wijayanti Ma'rufah, M.Pd.</v>
      </c>
      <c r="E42" s="3" t="str">
        <f ca="1">IFERROR(__xludf.DUMMYFUNCTION("""COMPUTED_VALUE"""),"199212152018012003")</f>
        <v>199212152018012003</v>
      </c>
      <c r="F42" s="3" t="str">
        <f ca="1">IFERROR(__xludf.DUMMYFUNCTION("""COMPUTED_VALUE"""),"19921215 201801 2 003")</f>
        <v>19921215 201801 2 003</v>
      </c>
      <c r="G42" s="3">
        <f ca="1">IFERROR(__xludf.DUMMYFUNCTION("""COMPUTED_VALUE"""),2015129202)</f>
        <v>2015129202</v>
      </c>
      <c r="H42" s="6" t="str">
        <f ca="1">IFERROR(__xludf.DUMMYFUNCTION("""COMPUTED_VALUE"""),"6547770671230313")</f>
        <v>6547770671230313</v>
      </c>
      <c r="I42" s="3" t="str">
        <f ca="1">IFERROR(__xludf.DUMMYFUNCTION("""COMPUTED_VALUE"""),"PNS")</f>
        <v>PNS</v>
      </c>
      <c r="J42" s="3" t="str">
        <f ca="1">IFERROR(__xludf.DUMMYFUNCTION("""COMPUTED_VALUE"""),"Dosen PNS")</f>
        <v>Dosen PNS</v>
      </c>
      <c r="K42" s="5" t="str">
        <f ca="1">IFERROR(__xludf.DUMMYFUNCTION("""COMPUTED_VALUE"""),"P")</f>
        <v>P</v>
      </c>
      <c r="L42" s="3" t="str">
        <f ca="1">IFERROR(__xludf.DUMMYFUNCTION("""COMPUTED_VALUE"""),"Purbalingga")</f>
        <v>Purbalingga</v>
      </c>
      <c r="M42" s="9">
        <f ca="1">IFERROR(__xludf.DUMMYFUNCTION("""COMPUTED_VALUE"""),33953)</f>
        <v>33953</v>
      </c>
      <c r="N42" s="4" t="str">
        <f ca="1">IFERROR(__xludf.DUMMYFUNCTION("""COMPUTED_VALUE"""),"Penata Tk.I")</f>
        <v>Penata Tk.I</v>
      </c>
      <c r="O42" s="3" t="str">
        <f ca="1">IFERROR(__xludf.DUMMYFUNCTION("""COMPUTED_VALUE"""),"III/d")</f>
        <v>III/d</v>
      </c>
      <c r="P42" s="7">
        <f ca="1">IFERROR(__xludf.DUMMYFUNCTION("""COMPUTED_VALUE"""),45383)</f>
        <v>45383</v>
      </c>
      <c r="Q42" s="3" t="str">
        <f ca="1">IFERROR(__xludf.DUMMYFUNCTION("""COMPUTED_VALUE"""),"505/Un.19/K.AUPK/KP.07.1/03/2024")</f>
        <v>505/Un.19/K.AUPK/KP.07.1/03/2024</v>
      </c>
      <c r="R42" s="3" t="str">
        <f ca="1">IFERROR(__xludf.DUMMYFUNCTION("""COMPUTED_VALUE"""),"Lektor")</f>
        <v>Lektor</v>
      </c>
      <c r="S42" s="3" t="str">
        <f ca="1">IFERROR(__xludf.DUMMYFUNCTION("""COMPUTED_VALUE"""),"Lektor")</f>
        <v>Lektor</v>
      </c>
      <c r="T42" s="7">
        <f ca="1">IFERROR(__xludf.DUMMYFUNCTION("""COMPUTED_VALUE"""),44440)</f>
        <v>44440</v>
      </c>
      <c r="U42" s="3" t="str">
        <f ca="1">IFERROR(__xludf.DUMMYFUNCTION("""COMPUTED_VALUE"""),"2666/In.17/R/Kp.07.6/9/2021")</f>
        <v>2666/In.17/R/Kp.07.6/9/2021</v>
      </c>
      <c r="V42" s="3"/>
      <c r="W42" s="3">
        <f ca="1">IFERROR(__xludf.DUMMYFUNCTION("""COMPUTED_VALUE"""),11)</f>
        <v>11</v>
      </c>
      <c r="X42" s="7" t="str">
        <f ca="1">IFERROR(__xludf.DUMMYFUNCTION("""COMPUTED_VALUE"""),"Koordinator Program Studi S-1 Tadris Bahasa Inggris Pada Fakultas Tarbiyah dan Ilmu Keguruan")</f>
        <v>Koordinator Program Studi S-1 Tadris Bahasa Inggris Pada Fakultas Tarbiyah dan Ilmu Keguruan</v>
      </c>
      <c r="Y42" s="3" t="str">
        <f ca="1">IFERROR(__xludf.DUMMYFUNCTION("""COMPUTED_VALUE"""),"S-2")</f>
        <v>S-2</v>
      </c>
      <c r="Z42" s="3" t="str">
        <f ca="1">IFERROR(__xludf.DUMMYFUNCTION("""COMPUTED_VALUE"""),"8 Tahun 0 Bulan 27 Hari")</f>
        <v>8 Tahun 0 Bulan 27 Hari</v>
      </c>
      <c r="AA42" s="8">
        <f ca="1">IFERROR(__xludf.DUMMYFUNCTION("""COMPUTED_VALUE"""),57711)</f>
        <v>57711</v>
      </c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4"/>
      <c r="AR42" s="3"/>
      <c r="AS42" s="4"/>
      <c r="AT42" s="3"/>
      <c r="AU42" s="3"/>
    </row>
    <row r="43" spans="1:47" x14ac:dyDescent="0.2">
      <c r="A43" s="12">
        <v>42</v>
      </c>
      <c r="B43" s="3" t="str">
        <f ca="1">IFERROR(__xludf.DUMMYFUNCTION("""COMPUTED_VALUE"""),"Dewi Ariyani")</f>
        <v>Dewi Ariyani</v>
      </c>
      <c r="C43" s="3" t="str">
        <f ca="1">IFERROR(__xludf.DUMMYFUNCTION("""COMPUTED_VALUE"""),"Dewi Ariyani, S.Th.I., M.Pd.I.")</f>
        <v>Dewi Ariyani, S.Th.I., M.Pd.I.</v>
      </c>
      <c r="D43" s="3" t="str">
        <f ca="1">IFERROR(__xludf.DUMMYFUNCTION("""COMPUTED_VALUE"""),"Dewi Ariyani, S.Th.I., M.Pd.I.")</f>
        <v>Dewi Ariyani, S.Th.I., M.Pd.I.</v>
      </c>
      <c r="E43" s="3" t="str">
        <f ca="1">IFERROR(__xludf.DUMMYFUNCTION("""COMPUTED_VALUE"""),"198408092015032002")</f>
        <v>198408092015032002</v>
      </c>
      <c r="F43" s="3" t="str">
        <f ca="1">IFERROR(__xludf.DUMMYFUNCTION("""COMPUTED_VALUE"""),"19840809 201503 2 002")</f>
        <v>19840809 201503 2 002</v>
      </c>
      <c r="G43" s="3">
        <f ca="1">IFERROR(__xludf.DUMMYFUNCTION("""COMPUTED_VALUE"""),2009088402)</f>
        <v>2009088402</v>
      </c>
      <c r="H43" s="6" t="str">
        <f ca="1">IFERROR(__xludf.DUMMYFUNCTION("""COMPUTED_VALUE"""),"2141757663210003")</f>
        <v>2141757663210003</v>
      </c>
      <c r="I43" s="3" t="str">
        <f ca="1">IFERROR(__xludf.DUMMYFUNCTION("""COMPUTED_VALUE"""),"PNS")</f>
        <v>PNS</v>
      </c>
      <c r="J43" s="3" t="str">
        <f ca="1">IFERROR(__xludf.DUMMYFUNCTION("""COMPUTED_VALUE"""),"Dosen PNS")</f>
        <v>Dosen PNS</v>
      </c>
      <c r="K43" s="5" t="str">
        <f ca="1">IFERROR(__xludf.DUMMYFUNCTION("""COMPUTED_VALUE"""),"P")</f>
        <v>P</v>
      </c>
      <c r="L43" s="3" t="str">
        <f ca="1">IFERROR(__xludf.DUMMYFUNCTION("""COMPUTED_VALUE"""),"Ciamis")</f>
        <v>Ciamis</v>
      </c>
      <c r="M43" s="7">
        <f ca="1">IFERROR(__xludf.DUMMYFUNCTION("""COMPUTED_VALUE"""),30903)</f>
        <v>30903</v>
      </c>
      <c r="N43" s="4" t="str">
        <f ca="1">IFERROR(__xludf.DUMMYFUNCTION("""COMPUTED_VALUE"""),"Penata Tk.I")</f>
        <v>Penata Tk.I</v>
      </c>
      <c r="O43" s="3" t="str">
        <f ca="1">IFERROR(__xludf.DUMMYFUNCTION("""COMPUTED_VALUE"""),"III/d")</f>
        <v>III/d</v>
      </c>
      <c r="P43" s="7">
        <f ca="1">IFERROR(__xludf.DUMMYFUNCTION("""COMPUTED_VALUE"""),45200)</f>
        <v>45200</v>
      </c>
      <c r="Q43" s="3" t="str">
        <f ca="1">IFERROR(__xludf.DUMMYFUNCTION("""COMPUTED_VALUE"""),"1116/Un.19/K.AUPK/KP.07.1/08/2023")</f>
        <v>1116/Un.19/K.AUPK/KP.07.1/08/2023</v>
      </c>
      <c r="R43" s="3" t="str">
        <f ca="1">IFERROR(__xludf.DUMMYFUNCTION("""COMPUTED_VALUE"""),"Lektor")</f>
        <v>Lektor</v>
      </c>
      <c r="S43" s="3" t="str">
        <f ca="1">IFERROR(__xludf.DUMMYFUNCTION("""COMPUTED_VALUE"""),"Lektor")</f>
        <v>Lektor</v>
      </c>
      <c r="T43" s="7">
        <f ca="1">IFERROR(__xludf.DUMMYFUNCTION("""COMPUTED_VALUE"""),43891)</f>
        <v>43891</v>
      </c>
      <c r="U43" s="3" t="str">
        <f ca="1">IFERROR(__xludf.DUMMYFUNCTION("""COMPUTED_VALUE"""),"673/Un.19/K.AUPK/Kp.07.6/5/2023")</f>
        <v>673/Un.19/K.AUPK/Kp.07.6/5/2023</v>
      </c>
      <c r="V43" s="3"/>
      <c r="W43" s="3">
        <f ca="1">IFERROR(__xludf.DUMMYFUNCTION("""COMPUTED_VALUE"""),11)</f>
        <v>11</v>
      </c>
      <c r="X43" s="7" t="str">
        <f ca="1">IFERROR(__xludf.DUMMYFUNCTION("""COMPUTED_VALUE"""),"Koordinator Program Studi S-1 Pendidikan Agama Islam Pada Fakultas Tarbiyah dan Ilmu Keguruan")</f>
        <v>Koordinator Program Studi S-1 Pendidikan Agama Islam Pada Fakultas Tarbiyah dan Ilmu Keguruan</v>
      </c>
      <c r="Y43" s="3" t="str">
        <f ca="1">IFERROR(__xludf.DUMMYFUNCTION("""COMPUTED_VALUE"""),"S-2")</f>
        <v>S-2</v>
      </c>
      <c r="Z43" s="3" t="str">
        <f ca="1">IFERROR(__xludf.DUMMYFUNCTION("""COMPUTED_VALUE"""),"10 Tahun 10 Bulan 27 Hari")</f>
        <v>10 Tahun 10 Bulan 27 Hari</v>
      </c>
      <c r="AA43" s="8">
        <f ca="1">IFERROR(__xludf.DUMMYFUNCTION("""COMPUTED_VALUE"""),54667)</f>
        <v>54667</v>
      </c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4"/>
      <c r="AR43" s="3"/>
      <c r="AS43" s="4"/>
      <c r="AT43" s="3"/>
      <c r="AU43" s="3"/>
    </row>
    <row r="44" spans="1:47" x14ac:dyDescent="0.2">
      <c r="A44" s="12">
        <v>43</v>
      </c>
      <c r="B44" s="3" t="str">
        <f ca="1">IFERROR(__xludf.DUMMYFUNCTION("""COMPUTED_VALUE"""),"Dewi Laela Hilyatin")</f>
        <v>Dewi Laela Hilyatin</v>
      </c>
      <c r="C44" s="3" t="str">
        <f ca="1">IFERROR(__xludf.DUMMYFUNCTION("""COMPUTED_VALUE"""),"Dewi Laela Hilyatin, S.E., M.S.I.")</f>
        <v>Dewi Laela Hilyatin, S.E., M.S.I.</v>
      </c>
      <c r="D44" s="3" t="str">
        <f ca="1">IFERROR(__xludf.DUMMYFUNCTION("""COMPUTED_VALUE"""),"Dr. Dewi Laela Hilyatin, S.E., M.S.I.")</f>
        <v>Dr. Dewi Laela Hilyatin, S.E., M.S.I.</v>
      </c>
      <c r="E44" s="3" t="str">
        <f ca="1">IFERROR(__xludf.DUMMYFUNCTION("""COMPUTED_VALUE"""),"198511122009122007")</f>
        <v>198511122009122007</v>
      </c>
      <c r="F44" s="3" t="str">
        <f ca="1">IFERROR(__xludf.DUMMYFUNCTION("""COMPUTED_VALUE"""),"19851112 200912 2 007")</f>
        <v>19851112 200912 2 007</v>
      </c>
      <c r="G44" s="3">
        <f ca="1">IFERROR(__xludf.DUMMYFUNCTION("""COMPUTED_VALUE"""),2012118501)</f>
        <v>2012118501</v>
      </c>
      <c r="H44" s="6" t="str">
        <f ca="1">IFERROR(__xludf.DUMMYFUNCTION("""COMPUTED_VALUE"""),"2444763664231053")</f>
        <v>2444763664231053</v>
      </c>
      <c r="I44" s="3" t="str">
        <f ca="1">IFERROR(__xludf.DUMMYFUNCTION("""COMPUTED_VALUE"""),"PNS")</f>
        <v>PNS</v>
      </c>
      <c r="J44" s="3" t="str">
        <f ca="1">IFERROR(__xludf.DUMMYFUNCTION("""COMPUTED_VALUE"""),"Dosen PNS")</f>
        <v>Dosen PNS</v>
      </c>
      <c r="K44" s="5" t="str">
        <f ca="1">IFERROR(__xludf.DUMMYFUNCTION("""COMPUTED_VALUE"""),"P")</f>
        <v>P</v>
      </c>
      <c r="L44" s="3" t="str">
        <f ca="1">IFERROR(__xludf.DUMMYFUNCTION("""COMPUTED_VALUE"""),"Wonosobo")</f>
        <v>Wonosobo</v>
      </c>
      <c r="M44" s="9">
        <f ca="1">IFERROR(__xludf.DUMMYFUNCTION("""COMPUTED_VALUE"""),31363)</f>
        <v>31363</v>
      </c>
      <c r="N44" s="4" t="str">
        <f ca="1">IFERROR(__xludf.DUMMYFUNCTION("""COMPUTED_VALUE"""),"Penata Tk.I")</f>
        <v>Penata Tk.I</v>
      </c>
      <c r="O44" s="3" t="str">
        <f ca="1">IFERROR(__xludf.DUMMYFUNCTION("""COMPUTED_VALUE"""),"III/d")</f>
        <v>III/d</v>
      </c>
      <c r="P44" s="7">
        <f ca="1">IFERROR(__xludf.DUMMYFUNCTION("""COMPUTED_VALUE"""),45200)</f>
        <v>45200</v>
      </c>
      <c r="Q44" s="3" t="str">
        <f ca="1">IFERROR(__xludf.DUMMYFUNCTION("""COMPUTED_VALUE"""),"1121/Un.19/K.AUPK/KP.07.1/08/2023")</f>
        <v>1121/Un.19/K.AUPK/KP.07.1/08/2023</v>
      </c>
      <c r="R44" s="3" t="str">
        <f ca="1">IFERROR(__xludf.DUMMYFUNCTION("""COMPUTED_VALUE"""),"Lektor")</f>
        <v>Lektor</v>
      </c>
      <c r="S44" s="3" t="str">
        <f ca="1">IFERROR(__xludf.DUMMYFUNCTION("""COMPUTED_VALUE"""),"Lektor")</f>
        <v>Lektor</v>
      </c>
      <c r="T44" s="7">
        <f ca="1">IFERROR(__xludf.DUMMYFUNCTION("""COMPUTED_VALUE"""),42430)</f>
        <v>42430</v>
      </c>
      <c r="U44" s="3" t="str">
        <f ca="1">IFERROR(__xludf.DUMMYFUNCTION("""COMPUTED_VALUE"""),"695/Un.19/K.AUPK/Kp.07.6/5/2023")</f>
        <v>695/Un.19/K.AUPK/Kp.07.6/5/2023</v>
      </c>
      <c r="V44" s="3"/>
      <c r="W44" s="3">
        <f ca="1">IFERROR(__xludf.DUMMYFUNCTION("""COMPUTED_VALUE"""),11)</f>
        <v>11</v>
      </c>
      <c r="X44" s="7" t="str">
        <f ca="1">IFERROR(__xludf.DUMMYFUNCTION("""COMPUTED_VALUE"""),"Sekretaris Jurusan Ekonomi dan Keuangan Syariah Pada Fakultas Ekonomi dan Bisnis Islam")</f>
        <v>Sekretaris Jurusan Ekonomi dan Keuangan Syariah Pada Fakultas Ekonomi dan Bisnis Islam</v>
      </c>
      <c r="Y44" s="3" t="str">
        <f ca="1">IFERROR(__xludf.DUMMYFUNCTION("""COMPUTED_VALUE"""),"S-3")</f>
        <v>S-3</v>
      </c>
      <c r="Z44" s="3" t="str">
        <f ca="1">IFERROR(__xludf.DUMMYFUNCTION("""COMPUTED_VALUE"""),"16 Tahun 1 Bulan 27 Hari")</f>
        <v>16 Tahun 1 Bulan 27 Hari</v>
      </c>
      <c r="AA44" s="8">
        <f ca="1">IFERROR(__xludf.DUMMYFUNCTION("""COMPUTED_VALUE"""),55123)</f>
        <v>55123</v>
      </c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4"/>
      <c r="AR44" s="3"/>
      <c r="AS44" s="4"/>
      <c r="AT44" s="3"/>
      <c r="AU44" s="3"/>
    </row>
    <row r="45" spans="1:47" x14ac:dyDescent="0.2">
      <c r="A45" s="12">
        <v>44</v>
      </c>
      <c r="B45" s="3" t="str">
        <f ca="1">IFERROR(__xludf.DUMMYFUNCTION("""COMPUTED_VALUE"""),"Dias Setianingsih")</f>
        <v>Dias Setianingsih</v>
      </c>
      <c r="C45" s="3" t="str">
        <f ca="1">IFERROR(__xludf.DUMMYFUNCTION("""COMPUTED_VALUE"""),"Dias Setianingsih, S.E., M.B.A.")</f>
        <v>Dias Setianingsih, S.E., M.B.A.</v>
      </c>
      <c r="D45" s="3" t="str">
        <f ca="1">IFERROR(__xludf.DUMMYFUNCTION("""COMPUTED_VALUE"""),"Dias Setianingsih, S.E., M.B.A.")</f>
        <v>Dias Setianingsih, S.E., M.B.A.</v>
      </c>
      <c r="E45" s="3" t="str">
        <f ca="1">IFERROR(__xludf.DUMMYFUNCTION("""COMPUTED_VALUE"""),"198112222015042001")</f>
        <v>198112222015042001</v>
      </c>
      <c r="F45" s="3" t="str">
        <f ca="1">IFERROR(__xludf.DUMMYFUNCTION("""COMPUTED_VALUE"""),"19811222 201504 2 001")</f>
        <v>19811222 201504 2 001</v>
      </c>
      <c r="G45" s="3"/>
      <c r="H45" s="6" t="str">
        <f ca="1">IFERROR(__xludf.DUMMYFUNCTION("""COMPUTED_VALUE"""),"3554759660230153")</f>
        <v>3554759660230153</v>
      </c>
      <c r="I45" s="3" t="str">
        <f ca="1">IFERROR(__xludf.DUMMYFUNCTION("""COMPUTED_VALUE"""),"PNS")</f>
        <v>PNS</v>
      </c>
      <c r="J45" s="3" t="str">
        <f ca="1">IFERROR(__xludf.DUMMYFUNCTION("""COMPUTED_VALUE"""),"Dosen PNS")</f>
        <v>Dosen PNS</v>
      </c>
      <c r="K45" s="5" t="str">
        <f ca="1">IFERROR(__xludf.DUMMYFUNCTION("""COMPUTED_VALUE"""),"P")</f>
        <v>P</v>
      </c>
      <c r="L45" s="3" t="str">
        <f ca="1">IFERROR(__xludf.DUMMYFUNCTION("""COMPUTED_VALUE"""),"Purbalingga")</f>
        <v>Purbalingga</v>
      </c>
      <c r="M45" s="7">
        <f ca="1">IFERROR(__xludf.DUMMYFUNCTION("""COMPUTED_VALUE"""),29942)</f>
        <v>29942</v>
      </c>
      <c r="N45" s="4" t="str">
        <f ca="1">IFERROR(__xludf.DUMMYFUNCTION("""COMPUTED_VALUE"""),"Penata Tk.I")</f>
        <v>Penata Tk.I</v>
      </c>
      <c r="O45" s="3" t="str">
        <f ca="1">IFERROR(__xludf.DUMMYFUNCTION("""COMPUTED_VALUE"""),"III/d")</f>
        <v>III/d</v>
      </c>
      <c r="P45" s="7">
        <f ca="1">IFERROR(__xludf.DUMMYFUNCTION("""COMPUTED_VALUE"""),45748)</f>
        <v>45748</v>
      </c>
      <c r="Q45" s="3"/>
      <c r="R45" s="3" t="str">
        <f ca="1">IFERROR(__xludf.DUMMYFUNCTION("""COMPUTED_VALUE"""),"Lektor")</f>
        <v>Lektor</v>
      </c>
      <c r="S45" s="3" t="str">
        <f ca="1">IFERROR(__xludf.DUMMYFUNCTION("""COMPUTED_VALUE"""),"Lektor")</f>
        <v>Lektor</v>
      </c>
      <c r="T45" s="7">
        <f ca="1">IFERROR(__xludf.DUMMYFUNCTION("""COMPUTED_VALUE"""),45809)</f>
        <v>45809</v>
      </c>
      <c r="U45" s="3" t="str">
        <f ca="1">IFERROR(__xludf.DUMMYFUNCTION("""COMPUTED_VALUE"""),"185694/B.II/KP.07/05/2025")</f>
        <v>185694/B.II/KP.07/05/2025</v>
      </c>
      <c r="V45" s="7">
        <f ca="1">IFERROR(__xludf.DUMMYFUNCTION("""COMPUTED_VALUE"""),45823)</f>
        <v>45823</v>
      </c>
      <c r="W45" s="3">
        <f ca="1">IFERROR(__xludf.DUMMYFUNCTION("""COMPUTED_VALUE"""),11)</f>
        <v>11</v>
      </c>
      <c r="X45" s="3"/>
      <c r="Y45" s="3" t="str">
        <f ca="1">IFERROR(__xludf.DUMMYFUNCTION("""COMPUTED_VALUE"""),"S-2")</f>
        <v>S-2</v>
      </c>
      <c r="Z45" s="3" t="str">
        <f ca="1">IFERROR(__xludf.DUMMYFUNCTION("""COMPUTED_VALUE"""),"10 Tahun 9 Bulan 27 Hari")</f>
        <v>10 Tahun 9 Bulan 27 Hari</v>
      </c>
      <c r="AA45" s="8">
        <f ca="1">IFERROR(__xludf.DUMMYFUNCTION("""COMPUTED_VALUE"""),53693)</f>
        <v>53693</v>
      </c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4"/>
      <c r="AR45" s="3"/>
      <c r="AS45" s="4"/>
      <c r="AT45" s="3"/>
      <c r="AU45" s="3"/>
    </row>
    <row r="46" spans="1:47" x14ac:dyDescent="0.2">
      <c r="A46" s="12">
        <v>45</v>
      </c>
      <c r="B46" s="3" t="str">
        <f ca="1">IFERROR(__xludf.DUMMYFUNCTION("""COMPUTED_VALUE"""),"Donny Khoirul Azis")</f>
        <v>Donny Khoirul Azis</v>
      </c>
      <c r="C46" s="3" t="str">
        <f ca="1">IFERROR(__xludf.DUMMYFUNCTION("""COMPUTED_VALUE"""),"Dr. Donny Khoirul Azis, S.Pd.I., M.Pd.I.")</f>
        <v>Dr. Donny Khoirul Azis, S.Pd.I., M.Pd.I.</v>
      </c>
      <c r="D46" s="3" t="str">
        <f ca="1">IFERROR(__xludf.DUMMYFUNCTION("""COMPUTED_VALUE"""),"Dr. Donny Khoirul Azis, S.Pd.I., M.Pd.I.")</f>
        <v>Dr. Donny Khoirul Azis, S.Pd.I., M.Pd.I.</v>
      </c>
      <c r="E46" s="3" t="str">
        <f ca="1">IFERROR(__xludf.DUMMYFUNCTION("""COMPUTED_VALUE"""),"198509292011011010")</f>
        <v>198509292011011010</v>
      </c>
      <c r="F46" s="3" t="str">
        <f ca="1">IFERROR(__xludf.DUMMYFUNCTION("""COMPUTED_VALUE"""),"19850929 201101 1 010")</f>
        <v>19850929 201101 1 010</v>
      </c>
      <c r="G46" s="3">
        <f ca="1">IFERROR(__xludf.DUMMYFUNCTION("""COMPUTED_VALUE"""),2029098501)</f>
        <v>2029098501</v>
      </c>
      <c r="H46" s="6" t="str">
        <f ca="1">IFERROR(__xludf.DUMMYFUNCTION("""COMPUTED_VALUE"""),"9261763664130253")</f>
        <v>9261763664130253</v>
      </c>
      <c r="I46" s="3" t="str">
        <f ca="1">IFERROR(__xludf.DUMMYFUNCTION("""COMPUTED_VALUE"""),"PNS")</f>
        <v>PNS</v>
      </c>
      <c r="J46" s="3" t="str">
        <f ca="1">IFERROR(__xludf.DUMMYFUNCTION("""COMPUTED_VALUE"""),"Dosen PNS")</f>
        <v>Dosen PNS</v>
      </c>
      <c r="K46" s="5" t="str">
        <f ca="1">IFERROR(__xludf.DUMMYFUNCTION("""COMPUTED_VALUE"""),"L")</f>
        <v>L</v>
      </c>
      <c r="L46" s="3" t="str">
        <f ca="1">IFERROR(__xludf.DUMMYFUNCTION("""COMPUTED_VALUE"""),"Cilacap")</f>
        <v>Cilacap</v>
      </c>
      <c r="M46" s="7">
        <f ca="1">IFERROR(__xludf.DUMMYFUNCTION("""COMPUTED_VALUE"""),31319)</f>
        <v>31319</v>
      </c>
      <c r="N46" s="4" t="str">
        <f ca="1">IFERROR(__xludf.DUMMYFUNCTION("""COMPUTED_VALUE"""),"Pembina")</f>
        <v>Pembina</v>
      </c>
      <c r="O46" s="3" t="str">
        <f ca="1">IFERROR(__xludf.DUMMYFUNCTION("""COMPUTED_VALUE"""),"IV/a")</f>
        <v>IV/a</v>
      </c>
      <c r="P46" s="7">
        <f ca="1">IFERROR(__xludf.DUMMYFUNCTION("""COMPUTED_VALUE"""),45931)</f>
        <v>45931</v>
      </c>
      <c r="Q46" s="3" t="str">
        <f ca="1">IFERROR(__xludf.DUMMYFUNCTION("""COMPUTED_VALUE"""),"197823/B.II/KP.07.1/08/2025")</f>
        <v>197823/B.II/KP.07.1/08/2025</v>
      </c>
      <c r="R46" s="3" t="str">
        <f ca="1">IFERROR(__xludf.DUMMYFUNCTION("""COMPUTED_VALUE"""),"Lektor Kepala")</f>
        <v>Lektor Kepala</v>
      </c>
      <c r="S46" s="3" t="str">
        <f ca="1">IFERROR(__xludf.DUMMYFUNCTION("""COMPUTED_VALUE"""),"Lektor Kepala")</f>
        <v>Lektor Kepala</v>
      </c>
      <c r="T46" s="7">
        <f ca="1">IFERROR(__xludf.DUMMYFUNCTION("""COMPUTED_VALUE"""),45870)</f>
        <v>45870</v>
      </c>
      <c r="U46" s="3" t="str">
        <f ca="1">IFERROR(__xludf.DUMMYFUNCTION("""COMPUTED_VALUE"""),"190713/B.II/KP.07/06/2025")</f>
        <v>190713/B.II/KP.07/06/2025</v>
      </c>
      <c r="V46" s="7">
        <f ca="1">IFERROR(__xludf.DUMMYFUNCTION("""COMPUTED_VALUE"""),45840)</f>
        <v>45840</v>
      </c>
      <c r="W46" s="3">
        <f ca="1">IFERROR(__xludf.DUMMYFUNCTION("""COMPUTED_VALUE"""),13)</f>
        <v>13</v>
      </c>
      <c r="X46" s="7" t="str">
        <f ca="1">IFERROR(__xludf.DUMMYFUNCTION("""COMPUTED_VALUE"""),"Sekretaris Jurusan Pendidikan Madrasah Pada Fakultas Tarbiyah dan Ilmu Keguruan")</f>
        <v>Sekretaris Jurusan Pendidikan Madrasah Pada Fakultas Tarbiyah dan Ilmu Keguruan</v>
      </c>
      <c r="Y46" s="3" t="str">
        <f ca="1">IFERROR(__xludf.DUMMYFUNCTION("""COMPUTED_VALUE"""),"S-3")</f>
        <v>S-3</v>
      </c>
      <c r="Z46" s="3" t="str">
        <f ca="1">IFERROR(__xludf.DUMMYFUNCTION("""COMPUTED_VALUE"""),"15 Tahun 0 Bulan 27 Hari")</f>
        <v>15 Tahun 0 Bulan 27 Hari</v>
      </c>
      <c r="AA46" s="8">
        <f ca="1">IFERROR(__xludf.DUMMYFUNCTION("""COMPUTED_VALUE"""),55062)</f>
        <v>55062</v>
      </c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4"/>
      <c r="AR46" s="3"/>
      <c r="AS46" s="4"/>
      <c r="AT46" s="3"/>
      <c r="AU46" s="3"/>
    </row>
    <row r="47" spans="1:47" x14ac:dyDescent="0.2">
      <c r="A47" s="12">
        <v>46</v>
      </c>
      <c r="B47" s="3" t="str">
        <f ca="1">IFERROR(__xludf.DUMMYFUNCTION("""COMPUTED_VALUE"""),"Durotun Nafisah")</f>
        <v>Durotun Nafisah</v>
      </c>
      <c r="C47" s="3" t="str">
        <f ca="1">IFERROR(__xludf.DUMMYFUNCTION("""COMPUTED_VALUE"""),"Hj. Durotun Nafisah, S.Ag., M.S.I.")</f>
        <v>Hj. Durotun Nafisah, S.Ag., M.S.I.</v>
      </c>
      <c r="D47" s="3" t="str">
        <f ca="1">IFERROR(__xludf.DUMMYFUNCTION("""COMPUTED_VALUE"""),"Hj. Durotun Nafisah, S.Ag., M.S.I.")</f>
        <v>Hj. Durotun Nafisah, S.Ag., M.S.I.</v>
      </c>
      <c r="E47" s="3" t="str">
        <f ca="1">IFERROR(__xludf.DUMMYFUNCTION("""COMPUTED_VALUE"""),"197309092003122002")</f>
        <v>197309092003122002</v>
      </c>
      <c r="F47" s="3" t="str">
        <f ca="1">IFERROR(__xludf.DUMMYFUNCTION("""COMPUTED_VALUE"""),"19730909 200312 2 002")</f>
        <v>19730909 200312 2 002</v>
      </c>
      <c r="G47" s="3">
        <f ca="1">IFERROR(__xludf.DUMMYFUNCTION("""COMPUTED_VALUE"""),2006097302)</f>
        <v>2006097302</v>
      </c>
      <c r="H47" s="6" t="str">
        <f ca="1">IFERROR(__xludf.DUMMYFUNCTION("""COMPUTED_VALUE"""),"6241751652230123")</f>
        <v>6241751652230123</v>
      </c>
      <c r="I47" s="3" t="str">
        <f ca="1">IFERROR(__xludf.DUMMYFUNCTION("""COMPUTED_VALUE"""),"PNS")</f>
        <v>PNS</v>
      </c>
      <c r="J47" s="3" t="str">
        <f ca="1">IFERROR(__xludf.DUMMYFUNCTION("""COMPUTED_VALUE"""),"Dosen PNS")</f>
        <v>Dosen PNS</v>
      </c>
      <c r="K47" s="5" t="str">
        <f ca="1">IFERROR(__xludf.DUMMYFUNCTION("""COMPUTED_VALUE"""),"P")</f>
        <v>P</v>
      </c>
      <c r="L47" s="3" t="str">
        <f ca="1">IFERROR(__xludf.DUMMYFUNCTION("""COMPUTED_VALUE"""),"Wonosobo")</f>
        <v>Wonosobo</v>
      </c>
      <c r="M47" s="7">
        <f ca="1">IFERROR(__xludf.DUMMYFUNCTION("""COMPUTED_VALUE"""),26916)</f>
        <v>26916</v>
      </c>
      <c r="N47" s="4" t="str">
        <f ca="1">IFERROR(__xludf.DUMMYFUNCTION("""COMPUTED_VALUE"""),"Pembina")</f>
        <v>Pembina</v>
      </c>
      <c r="O47" s="3" t="str">
        <f ca="1">IFERROR(__xludf.DUMMYFUNCTION("""COMPUTED_VALUE"""),"IV/a")</f>
        <v>IV/a</v>
      </c>
      <c r="P47" s="7">
        <f ca="1">IFERROR(__xludf.DUMMYFUNCTION("""COMPUTED_VALUE"""),45809)</f>
        <v>45809</v>
      </c>
      <c r="Q47" s="3" t="str">
        <f ca="1">IFERROR(__xludf.DUMMYFUNCTION("""COMPUTED_VALUE"""),"173116/B.II/KP.07.1/04/2025")</f>
        <v>173116/B.II/KP.07.1/04/2025</v>
      </c>
      <c r="R47" s="3" t="str">
        <f ca="1">IFERROR(__xludf.DUMMYFUNCTION("""COMPUTED_VALUE"""),"Lektor Kepala")</f>
        <v>Lektor Kepala</v>
      </c>
      <c r="S47" s="3" t="str">
        <f ca="1">IFERROR(__xludf.DUMMYFUNCTION("""COMPUTED_VALUE"""),"Lektor Kepala")</f>
        <v>Lektor Kepala</v>
      </c>
      <c r="T47" s="7">
        <f ca="1">IFERROR(__xludf.DUMMYFUNCTION("""COMPUTED_VALUE"""),45717)</f>
        <v>45717</v>
      </c>
      <c r="U47" s="3" t="str">
        <f ca="1">IFERROR(__xludf.DUMMYFUNCTION("""COMPUTED_VALUE"""),"145763/B.II/KP.07/02/2025")</f>
        <v>145763/B.II/KP.07/02/2025</v>
      </c>
      <c r="V47" s="7">
        <f ca="1">IFERROR(__xludf.DUMMYFUNCTION("""COMPUTED_VALUE"""),45702)</f>
        <v>45702</v>
      </c>
      <c r="W47" s="3">
        <f ca="1">IFERROR(__xludf.DUMMYFUNCTION("""COMPUTED_VALUE"""),13)</f>
        <v>13</v>
      </c>
      <c r="X47" s="3"/>
      <c r="Y47" s="3" t="str">
        <f ca="1">IFERROR(__xludf.DUMMYFUNCTION("""COMPUTED_VALUE"""),"S-2")</f>
        <v>S-2</v>
      </c>
      <c r="Z47" s="3" t="str">
        <f ca="1">IFERROR(__xludf.DUMMYFUNCTION("""COMPUTED_VALUE"""),"22 Tahun 1 Bulan 27 Hari")</f>
        <v>22 Tahun 1 Bulan 27 Hari</v>
      </c>
      <c r="AA47" s="8">
        <f ca="1">IFERROR(__xludf.DUMMYFUNCTION("""COMPUTED_VALUE"""),50679)</f>
        <v>50679</v>
      </c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4"/>
      <c r="AR47" s="3"/>
      <c r="AS47" s="4"/>
      <c r="AT47" s="3"/>
      <c r="AU47" s="3"/>
    </row>
    <row r="48" spans="1:47" x14ac:dyDescent="0.2">
      <c r="A48" s="12">
        <v>47</v>
      </c>
      <c r="B48" s="3" t="str">
        <f ca="1">IFERROR(__xludf.DUMMYFUNCTION("""COMPUTED_VALUE"""),"Dwi Priyanto")</f>
        <v>Dwi Priyanto</v>
      </c>
      <c r="C48" s="3" t="str">
        <f ca="1">IFERROR(__xludf.DUMMYFUNCTION("""COMPUTED_VALUE"""),"Dwi Priyanto, S.Ag., M.Pd.")</f>
        <v>Dwi Priyanto, S.Ag., M.Pd.</v>
      </c>
      <c r="D48" s="3" t="str">
        <f ca="1">IFERROR(__xludf.DUMMYFUNCTION("""COMPUTED_VALUE"""),"Dwi Priyanto, S.Ag., M.Pd.")</f>
        <v>Dwi Priyanto, S.Ag., M.Pd.</v>
      </c>
      <c r="E48" s="3" t="str">
        <f ca="1">IFERROR(__xludf.DUMMYFUNCTION("""COMPUTED_VALUE"""),"197606102003121004")</f>
        <v>197606102003121004</v>
      </c>
      <c r="F48" s="3" t="str">
        <f ca="1">IFERROR(__xludf.DUMMYFUNCTION("""COMPUTED_VALUE"""),"19760610 200312 1 004")</f>
        <v>19760610 200312 1 004</v>
      </c>
      <c r="G48" s="3">
        <f ca="1">IFERROR(__xludf.DUMMYFUNCTION("""COMPUTED_VALUE"""),2010067603)</f>
        <v>2010067603</v>
      </c>
      <c r="H48" s="6" t="str">
        <f ca="1">IFERROR(__xludf.DUMMYFUNCTION("""COMPUTED_VALUE"""),"3942754655130182")</f>
        <v>3942754655130182</v>
      </c>
      <c r="I48" s="3" t="str">
        <f ca="1">IFERROR(__xludf.DUMMYFUNCTION("""COMPUTED_VALUE"""),"PNS")</f>
        <v>PNS</v>
      </c>
      <c r="J48" s="3" t="str">
        <f ca="1">IFERROR(__xludf.DUMMYFUNCTION("""COMPUTED_VALUE"""),"Dosen PNS")</f>
        <v>Dosen PNS</v>
      </c>
      <c r="K48" s="5" t="str">
        <f ca="1">IFERROR(__xludf.DUMMYFUNCTION("""COMPUTED_VALUE"""),"L")</f>
        <v>L</v>
      </c>
      <c r="L48" s="3" t="str">
        <f ca="1">IFERROR(__xludf.DUMMYFUNCTION("""COMPUTED_VALUE"""),"Banyumas")</f>
        <v>Banyumas</v>
      </c>
      <c r="M48" s="7">
        <f ca="1">IFERROR(__xludf.DUMMYFUNCTION("""COMPUTED_VALUE"""),27921)</f>
        <v>27921</v>
      </c>
      <c r="N48" s="4" t="str">
        <f ca="1">IFERROR(__xludf.DUMMYFUNCTION("""COMPUTED_VALUE"""),"Pembina Tk.I")</f>
        <v>Pembina Tk.I</v>
      </c>
      <c r="O48" s="3" t="str">
        <f ca="1">IFERROR(__xludf.DUMMYFUNCTION("""COMPUTED_VALUE"""),"IV/b")</f>
        <v>IV/b</v>
      </c>
      <c r="P48" s="7">
        <f ca="1">IFERROR(__xludf.DUMMYFUNCTION("""COMPUTED_VALUE"""),45748)</f>
        <v>45748</v>
      </c>
      <c r="Q48" s="3" t="str">
        <f ca="1">IFERROR(__xludf.DUMMYFUNCTION("""COMPUTED_VALUE"""),"145590/B.II/KP.07.1/02/2025")</f>
        <v>145590/B.II/KP.07.1/02/2025</v>
      </c>
      <c r="R48" s="3" t="str">
        <f ca="1">IFERROR(__xludf.DUMMYFUNCTION("""COMPUTED_VALUE"""),"Lektor Kepala")</f>
        <v>Lektor Kepala</v>
      </c>
      <c r="S48" s="3" t="str">
        <f ca="1">IFERROR(__xludf.DUMMYFUNCTION("""COMPUTED_VALUE"""),"Lektor Kepala")</f>
        <v>Lektor Kepala</v>
      </c>
      <c r="T48" s="7">
        <f ca="1">IFERROR(__xludf.DUMMYFUNCTION("""COMPUTED_VALUE"""),44743)</f>
        <v>44743</v>
      </c>
      <c r="U48" s="3" t="str">
        <f ca="1">IFERROR(__xludf.DUMMYFUNCTION("""COMPUTED_VALUE"""),"24947/B.II/3/2022")</f>
        <v>24947/B.II/3/2022</v>
      </c>
      <c r="V48" s="7">
        <f ca="1">IFERROR(__xludf.DUMMYFUNCTION("""COMPUTED_VALUE"""),44791)</f>
        <v>44791</v>
      </c>
      <c r="W48" s="3">
        <f ca="1">IFERROR(__xludf.DUMMYFUNCTION("""COMPUTED_VALUE"""),13)</f>
        <v>13</v>
      </c>
      <c r="X48" s="3"/>
      <c r="Y48" s="3" t="str">
        <f ca="1">IFERROR(__xludf.DUMMYFUNCTION("""COMPUTED_VALUE"""),"S-2")</f>
        <v>S-2</v>
      </c>
      <c r="Z48" s="3" t="str">
        <f ca="1">IFERROR(__xludf.DUMMYFUNCTION("""COMPUTED_VALUE"""),"22 Tahun 1 Bulan 27 Hari")</f>
        <v>22 Tahun 1 Bulan 27 Hari</v>
      </c>
      <c r="AA48" s="8">
        <f ca="1">IFERROR(__xludf.DUMMYFUNCTION("""COMPUTED_VALUE"""),51683)</f>
        <v>51683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4"/>
      <c r="AR48" s="3"/>
      <c r="AS48" s="4"/>
      <c r="AT48" s="3"/>
      <c r="AU48" s="3"/>
    </row>
    <row r="49" spans="1:47" x14ac:dyDescent="0.2">
      <c r="A49" s="12">
        <v>48</v>
      </c>
      <c r="B49" s="3" t="str">
        <f ca="1">IFERROR(__xludf.DUMMYFUNCTION("""COMPUTED_VALUE"""),"Eka Widiasari")</f>
        <v>Eka Widiasari</v>
      </c>
      <c r="C49" s="3" t="str">
        <f ca="1">IFERROR(__xludf.DUMMYFUNCTION("""COMPUTED_VALUE"""),"Eka Widiasari, M.Psi.")</f>
        <v>Eka Widiasari, M.Psi.</v>
      </c>
      <c r="D49" s="3" t="str">
        <f ca="1">IFERROR(__xludf.DUMMYFUNCTION("""COMPUTED_VALUE"""),"Eka Widiasari, M.Psi.")</f>
        <v>Eka Widiasari, M.Psi.</v>
      </c>
      <c r="E49" s="3" t="str">
        <f ca="1">IFERROR(__xludf.DUMMYFUNCTION("""COMPUTED_VALUE"""),"198602192019032007")</f>
        <v>198602192019032007</v>
      </c>
      <c r="F49" s="3" t="str">
        <f ca="1">IFERROR(__xludf.DUMMYFUNCTION("""COMPUTED_VALUE"""),"19860219 201903 2 007")</f>
        <v>19860219 201903 2 007</v>
      </c>
      <c r="G49" s="3">
        <f ca="1">IFERROR(__xludf.DUMMYFUNCTION("""COMPUTED_VALUE"""),2019028601)</f>
        <v>2019028601</v>
      </c>
      <c r="H49" s="6" t="str">
        <f ca="1">IFERROR(__xludf.DUMMYFUNCTION("""COMPUTED_VALUE"""),"5551764665231022")</f>
        <v>5551764665231022</v>
      </c>
      <c r="I49" s="3" t="str">
        <f ca="1">IFERROR(__xludf.DUMMYFUNCTION("""COMPUTED_VALUE"""),"PNS")</f>
        <v>PNS</v>
      </c>
      <c r="J49" s="3" t="str">
        <f ca="1">IFERROR(__xludf.DUMMYFUNCTION("""COMPUTED_VALUE"""),"Dosen PNS")</f>
        <v>Dosen PNS</v>
      </c>
      <c r="K49" s="5" t="str">
        <f ca="1">IFERROR(__xludf.DUMMYFUNCTION("""COMPUTED_VALUE"""),"P")</f>
        <v>P</v>
      </c>
      <c r="L49" s="3" t="str">
        <f ca="1">IFERROR(__xludf.DUMMYFUNCTION("""COMPUTED_VALUE"""),"Pulungkencana")</f>
        <v>Pulungkencana</v>
      </c>
      <c r="M49" s="7">
        <f ca="1">IFERROR(__xludf.DUMMYFUNCTION("""COMPUTED_VALUE"""),31462)</f>
        <v>31462</v>
      </c>
      <c r="N49" s="4" t="str">
        <f ca="1">IFERROR(__xludf.DUMMYFUNCTION("""COMPUTED_VALUE"""),"Penata Muda Tk.I")</f>
        <v>Penata Muda Tk.I</v>
      </c>
      <c r="O49" s="3" t="str">
        <f ca="1">IFERROR(__xludf.DUMMYFUNCTION("""COMPUTED_VALUE"""),"III/b")</f>
        <v>III/b</v>
      </c>
      <c r="P49" s="7">
        <f ca="1">IFERROR(__xludf.DUMMYFUNCTION("""COMPUTED_VALUE"""),43617)</f>
        <v>43617</v>
      </c>
      <c r="Q49" s="3"/>
      <c r="R49" s="3" t="str">
        <f ca="1">IFERROR(__xludf.DUMMYFUNCTION("""COMPUTED_VALUE"""),"Asisten Ahli")</f>
        <v>Asisten Ahli</v>
      </c>
      <c r="S49" s="3" t="str">
        <f ca="1">IFERROR(__xludf.DUMMYFUNCTION("""COMPUTED_VALUE"""),"Asisten Ahli")</f>
        <v>Asisten Ahli</v>
      </c>
      <c r="T49" s="7">
        <f ca="1">IFERROR(__xludf.DUMMYFUNCTION("""COMPUTED_VALUE"""),44805)</f>
        <v>44805</v>
      </c>
      <c r="U49" s="3" t="str">
        <f ca="1">IFERROR(__xludf.DUMMYFUNCTION("""COMPUTED_VALUE"""),"039204/B.II/3/2022")</f>
        <v>039204/B.II/3/2022</v>
      </c>
      <c r="V49" s="7">
        <f ca="1">IFERROR(__xludf.DUMMYFUNCTION("""COMPUTED_VALUE"""),44804)</f>
        <v>44804</v>
      </c>
      <c r="W49" s="3">
        <f ca="1">IFERROR(__xludf.DUMMYFUNCTION("""COMPUTED_VALUE"""),9)</f>
        <v>9</v>
      </c>
      <c r="X49" s="3"/>
      <c r="Y49" s="3" t="str">
        <f ca="1">IFERROR(__xludf.DUMMYFUNCTION("""COMPUTED_VALUE"""),"S-2")</f>
        <v>S-2</v>
      </c>
      <c r="Z49" s="3" t="str">
        <f ca="1">IFERROR(__xludf.DUMMYFUNCTION("""COMPUTED_VALUE"""),"6 Tahun 10 Bulan 27 Hari")</f>
        <v>6 Tahun 10 Bulan 27 Hari</v>
      </c>
      <c r="AA49" s="8">
        <f ca="1">IFERROR(__xludf.DUMMYFUNCTION("""COMPUTED_VALUE"""),55213)</f>
        <v>55213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4"/>
      <c r="AR49" s="3"/>
      <c r="AS49" s="4"/>
      <c r="AT49" s="3"/>
      <c r="AU49" s="3"/>
    </row>
    <row r="50" spans="1:47" x14ac:dyDescent="0.2">
      <c r="A50" s="12">
        <v>49</v>
      </c>
      <c r="B50" s="3" t="str">
        <f ca="1">IFERROR(__xludf.DUMMYFUNCTION("""COMPUTED_VALUE"""),"Ellen Prima")</f>
        <v>Ellen Prima</v>
      </c>
      <c r="C50" s="3" t="str">
        <f ca="1">IFERROR(__xludf.DUMMYFUNCTION("""COMPUTED_VALUE"""),"Dr. Ellen Prima, S.Psi., M.A.")</f>
        <v>Dr. Ellen Prima, S.Psi., M.A.</v>
      </c>
      <c r="D50" s="3" t="str">
        <f ca="1">IFERROR(__xludf.DUMMYFUNCTION("""COMPUTED_VALUE"""),"Dr. Ellen Prima, S.Psi., M.A.")</f>
        <v>Dr. Ellen Prima, S.Psi., M.A.</v>
      </c>
      <c r="E50" s="3" t="str">
        <f ca="1">IFERROR(__xludf.DUMMYFUNCTION("""COMPUTED_VALUE"""),"198903162015032003")</f>
        <v>198903162015032003</v>
      </c>
      <c r="F50" s="3" t="str">
        <f ca="1">IFERROR(__xludf.DUMMYFUNCTION("""COMPUTED_VALUE"""),"19890316 201503 2 003")</f>
        <v>19890316 201503 2 003</v>
      </c>
      <c r="G50" s="3" t="str">
        <f ca="1">IFERROR(__xludf.DUMMYFUNCTION("""COMPUTED_VALUE"""),"0316038901")</f>
        <v>0316038901</v>
      </c>
      <c r="H50" s="6" t="str">
        <f ca="1">IFERROR(__xludf.DUMMYFUNCTION("""COMPUTED_VALUE"""),"6648767668230272")</f>
        <v>6648767668230272</v>
      </c>
      <c r="I50" s="3" t="str">
        <f ca="1">IFERROR(__xludf.DUMMYFUNCTION("""COMPUTED_VALUE"""),"PNS")</f>
        <v>PNS</v>
      </c>
      <c r="J50" s="3" t="str">
        <f ca="1">IFERROR(__xludf.DUMMYFUNCTION("""COMPUTED_VALUE"""),"Dosen PNS")</f>
        <v>Dosen PNS</v>
      </c>
      <c r="K50" s="5" t="str">
        <f ca="1">IFERROR(__xludf.DUMMYFUNCTION("""COMPUTED_VALUE"""),"P")</f>
        <v>P</v>
      </c>
      <c r="L50" s="3" t="str">
        <f ca="1">IFERROR(__xludf.DUMMYFUNCTION("""COMPUTED_VALUE"""),"Jakarta")</f>
        <v>Jakarta</v>
      </c>
      <c r="M50" s="7">
        <f ca="1">IFERROR(__xludf.DUMMYFUNCTION("""COMPUTED_VALUE"""),32583)</f>
        <v>32583</v>
      </c>
      <c r="N50" s="4" t="str">
        <f ca="1">IFERROR(__xludf.DUMMYFUNCTION("""COMPUTED_VALUE"""),"Penata Tk.I")</f>
        <v>Penata Tk.I</v>
      </c>
      <c r="O50" s="3" t="str">
        <f ca="1">IFERROR(__xludf.DUMMYFUNCTION("""COMPUTED_VALUE"""),"III/d")</f>
        <v>III/d</v>
      </c>
      <c r="P50" s="7">
        <f ca="1">IFERROR(__xludf.DUMMYFUNCTION("""COMPUTED_VALUE"""),44470)</f>
        <v>44470</v>
      </c>
      <c r="Q50" s="3" t="str">
        <f ca="1">IFERROR(__xludf.DUMMYFUNCTION("""COMPUTED_VALUE"""),"1368/In.17/R/Kp.07.6/4/2021")</f>
        <v>1368/In.17/R/Kp.07.6/4/2021</v>
      </c>
      <c r="R50" s="3" t="str">
        <f ca="1">IFERROR(__xludf.DUMMYFUNCTION("""COMPUTED_VALUE"""),"Lektor")</f>
        <v>Lektor</v>
      </c>
      <c r="S50" s="3" t="str">
        <f ca="1">IFERROR(__xludf.DUMMYFUNCTION("""COMPUTED_VALUE"""),"Lektor")</f>
        <v>Lektor</v>
      </c>
      <c r="T50" s="7">
        <f ca="1">IFERROR(__xludf.DUMMYFUNCTION("""COMPUTED_VALUE"""),44256)</f>
        <v>44256</v>
      </c>
      <c r="U50" s="3" t="str">
        <f ca="1">IFERROR(__xludf.DUMMYFUNCTION("""COMPUTED_VALUE"""),"1368/In.17/R/Kp.07.6/4/2021")</f>
        <v>1368/In.17/R/Kp.07.6/4/2021</v>
      </c>
      <c r="V50" s="3"/>
      <c r="W50" s="3">
        <f ca="1">IFERROR(__xludf.DUMMYFUNCTION("""COMPUTED_VALUE"""),11)</f>
        <v>11</v>
      </c>
      <c r="X50" s="7" t="str">
        <f ca="1">IFERROR(__xludf.DUMMYFUNCTION("""COMPUTED_VALUE"""),"Sekretaris Program Studi S-2 Pendidikan Anak Usia Dini pada Pascasarjana")</f>
        <v>Sekretaris Program Studi S-2 Pendidikan Anak Usia Dini pada Pascasarjana</v>
      </c>
      <c r="Y50" s="3" t="str">
        <f ca="1">IFERROR(__xludf.DUMMYFUNCTION("""COMPUTED_VALUE"""),"S-3")</f>
        <v>S-3</v>
      </c>
      <c r="Z50" s="3" t="str">
        <f ca="1">IFERROR(__xludf.DUMMYFUNCTION("""COMPUTED_VALUE"""),"10 Tahun 10 Bulan 27 Hari")</f>
        <v>10 Tahun 10 Bulan 27 Hari</v>
      </c>
      <c r="AA50" s="8">
        <f ca="1">IFERROR(__xludf.DUMMYFUNCTION("""COMPUTED_VALUE"""),56340)</f>
        <v>56340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4"/>
      <c r="AR50" s="3"/>
      <c r="AS50" s="4"/>
      <c r="AT50" s="3"/>
      <c r="AU50" s="3"/>
    </row>
    <row r="51" spans="1:47" x14ac:dyDescent="0.2">
      <c r="A51" s="12">
        <v>50</v>
      </c>
      <c r="B51" s="3" t="str">
        <f ca="1">IFERROR(__xludf.DUMMYFUNCTION("""COMPUTED_VALUE"""),"Elya Munfarida")</f>
        <v>Elya Munfarida</v>
      </c>
      <c r="C51" s="3" t="str">
        <f ca="1">IFERROR(__xludf.DUMMYFUNCTION("""COMPUTED_VALUE"""),"Dr. Hj. Elya Munfarida, M.Ag.")</f>
        <v>Dr. Hj. Elya Munfarida, M.Ag.</v>
      </c>
      <c r="D51" s="3" t="str">
        <f ca="1">IFERROR(__xludf.DUMMYFUNCTION("""COMPUTED_VALUE"""),"Dr. Hj. Elya Munfarida, M.Ag.")</f>
        <v>Dr. Hj. Elya Munfarida, M.Ag.</v>
      </c>
      <c r="E51" s="3" t="str">
        <f ca="1">IFERROR(__xludf.DUMMYFUNCTION("""COMPUTED_VALUE"""),"197711122001122001")</f>
        <v>197711122001122001</v>
      </c>
      <c r="F51" s="3" t="str">
        <f ca="1">IFERROR(__xludf.DUMMYFUNCTION("""COMPUTED_VALUE"""),"19771112 200112 2 001")</f>
        <v>19771112 200112 2 001</v>
      </c>
      <c r="G51" s="3">
        <f ca="1">IFERROR(__xludf.DUMMYFUNCTION("""COMPUTED_VALUE"""),2012117902)</f>
        <v>2012117902</v>
      </c>
      <c r="H51" s="6" t="str">
        <f ca="1">IFERROR(__xludf.DUMMYFUNCTION("""COMPUTED_VALUE"""),"4444755656230143")</f>
        <v>4444755656230143</v>
      </c>
      <c r="I51" s="3" t="str">
        <f ca="1">IFERROR(__xludf.DUMMYFUNCTION("""COMPUTED_VALUE"""),"PNS")</f>
        <v>PNS</v>
      </c>
      <c r="J51" s="3" t="str">
        <f ca="1">IFERROR(__xludf.DUMMYFUNCTION("""COMPUTED_VALUE"""),"Dosen PNS")</f>
        <v>Dosen PNS</v>
      </c>
      <c r="K51" s="5" t="str">
        <f ca="1">IFERROR(__xludf.DUMMYFUNCTION("""COMPUTED_VALUE"""),"P")</f>
        <v>P</v>
      </c>
      <c r="L51" s="3" t="str">
        <f ca="1">IFERROR(__xludf.DUMMYFUNCTION("""COMPUTED_VALUE"""),"Blora")</f>
        <v>Blora</v>
      </c>
      <c r="M51" s="9">
        <f ca="1">IFERROR(__xludf.DUMMYFUNCTION("""COMPUTED_VALUE"""),28441)</f>
        <v>28441</v>
      </c>
      <c r="N51" s="4" t="str">
        <f ca="1">IFERROR(__xludf.DUMMYFUNCTION("""COMPUTED_VALUE"""),"Pembina")</f>
        <v>Pembina</v>
      </c>
      <c r="O51" s="3" t="str">
        <f ca="1">IFERROR(__xludf.DUMMYFUNCTION("""COMPUTED_VALUE"""),"IV/a")</f>
        <v>IV/a</v>
      </c>
      <c r="P51" s="7">
        <f ca="1">IFERROR(__xludf.DUMMYFUNCTION("""COMPUTED_VALUE"""),45383)</f>
        <v>45383</v>
      </c>
      <c r="Q51" s="3" t="str">
        <f ca="1">IFERROR(__xludf.DUMMYFUNCTION("""COMPUTED_VALUE"""),"013156/B.II/3/2024")</f>
        <v>013156/B.II/3/2024</v>
      </c>
      <c r="R51" s="3" t="str">
        <f ca="1">IFERROR(__xludf.DUMMYFUNCTION("""COMPUTED_VALUE"""),"Lektor Kepala")</f>
        <v>Lektor Kepala</v>
      </c>
      <c r="S51" s="3" t="str">
        <f ca="1">IFERROR(__xludf.DUMMYFUNCTION("""COMPUTED_VALUE"""),"Lektor Kepala")</f>
        <v>Lektor Kepala</v>
      </c>
      <c r="T51" s="7">
        <f ca="1">IFERROR(__xludf.DUMMYFUNCTION("""COMPUTED_VALUE"""),45139)</f>
        <v>45139</v>
      </c>
      <c r="U51" s="3" t="str">
        <f ca="1">IFERROR(__xludf.DUMMYFUNCTION("""COMPUTED_VALUE"""),"126984/B.II/3/2023")</f>
        <v>126984/B.II/3/2023</v>
      </c>
      <c r="V51" s="7">
        <f ca="1">IFERROR(__xludf.DUMMYFUNCTION("""COMPUTED_VALUE"""),45289)</f>
        <v>45289</v>
      </c>
      <c r="W51" s="3">
        <f ca="1">IFERROR(__xludf.DUMMYFUNCTION("""COMPUTED_VALUE"""),13)</f>
        <v>13</v>
      </c>
      <c r="X51" s="7" t="str">
        <f ca="1">IFERROR(__xludf.DUMMYFUNCTION("""COMPUTED_VALUE"""),"Wakil Dekan Bidang Kemahasiswaan, Alumni dan Kerja Sama Pada Fakultas Ushuluddin, Adab, dan Humaniora")</f>
        <v>Wakil Dekan Bidang Kemahasiswaan, Alumni dan Kerja Sama Pada Fakultas Ushuluddin, Adab, dan Humaniora</v>
      </c>
      <c r="Y51" s="3" t="str">
        <f ca="1">IFERROR(__xludf.DUMMYFUNCTION("""COMPUTED_VALUE"""),"S-3")</f>
        <v>S-3</v>
      </c>
      <c r="Z51" s="3" t="str">
        <f ca="1">IFERROR(__xludf.DUMMYFUNCTION("""COMPUTED_VALUE"""),"24 Tahun 1 Bulan 27 Hari")</f>
        <v>24 Tahun 1 Bulan 27 Hari</v>
      </c>
      <c r="AA51" s="8">
        <f ca="1">IFERROR(__xludf.DUMMYFUNCTION("""COMPUTED_VALUE"""),52201)</f>
        <v>52201</v>
      </c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4"/>
      <c r="AR51" s="3"/>
      <c r="AS51" s="4"/>
      <c r="AT51" s="3"/>
      <c r="AU51" s="3"/>
    </row>
    <row r="52" spans="1:47" x14ac:dyDescent="0.2">
      <c r="A52" s="12">
        <v>51</v>
      </c>
      <c r="B52" s="3" t="str">
        <f ca="1">IFERROR(__xludf.DUMMYFUNCTION("""COMPUTED_VALUE"""),"Endah Kusumaningrum")</f>
        <v>Endah Kusumaningrum</v>
      </c>
      <c r="C52" s="3" t="str">
        <f ca="1">IFERROR(__xludf.DUMMYFUNCTION("""COMPUTED_VALUE"""),"Endah Kusumaningrum, M.Pd.")</f>
        <v>Endah Kusumaningrum, M.Pd.</v>
      </c>
      <c r="D52" s="3" t="str">
        <f ca="1">IFERROR(__xludf.DUMMYFUNCTION("""COMPUTED_VALUE"""),"Endah Kusumaningrum, M.Pd.")</f>
        <v>Endah Kusumaningrum, M.Pd.</v>
      </c>
      <c r="E52" s="3" t="str">
        <f ca="1">IFERROR(__xludf.DUMMYFUNCTION("""COMPUTED_VALUE"""),"199406052019032029")</f>
        <v>199406052019032029</v>
      </c>
      <c r="F52" s="3" t="str">
        <f ca="1">IFERROR(__xludf.DUMMYFUNCTION("""COMPUTED_VALUE"""),"19940605 201903 2 029")</f>
        <v>19940605 201903 2 029</v>
      </c>
      <c r="G52" s="3">
        <f ca="1">IFERROR(__xludf.DUMMYFUNCTION("""COMPUTED_VALUE"""),2005069401)</f>
        <v>2005069401</v>
      </c>
      <c r="H52" s="6" t="str">
        <f ca="1">IFERROR(__xludf.DUMMYFUNCTION("""COMPUTED_VALUE"""),"8937772673230312")</f>
        <v>8937772673230312</v>
      </c>
      <c r="I52" s="3" t="str">
        <f ca="1">IFERROR(__xludf.DUMMYFUNCTION("""COMPUTED_VALUE"""),"PNS")</f>
        <v>PNS</v>
      </c>
      <c r="J52" s="3" t="str">
        <f ca="1">IFERROR(__xludf.DUMMYFUNCTION("""COMPUTED_VALUE"""),"Dosen PNS")</f>
        <v>Dosen PNS</v>
      </c>
      <c r="K52" s="5" t="str">
        <f ca="1">IFERROR(__xludf.DUMMYFUNCTION("""COMPUTED_VALUE"""),"P")</f>
        <v>P</v>
      </c>
      <c r="L52" s="3" t="str">
        <f ca="1">IFERROR(__xludf.DUMMYFUNCTION("""COMPUTED_VALUE"""),"Banyumas")</f>
        <v>Banyumas</v>
      </c>
      <c r="M52" s="7">
        <f ca="1">IFERROR(__xludf.DUMMYFUNCTION("""COMPUTED_VALUE"""),34490)</f>
        <v>34490</v>
      </c>
      <c r="N52" s="4" t="str">
        <f ca="1">IFERROR(__xludf.DUMMYFUNCTION("""COMPUTED_VALUE"""),"Penata")</f>
        <v>Penata</v>
      </c>
      <c r="O52" s="3" t="str">
        <f ca="1">IFERROR(__xludf.DUMMYFUNCTION("""COMPUTED_VALUE"""),"III/c")</f>
        <v>III/c</v>
      </c>
      <c r="P52" s="7">
        <f ca="1">IFERROR(__xludf.DUMMYFUNCTION("""COMPUTED_VALUE"""),45627)</f>
        <v>45627</v>
      </c>
      <c r="Q52" s="3" t="str">
        <f ca="1">IFERROR(__xludf.DUMMYFUNCTION("""COMPUTED_VALUE"""),"908/Un.19/K.AUPK/KP.07.1/11/2024")</f>
        <v>908/Un.19/K.AUPK/KP.07.1/11/2024</v>
      </c>
      <c r="R52" s="3" t="str">
        <f ca="1">IFERROR(__xludf.DUMMYFUNCTION("""COMPUTED_VALUE"""),"Lektor")</f>
        <v>Lektor</v>
      </c>
      <c r="S52" s="3" t="str">
        <f ca="1">IFERROR(__xludf.DUMMYFUNCTION("""COMPUTED_VALUE"""),"Lektor")</f>
        <v>Lektor</v>
      </c>
      <c r="T52" s="7">
        <f ca="1">IFERROR(__xludf.DUMMYFUNCTION("""COMPUTED_VALUE"""),45566)</f>
        <v>45566</v>
      </c>
      <c r="U52" s="3" t="str">
        <f ca="1">IFERROR(__xludf.DUMMYFUNCTION("""COMPUTED_VALUE"""),"868.4 TAHUN 2024")</f>
        <v>868.4 TAHUN 2024</v>
      </c>
      <c r="V52" s="7">
        <f ca="1">IFERROR(__xludf.DUMMYFUNCTION("""COMPUTED_VALUE"""),45566)</f>
        <v>45566</v>
      </c>
      <c r="W52" s="3">
        <f ca="1">IFERROR(__xludf.DUMMYFUNCTION("""COMPUTED_VALUE"""),11)</f>
        <v>11</v>
      </c>
      <c r="X52" s="3"/>
      <c r="Y52" s="3" t="str">
        <f ca="1">IFERROR(__xludf.DUMMYFUNCTION("""COMPUTED_VALUE"""),"S-2")</f>
        <v>S-2</v>
      </c>
      <c r="Z52" s="3" t="str">
        <f ca="1">IFERROR(__xludf.DUMMYFUNCTION("""COMPUTED_VALUE"""),"6 Tahun 10 Bulan 27 Hari")</f>
        <v>6 Tahun 10 Bulan 27 Hari</v>
      </c>
      <c r="AA52" s="8">
        <f ca="1">IFERROR(__xludf.DUMMYFUNCTION("""COMPUTED_VALUE"""),58257)</f>
        <v>58257</v>
      </c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4"/>
      <c r="AR52" s="3"/>
      <c r="AS52" s="4"/>
      <c r="AT52" s="3"/>
      <c r="AU52" s="3"/>
    </row>
    <row r="53" spans="1:47" x14ac:dyDescent="0.2">
      <c r="A53" s="12">
        <v>52</v>
      </c>
      <c r="B53" s="3" t="str">
        <f ca="1">IFERROR(__xludf.DUMMYFUNCTION("""COMPUTED_VALUE"""),"Endang Widuri")</f>
        <v>Endang Widuri</v>
      </c>
      <c r="C53" s="3" t="str">
        <f ca="1">IFERROR(__xludf.DUMMYFUNCTION("""COMPUTED_VALUE"""),"Endang Widuri, S.H., M.Hum.")</f>
        <v>Endang Widuri, S.H., M.Hum.</v>
      </c>
      <c r="D53" s="3" t="str">
        <f ca="1">IFERROR(__xludf.DUMMYFUNCTION("""COMPUTED_VALUE"""),"Dr. Endang Widuri, S.H., M.Hum.")</f>
        <v>Dr. Endang Widuri, S.H., M.Hum.</v>
      </c>
      <c r="E53" s="3" t="str">
        <f ca="1">IFERROR(__xludf.DUMMYFUNCTION("""COMPUTED_VALUE"""),"197505101999032002")</f>
        <v>197505101999032002</v>
      </c>
      <c r="F53" s="3" t="str">
        <f ca="1">IFERROR(__xludf.DUMMYFUNCTION("""COMPUTED_VALUE"""),"19750510 199903 2 002")</f>
        <v>19750510 199903 2 002</v>
      </c>
      <c r="G53" s="3">
        <f ca="1">IFERROR(__xludf.DUMMYFUNCTION("""COMPUTED_VALUE"""),2010057504)</f>
        <v>2010057504</v>
      </c>
      <c r="H53" s="6" t="str">
        <f ca="1">IFERROR(__xludf.DUMMYFUNCTION("""COMPUTED_VALUE"""),"8842753654230192")</f>
        <v>8842753654230192</v>
      </c>
      <c r="I53" s="3" t="str">
        <f ca="1">IFERROR(__xludf.DUMMYFUNCTION("""COMPUTED_VALUE"""),"PNS")</f>
        <v>PNS</v>
      </c>
      <c r="J53" s="3" t="str">
        <f ca="1">IFERROR(__xludf.DUMMYFUNCTION("""COMPUTED_VALUE"""),"Dosen PNS")</f>
        <v>Dosen PNS</v>
      </c>
      <c r="K53" s="5" t="str">
        <f ca="1">IFERROR(__xludf.DUMMYFUNCTION("""COMPUTED_VALUE"""),"P")</f>
        <v>P</v>
      </c>
      <c r="L53" s="3" t="str">
        <f ca="1">IFERROR(__xludf.DUMMYFUNCTION("""COMPUTED_VALUE"""),"Kebumen")</f>
        <v>Kebumen</v>
      </c>
      <c r="M53" s="7">
        <f ca="1">IFERROR(__xludf.DUMMYFUNCTION("""COMPUTED_VALUE"""),27524)</f>
        <v>27524</v>
      </c>
      <c r="N53" s="4" t="str">
        <f ca="1">IFERROR(__xludf.DUMMYFUNCTION("""COMPUTED_VALUE"""),"Penata Tk.I")</f>
        <v>Penata Tk.I</v>
      </c>
      <c r="O53" s="3" t="str">
        <f ca="1">IFERROR(__xludf.DUMMYFUNCTION("""COMPUTED_VALUE"""),"III/d")</f>
        <v>III/d</v>
      </c>
      <c r="P53" s="7">
        <f ca="1">IFERROR(__xludf.DUMMYFUNCTION("""COMPUTED_VALUE"""),39904)</f>
        <v>39904</v>
      </c>
      <c r="Q53" s="3" t="str">
        <f ca="1">IFERROR(__xludf.DUMMYFUNCTION("""COMPUTED_VALUE"""),"B.II/3/4722")</f>
        <v>B.II/3/4722</v>
      </c>
      <c r="R53" s="3" t="str">
        <f ca="1">IFERROR(__xludf.DUMMYFUNCTION("""COMPUTED_VALUE"""),"Lektor")</f>
        <v>Lektor</v>
      </c>
      <c r="S53" s="3" t="str">
        <f ca="1">IFERROR(__xludf.DUMMYFUNCTION("""COMPUTED_VALUE"""),"Lektor")</f>
        <v>Lektor</v>
      </c>
      <c r="T53" s="7">
        <f ca="1">IFERROR(__xludf.DUMMYFUNCTION("""COMPUTED_VALUE"""),39783)</f>
        <v>39783</v>
      </c>
      <c r="U53" s="3" t="str">
        <f ca="1">IFERROR(__xludf.DUMMYFUNCTION("""COMPUTED_VALUE"""),"B.II/3/4722")</f>
        <v>B.II/3/4722</v>
      </c>
      <c r="V53" s="3"/>
      <c r="W53" s="3">
        <f ca="1">IFERROR(__xludf.DUMMYFUNCTION("""COMPUTED_VALUE"""),11)</f>
        <v>11</v>
      </c>
      <c r="X53" s="3"/>
      <c r="Y53" s="3" t="str">
        <f ca="1">IFERROR(__xludf.DUMMYFUNCTION("""COMPUTED_VALUE"""),"S-3")</f>
        <v>S-3</v>
      </c>
      <c r="Z53" s="3" t="str">
        <f ca="1">IFERROR(__xludf.DUMMYFUNCTION("""COMPUTED_VALUE"""),"26 Tahun 10 Bulan 27 Hari")</f>
        <v>26 Tahun 10 Bulan 27 Hari</v>
      </c>
      <c r="AA53" s="8">
        <f ca="1">IFERROR(__xludf.DUMMYFUNCTION("""COMPUTED_VALUE"""),51288)</f>
        <v>51288</v>
      </c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4"/>
      <c r="AR53" s="3"/>
      <c r="AS53" s="4"/>
      <c r="AT53" s="3"/>
      <c r="AU53" s="3"/>
    </row>
    <row r="54" spans="1:47" x14ac:dyDescent="0.2">
      <c r="A54" s="12">
        <v>53</v>
      </c>
      <c r="B54" s="3" t="str">
        <f ca="1">IFERROR(__xludf.DUMMYFUNCTION("""COMPUTED_VALUE"""),"Enjang Burhanudin Yusuf")</f>
        <v>Enjang Burhanudin Yusuf</v>
      </c>
      <c r="C54" s="3" t="str">
        <f ca="1">IFERROR(__xludf.DUMMYFUNCTION("""COMPUTED_VALUE"""),"Dr. Enjang Burhanudin Yusuf, M.Pd.")</f>
        <v>Dr. Enjang Burhanudin Yusuf, M.Pd.</v>
      </c>
      <c r="D54" s="3" t="str">
        <f ca="1">IFERROR(__xludf.DUMMYFUNCTION("""COMPUTED_VALUE"""),"Dr. Enjang Burhanudin Yusuf, M.Pd.")</f>
        <v>Dr. Enjang Burhanudin Yusuf, M.Pd.</v>
      </c>
      <c r="E54" s="3" t="str">
        <f ca="1">IFERROR(__xludf.DUMMYFUNCTION("""COMPUTED_VALUE"""),"198408092015031003")</f>
        <v>198408092015031003</v>
      </c>
      <c r="F54" s="3" t="str">
        <f ca="1">IFERROR(__xludf.DUMMYFUNCTION("""COMPUTED_VALUE"""),"19840809 201503 1 003")</f>
        <v>19840809 201503 1 003</v>
      </c>
      <c r="G54" s="3">
        <f ca="1">IFERROR(__xludf.DUMMYFUNCTION("""COMPUTED_VALUE"""),2009088401)</f>
        <v>2009088401</v>
      </c>
      <c r="H54" s="6" t="str">
        <f ca="1">IFERROR(__xludf.DUMMYFUNCTION("""COMPUTED_VALUE"""),"3141762663130203")</f>
        <v>3141762663130203</v>
      </c>
      <c r="I54" s="3" t="str">
        <f ca="1">IFERROR(__xludf.DUMMYFUNCTION("""COMPUTED_VALUE"""),"PNS")</f>
        <v>PNS</v>
      </c>
      <c r="J54" s="3" t="str">
        <f ca="1">IFERROR(__xludf.DUMMYFUNCTION("""COMPUTED_VALUE"""),"Dosen PNS")</f>
        <v>Dosen PNS</v>
      </c>
      <c r="K54" s="5" t="str">
        <f ca="1">IFERROR(__xludf.DUMMYFUNCTION("""COMPUTED_VALUE"""),"L")</f>
        <v>L</v>
      </c>
      <c r="L54" s="3" t="str">
        <f ca="1">IFERROR(__xludf.DUMMYFUNCTION("""COMPUTED_VALUE"""),"Cilacap")</f>
        <v>Cilacap</v>
      </c>
      <c r="M54" s="7">
        <f ca="1">IFERROR(__xludf.DUMMYFUNCTION("""COMPUTED_VALUE"""),30903)</f>
        <v>30903</v>
      </c>
      <c r="N54" s="4" t="str">
        <f ca="1">IFERROR(__xludf.DUMMYFUNCTION("""COMPUTED_VALUE"""),"Penata Tk.I")</f>
        <v>Penata Tk.I</v>
      </c>
      <c r="O54" s="3" t="str">
        <f ca="1">IFERROR(__xludf.DUMMYFUNCTION("""COMPUTED_VALUE"""),"III/d")</f>
        <v>III/d</v>
      </c>
      <c r="P54" s="7">
        <f ca="1">IFERROR(__xludf.DUMMYFUNCTION("""COMPUTED_VALUE"""),45383)</f>
        <v>45383</v>
      </c>
      <c r="Q54" s="3" t="str">
        <f ca="1">IFERROR(__xludf.DUMMYFUNCTION("""COMPUTED_VALUE"""),"510/Un.19/K.AUPK/KP.07.1/03/2024")</f>
        <v>510/Un.19/K.AUPK/KP.07.1/03/2024</v>
      </c>
      <c r="R54" s="3" t="str">
        <f ca="1">IFERROR(__xludf.DUMMYFUNCTION("""COMPUTED_VALUE"""),"Lektor")</f>
        <v>Lektor</v>
      </c>
      <c r="S54" s="3" t="str">
        <f ca="1">IFERROR(__xludf.DUMMYFUNCTION("""COMPUTED_VALUE"""),"Lektor")</f>
        <v>Lektor</v>
      </c>
      <c r="T54" s="7">
        <f ca="1">IFERROR(__xludf.DUMMYFUNCTION("""COMPUTED_VALUE"""),43709)</f>
        <v>43709</v>
      </c>
      <c r="U54" s="3" t="str">
        <f ca="1">IFERROR(__xludf.DUMMYFUNCTION("""COMPUTED_VALUE"""),"895/In.17/R/Kp.07.6/6/2019")</f>
        <v>895/In.17/R/Kp.07.6/6/2019</v>
      </c>
      <c r="V54" s="3"/>
      <c r="W54" s="3">
        <f ca="1">IFERROR(__xludf.DUMMYFUNCTION("""COMPUTED_VALUE"""),11)</f>
        <v>11</v>
      </c>
      <c r="X54" s="7" t="str">
        <f ca="1">IFERROR(__xludf.DUMMYFUNCTION("""COMPUTED_VALUE"""),"Kepala Pusat Audit, Pemantauan dan Penilaian Mutu Akademik Pada Lembaga Penjaminan Mutu")</f>
        <v>Kepala Pusat Audit, Pemantauan dan Penilaian Mutu Akademik Pada Lembaga Penjaminan Mutu</v>
      </c>
      <c r="Y54" s="3" t="str">
        <f ca="1">IFERROR(__xludf.DUMMYFUNCTION("""COMPUTED_VALUE"""),"S-3")</f>
        <v>S-3</v>
      </c>
      <c r="Z54" s="3" t="str">
        <f ca="1">IFERROR(__xludf.DUMMYFUNCTION("""COMPUTED_VALUE"""),"10 Tahun 10 Bulan 27 Hari")</f>
        <v>10 Tahun 10 Bulan 27 Hari</v>
      </c>
      <c r="AA54" s="8">
        <f ca="1">IFERROR(__xludf.DUMMYFUNCTION("""COMPUTED_VALUE"""),54667)</f>
        <v>54667</v>
      </c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4"/>
      <c r="AR54" s="3"/>
      <c r="AS54" s="4"/>
      <c r="AT54" s="3"/>
      <c r="AU54" s="3"/>
    </row>
    <row r="55" spans="1:47" x14ac:dyDescent="0.2">
      <c r="A55" s="12">
        <v>54</v>
      </c>
      <c r="B55" s="3" t="str">
        <f ca="1">IFERROR(__xludf.DUMMYFUNCTION("""COMPUTED_VALUE"""),"Enjen Zaenal Mutaqin")</f>
        <v>Enjen Zaenal Mutaqin</v>
      </c>
      <c r="C55" s="3" t="str">
        <f ca="1">IFERROR(__xludf.DUMMYFUNCTION("""COMPUTED_VALUE"""),"Enjen Zaenal Mutaqin, M.Ud.")</f>
        <v>Enjen Zaenal Mutaqin, M.Ud.</v>
      </c>
      <c r="D55" s="3" t="str">
        <f ca="1">IFERROR(__xludf.DUMMYFUNCTION("""COMPUTED_VALUE"""),"Enjen Zaenal Mutaqin, M.Ud.")</f>
        <v>Enjen Zaenal Mutaqin, M.Ud.</v>
      </c>
      <c r="E55" s="3" t="str">
        <f ca="1">IFERROR(__xludf.DUMMYFUNCTION("""COMPUTED_VALUE"""),"198810032019031015")</f>
        <v>198810032019031015</v>
      </c>
      <c r="F55" s="3" t="str">
        <f ca="1">IFERROR(__xludf.DUMMYFUNCTION("""COMPUTED_VALUE"""),"19881003 201903 1 015")</f>
        <v>19881003 201903 1 015</v>
      </c>
      <c r="G55" s="3">
        <f ca="1">IFERROR(__xludf.DUMMYFUNCTION("""COMPUTED_VALUE"""),2003038802)</f>
        <v>2003038802</v>
      </c>
      <c r="H55" s="6" t="str">
        <f ca="1">IFERROR(__xludf.DUMMYFUNCTION("""COMPUTED_VALUE"""),"0335766667130253")</f>
        <v>0335766667130253</v>
      </c>
      <c r="I55" s="3" t="str">
        <f ca="1">IFERROR(__xludf.DUMMYFUNCTION("""COMPUTED_VALUE"""),"PNS")</f>
        <v>PNS</v>
      </c>
      <c r="J55" s="3" t="str">
        <f ca="1">IFERROR(__xludf.DUMMYFUNCTION("""COMPUTED_VALUE"""),"Dosen PNS")</f>
        <v>Dosen PNS</v>
      </c>
      <c r="K55" s="5" t="str">
        <f ca="1">IFERROR(__xludf.DUMMYFUNCTION("""COMPUTED_VALUE"""),"L")</f>
        <v>L</v>
      </c>
      <c r="L55" s="3" t="str">
        <f ca="1">IFERROR(__xludf.DUMMYFUNCTION("""COMPUTED_VALUE"""),"Majalengka")</f>
        <v>Majalengka</v>
      </c>
      <c r="M55" s="7">
        <f ca="1">IFERROR(__xludf.DUMMYFUNCTION("""COMPUTED_VALUE"""),32419)</f>
        <v>32419</v>
      </c>
      <c r="N55" s="4" t="str">
        <f ca="1">IFERROR(__xludf.DUMMYFUNCTION("""COMPUTED_VALUE"""),"Penata")</f>
        <v>Penata</v>
      </c>
      <c r="O55" s="3" t="str">
        <f ca="1">IFERROR(__xludf.DUMMYFUNCTION("""COMPUTED_VALUE"""),"III/c")</f>
        <v>III/c</v>
      </c>
      <c r="P55" s="7">
        <f ca="1">IFERROR(__xludf.DUMMYFUNCTION("""COMPUTED_VALUE"""),45809)</f>
        <v>45809</v>
      </c>
      <c r="Q55" s="3" t="str">
        <f ca="1">IFERROR(__xludf.DUMMYFUNCTION("""COMPUTED_VALUE"""),"186496/B.II/KP.07.1/05/2025")</f>
        <v>186496/B.II/KP.07.1/05/2025</v>
      </c>
      <c r="R55" s="3" t="str">
        <f ca="1">IFERROR(__xludf.DUMMYFUNCTION("""COMPUTED_VALUE"""),"Lektor")</f>
        <v>Lektor</v>
      </c>
      <c r="S55" s="3" t="str">
        <f ca="1">IFERROR(__xludf.DUMMYFUNCTION("""COMPUTED_VALUE"""),"Lektor")</f>
        <v>Lektor</v>
      </c>
      <c r="T55" s="7">
        <f ca="1">IFERROR(__xludf.DUMMYFUNCTION("""COMPUTED_VALUE"""),45717)</f>
        <v>45717</v>
      </c>
      <c r="U55" s="3" t="str">
        <f ca="1">IFERROR(__xludf.DUMMYFUNCTION("""COMPUTED_VALUE"""),"309/Un.19/R/KP.08.1/3/2025")</f>
        <v>309/Un.19/R/KP.08.1/3/2025</v>
      </c>
      <c r="V55" s="7">
        <f ca="1">IFERROR(__xludf.DUMMYFUNCTION("""COMPUTED_VALUE"""),45741)</f>
        <v>45741</v>
      </c>
      <c r="W55" s="3">
        <f ca="1">IFERROR(__xludf.DUMMYFUNCTION("""COMPUTED_VALUE"""),11)</f>
        <v>11</v>
      </c>
      <c r="X55" s="3"/>
      <c r="Y55" s="3" t="str">
        <f ca="1">IFERROR(__xludf.DUMMYFUNCTION("""COMPUTED_VALUE"""),"S-2")</f>
        <v>S-2</v>
      </c>
      <c r="Z55" s="3" t="str">
        <f ca="1">IFERROR(__xludf.DUMMYFUNCTION("""COMPUTED_VALUE"""),"6 Tahun 10 Bulan 27 Hari")</f>
        <v>6 Tahun 10 Bulan 27 Hari</v>
      </c>
      <c r="AA55" s="8">
        <f ca="1">IFERROR(__xludf.DUMMYFUNCTION("""COMPUTED_VALUE"""),56189)</f>
        <v>56189</v>
      </c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4"/>
      <c r="AR55" s="3"/>
      <c r="AS55" s="4"/>
      <c r="AT55" s="3"/>
      <c r="AU55" s="3"/>
    </row>
    <row r="56" spans="1:47" x14ac:dyDescent="0.2">
      <c r="A56" s="12">
        <v>55</v>
      </c>
      <c r="B56" s="3" t="str">
        <f ca="1">IFERROR(__xludf.DUMMYFUNCTION("""COMPUTED_VALUE"""),"Enung Asmaya")</f>
        <v>Enung Asmaya</v>
      </c>
      <c r="C56" s="3" t="str">
        <f ca="1">IFERROR(__xludf.DUMMYFUNCTION("""COMPUTED_VALUE"""),"Dr. Hj. Enung Asmaya, S.Ag., M.A.")</f>
        <v>Dr. Hj. Enung Asmaya, S.Ag., M.A.</v>
      </c>
      <c r="D56" s="3" t="str">
        <f ca="1">IFERROR(__xludf.DUMMYFUNCTION("""COMPUTED_VALUE"""),"Dr. Hj. Enung Asmaya, S.Ag., M.A.")</f>
        <v>Dr. Hj. Enung Asmaya, S.Ag., M.A.</v>
      </c>
      <c r="E56" s="3" t="str">
        <f ca="1">IFERROR(__xludf.DUMMYFUNCTION("""COMPUTED_VALUE"""),"197605082002122004")</f>
        <v>197605082002122004</v>
      </c>
      <c r="F56" s="3" t="str">
        <f ca="1">IFERROR(__xludf.DUMMYFUNCTION("""COMPUTED_VALUE"""),"19760508 200212 2 004")</f>
        <v>19760508 200212 2 004</v>
      </c>
      <c r="G56" s="3">
        <f ca="1">IFERROR(__xludf.DUMMYFUNCTION("""COMPUTED_VALUE"""),2008057602)</f>
        <v>2008057602</v>
      </c>
      <c r="H56" s="6" t="str">
        <f ca="1">IFERROR(__xludf.DUMMYFUNCTION("""COMPUTED_VALUE"""),"5840754655230112")</f>
        <v>5840754655230112</v>
      </c>
      <c r="I56" s="3" t="str">
        <f ca="1">IFERROR(__xludf.DUMMYFUNCTION("""COMPUTED_VALUE"""),"PNS")</f>
        <v>PNS</v>
      </c>
      <c r="J56" s="3" t="str">
        <f ca="1">IFERROR(__xludf.DUMMYFUNCTION("""COMPUTED_VALUE"""),"Dosen PNS")</f>
        <v>Dosen PNS</v>
      </c>
      <c r="K56" s="5" t="str">
        <f ca="1">IFERROR(__xludf.DUMMYFUNCTION("""COMPUTED_VALUE"""),"P")</f>
        <v>P</v>
      </c>
      <c r="L56" s="3" t="str">
        <f ca="1">IFERROR(__xludf.DUMMYFUNCTION("""COMPUTED_VALUE"""),"Sumedang")</f>
        <v>Sumedang</v>
      </c>
      <c r="M56" s="7">
        <f ca="1">IFERROR(__xludf.DUMMYFUNCTION("""COMPUTED_VALUE"""),27888)</f>
        <v>27888</v>
      </c>
      <c r="N56" s="4" t="str">
        <f ca="1">IFERROR(__xludf.DUMMYFUNCTION("""COMPUTED_VALUE"""),"Penata Tk.I")</f>
        <v>Penata Tk.I</v>
      </c>
      <c r="O56" s="3" t="str">
        <f ca="1">IFERROR(__xludf.DUMMYFUNCTION("""COMPUTED_VALUE"""),"III/d")</f>
        <v>III/d</v>
      </c>
      <c r="P56" s="7">
        <f ca="1">IFERROR(__xludf.DUMMYFUNCTION("""COMPUTED_VALUE"""),40087)</f>
        <v>40087</v>
      </c>
      <c r="Q56" s="3" t="str">
        <f ca="1">IFERROR(__xludf.DUMMYFUNCTION("""COMPUTED_VALUE"""),"B.II/3/10123")</f>
        <v>B.II/3/10123</v>
      </c>
      <c r="R56" s="3" t="str">
        <f ca="1">IFERROR(__xludf.DUMMYFUNCTION("""COMPUTED_VALUE"""),"Lektor")</f>
        <v>Lektor</v>
      </c>
      <c r="S56" s="3" t="str">
        <f ca="1">IFERROR(__xludf.DUMMYFUNCTION("""COMPUTED_VALUE"""),"Lektor")</f>
        <v>Lektor</v>
      </c>
      <c r="T56" s="7">
        <f ca="1">IFERROR(__xludf.DUMMYFUNCTION("""COMPUTED_VALUE"""),39965)</f>
        <v>39965</v>
      </c>
      <c r="U56" s="3" t="str">
        <f ca="1">IFERROR(__xludf.DUMMYFUNCTION("""COMPUTED_VALUE"""),"Sti.23/K/Kp.07,6/037/2009")</f>
        <v>Sti.23/K/Kp.07,6/037/2009</v>
      </c>
      <c r="V56" s="7">
        <f ca="1">IFERROR(__xludf.DUMMYFUNCTION("""COMPUTED_VALUE"""),39965)</f>
        <v>39965</v>
      </c>
      <c r="W56" s="3">
        <f ca="1">IFERROR(__xludf.DUMMYFUNCTION("""COMPUTED_VALUE"""),11)</f>
        <v>11</v>
      </c>
      <c r="X56" s="3"/>
      <c r="Y56" s="3" t="str">
        <f ca="1">IFERROR(__xludf.DUMMYFUNCTION("""COMPUTED_VALUE"""),"S-3")</f>
        <v>S-3</v>
      </c>
      <c r="Z56" s="3" t="str">
        <f ca="1">IFERROR(__xludf.DUMMYFUNCTION("""COMPUTED_VALUE"""),"23 Tahun 1 Bulan 27 Hari")</f>
        <v>23 Tahun 1 Bulan 27 Hari</v>
      </c>
      <c r="AA56" s="8">
        <f ca="1">IFERROR(__xludf.DUMMYFUNCTION("""COMPUTED_VALUE"""),51653)</f>
        <v>51653</v>
      </c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4"/>
      <c r="AR56" s="3"/>
      <c r="AS56" s="4"/>
      <c r="AT56" s="3"/>
      <c r="AU56" s="3"/>
    </row>
    <row r="57" spans="1:47" x14ac:dyDescent="0.2">
      <c r="A57" s="12">
        <v>56</v>
      </c>
      <c r="B57" s="3" t="str">
        <f ca="1">IFERROR(__xludf.DUMMYFUNCTION("""COMPUTED_VALUE"""),"Eva Mir'atun Niswah")</f>
        <v>Eva Mir'atun Niswah</v>
      </c>
      <c r="C57" s="3" t="str">
        <f ca="1">IFERROR(__xludf.DUMMYFUNCTION("""COMPUTED_VALUE"""),"Eva Mir'atun Niswah, S.H.I., M.H.")</f>
        <v>Eva Mir'atun Niswah, S.H.I., M.H.</v>
      </c>
      <c r="D57" s="3" t="str">
        <f ca="1">IFERROR(__xludf.DUMMYFUNCTION("""COMPUTED_VALUE"""),"Eva Mir'atun Niswah, S.H.I., M.H.")</f>
        <v>Eva Mir'atun Niswah, S.H.I., M.H.</v>
      </c>
      <c r="E57" s="3" t="str">
        <f ca="1">IFERROR(__xludf.DUMMYFUNCTION("""COMPUTED_VALUE"""),"198701102019032011")</f>
        <v>198701102019032011</v>
      </c>
      <c r="F57" s="3" t="str">
        <f ca="1">IFERROR(__xludf.DUMMYFUNCTION("""COMPUTED_VALUE"""),"19870110 201903 2 011")</f>
        <v>19870110 201903 2 011</v>
      </c>
      <c r="G57" s="3">
        <f ca="1">IFERROR(__xludf.DUMMYFUNCTION("""COMPUTED_VALUE"""),2010018701)</f>
        <v>2010018701</v>
      </c>
      <c r="H57" s="6" t="str">
        <f ca="1">IFERROR(__xludf.DUMMYFUNCTION("""COMPUTED_VALUE"""),"9442765666231072")</f>
        <v>9442765666231072</v>
      </c>
      <c r="I57" s="3" t="str">
        <f ca="1">IFERROR(__xludf.DUMMYFUNCTION("""COMPUTED_VALUE"""),"PNS")</f>
        <v>PNS</v>
      </c>
      <c r="J57" s="3" t="str">
        <f ca="1">IFERROR(__xludf.DUMMYFUNCTION("""COMPUTED_VALUE"""),"Dosen PNS")</f>
        <v>Dosen PNS</v>
      </c>
      <c r="K57" s="5" t="str">
        <f ca="1">IFERROR(__xludf.DUMMYFUNCTION("""COMPUTED_VALUE"""),"P")</f>
        <v>P</v>
      </c>
      <c r="L57" s="3" t="str">
        <f ca="1">IFERROR(__xludf.DUMMYFUNCTION("""COMPUTED_VALUE"""),"Cilacap")</f>
        <v>Cilacap</v>
      </c>
      <c r="M57" s="7">
        <f ca="1">IFERROR(__xludf.DUMMYFUNCTION("""COMPUTED_VALUE"""),31787)</f>
        <v>31787</v>
      </c>
      <c r="N57" s="4" t="str">
        <f ca="1">IFERROR(__xludf.DUMMYFUNCTION("""COMPUTED_VALUE"""),"Penata Muda Tk.I")</f>
        <v>Penata Muda Tk.I</v>
      </c>
      <c r="O57" s="3" t="str">
        <f ca="1">IFERROR(__xludf.DUMMYFUNCTION("""COMPUTED_VALUE"""),"III/b")</f>
        <v>III/b</v>
      </c>
      <c r="P57" s="7">
        <f ca="1">IFERROR(__xludf.DUMMYFUNCTION("""COMPUTED_VALUE"""),43617)</f>
        <v>43617</v>
      </c>
      <c r="Q57" s="3"/>
      <c r="R57" s="3" t="str">
        <f ca="1">IFERROR(__xludf.DUMMYFUNCTION("""COMPUTED_VALUE"""),"Asisten Ahli")</f>
        <v>Asisten Ahli</v>
      </c>
      <c r="S57" s="3" t="str">
        <f ca="1">IFERROR(__xludf.DUMMYFUNCTION("""COMPUTED_VALUE"""),"Asisten Ahli")</f>
        <v>Asisten Ahli</v>
      </c>
      <c r="T57" s="7">
        <f ca="1">IFERROR(__xludf.DUMMYFUNCTION("""COMPUTED_VALUE"""),44713)</f>
        <v>44713</v>
      </c>
      <c r="U57" s="3" t="str">
        <f ca="1">IFERROR(__xludf.DUMMYFUNCTION("""COMPUTED_VALUE"""),"1309/Un.19/R/Kp.07,6/5/2022")</f>
        <v>1309/Un.19/R/Kp.07,6/5/2022</v>
      </c>
      <c r="V57" s="3"/>
      <c r="W57" s="3">
        <f ca="1">IFERROR(__xludf.DUMMYFUNCTION("""COMPUTED_VALUE"""),9)</f>
        <v>9</v>
      </c>
      <c r="X57" s="3"/>
      <c r="Y57" s="3" t="str">
        <f ca="1">IFERROR(__xludf.DUMMYFUNCTION("""COMPUTED_VALUE"""),"S-2")</f>
        <v>S-2</v>
      </c>
      <c r="Z57" s="3" t="str">
        <f ca="1">IFERROR(__xludf.DUMMYFUNCTION("""COMPUTED_VALUE"""),"6 Tahun 10 Bulan 27 Hari")</f>
        <v>6 Tahun 10 Bulan 27 Hari</v>
      </c>
      <c r="AA57" s="8">
        <f ca="1">IFERROR(__xludf.DUMMYFUNCTION("""COMPUTED_VALUE"""),55550)</f>
        <v>55550</v>
      </c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4"/>
      <c r="AR57" s="3"/>
      <c r="AS57" s="4"/>
      <c r="AT57" s="3"/>
      <c r="AU57" s="3"/>
    </row>
    <row r="58" spans="1:47" x14ac:dyDescent="0.2">
      <c r="A58" s="12">
        <v>57</v>
      </c>
      <c r="B58" s="3" t="str">
        <f ca="1">IFERROR(__xludf.DUMMYFUNCTION("""COMPUTED_VALUE"""),"Fahri Hidayat")</f>
        <v>Fahri Hidayat</v>
      </c>
      <c r="C58" s="3" t="str">
        <f ca="1">IFERROR(__xludf.DUMMYFUNCTION("""COMPUTED_VALUE"""),"Dr. Fahri Hidayat, M.Pd.I.")</f>
        <v>Dr. Fahri Hidayat, M.Pd.I.</v>
      </c>
      <c r="D58" s="3" t="str">
        <f ca="1">IFERROR(__xludf.DUMMYFUNCTION("""COMPUTED_VALUE"""),"Dr. Fahri Hidayat, M.Pd.I.")</f>
        <v>Dr. Fahri Hidayat, M.Pd.I.</v>
      </c>
      <c r="E58" s="3" t="str">
        <f ca="1">IFERROR(__xludf.DUMMYFUNCTION("""COMPUTED_VALUE"""),"198906052015031003")</f>
        <v>198906052015031003</v>
      </c>
      <c r="F58" s="3" t="str">
        <f ca="1">IFERROR(__xludf.DUMMYFUNCTION("""COMPUTED_VALUE"""),"19890605 201503 1 003")</f>
        <v>19890605 201503 1 003</v>
      </c>
      <c r="G58" s="3">
        <f ca="1">IFERROR(__xludf.DUMMYFUNCTION("""COMPUTED_VALUE"""),2005068902)</f>
        <v>2005068902</v>
      </c>
      <c r="H58" s="6" t="str">
        <f ca="1">IFERROR(__xludf.DUMMYFUNCTION("""COMPUTED_VALUE"""),"8937767668130382")</f>
        <v>8937767668130382</v>
      </c>
      <c r="I58" s="3" t="str">
        <f ca="1">IFERROR(__xludf.DUMMYFUNCTION("""COMPUTED_VALUE"""),"PNS")</f>
        <v>PNS</v>
      </c>
      <c r="J58" s="3" t="str">
        <f ca="1">IFERROR(__xludf.DUMMYFUNCTION("""COMPUTED_VALUE"""),"Dosen PNS")</f>
        <v>Dosen PNS</v>
      </c>
      <c r="K58" s="5" t="str">
        <f ca="1">IFERROR(__xludf.DUMMYFUNCTION("""COMPUTED_VALUE"""),"L")</f>
        <v>L</v>
      </c>
      <c r="L58" s="3" t="str">
        <f ca="1">IFERROR(__xludf.DUMMYFUNCTION("""COMPUTED_VALUE"""),"Blora")</f>
        <v>Blora</v>
      </c>
      <c r="M58" s="7">
        <f ca="1">IFERROR(__xludf.DUMMYFUNCTION("""COMPUTED_VALUE"""),32664)</f>
        <v>32664</v>
      </c>
      <c r="N58" s="4" t="str">
        <f ca="1">IFERROR(__xludf.DUMMYFUNCTION("""COMPUTED_VALUE"""),"Penata Tk.I")</f>
        <v>Penata Tk.I</v>
      </c>
      <c r="O58" s="3" t="str">
        <f ca="1">IFERROR(__xludf.DUMMYFUNCTION("""COMPUTED_VALUE"""),"III/d")</f>
        <v>III/d</v>
      </c>
      <c r="P58" s="7">
        <f ca="1">IFERROR(__xludf.DUMMYFUNCTION("""COMPUTED_VALUE"""),45383)</f>
        <v>45383</v>
      </c>
      <c r="Q58" s="3" t="str">
        <f ca="1">IFERROR(__xludf.DUMMYFUNCTION("""COMPUTED_VALUE"""),"012606/B.II/3/2024")</f>
        <v>012606/B.II/3/2024</v>
      </c>
      <c r="R58" s="3" t="str">
        <f ca="1">IFERROR(__xludf.DUMMYFUNCTION("""COMPUTED_VALUE"""),"Lektor Kepala")</f>
        <v>Lektor Kepala</v>
      </c>
      <c r="S58" s="3" t="str">
        <f ca="1">IFERROR(__xludf.DUMMYFUNCTION("""COMPUTED_VALUE"""),"Lektor Kepala")</f>
        <v>Lektor Kepala</v>
      </c>
      <c r="T58" s="7">
        <f ca="1">IFERROR(__xludf.DUMMYFUNCTION("""COMPUTED_VALUE"""),45139)</f>
        <v>45139</v>
      </c>
      <c r="U58" s="3" t="str">
        <f ca="1">IFERROR(__xludf.DUMMYFUNCTION("""COMPUTED_VALUE"""),"126982/B.II/3/2023")</f>
        <v>126982/B.II/3/2023</v>
      </c>
      <c r="V58" s="7">
        <f ca="1">IFERROR(__xludf.DUMMYFUNCTION("""COMPUTED_VALUE"""),45289)</f>
        <v>45289</v>
      </c>
      <c r="W58" s="3">
        <f ca="1">IFERROR(__xludf.DUMMYFUNCTION("""COMPUTED_VALUE"""),13)</f>
        <v>13</v>
      </c>
      <c r="X58" s="7" t="str">
        <f ca="1">IFERROR(__xludf.DUMMYFUNCTION("""COMPUTED_VALUE"""),"Sekretaris Program Studi S-2 Pendidikan Agama Islam pada Pascasarjana")</f>
        <v>Sekretaris Program Studi S-2 Pendidikan Agama Islam pada Pascasarjana</v>
      </c>
      <c r="Y58" s="3" t="str">
        <f ca="1">IFERROR(__xludf.DUMMYFUNCTION("""COMPUTED_VALUE"""),"S-3")</f>
        <v>S-3</v>
      </c>
      <c r="Z58" s="3" t="str">
        <f ca="1">IFERROR(__xludf.DUMMYFUNCTION("""COMPUTED_VALUE"""),"10 Tahun 10 Bulan 27 Hari")</f>
        <v>10 Tahun 10 Bulan 27 Hari</v>
      </c>
      <c r="AA58" s="8">
        <f ca="1">IFERROR(__xludf.DUMMYFUNCTION("""COMPUTED_VALUE"""),56431)</f>
        <v>56431</v>
      </c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4"/>
      <c r="AR58" s="3"/>
      <c r="AS58" s="4"/>
      <c r="AT58" s="3"/>
      <c r="AU58" s="3"/>
    </row>
    <row r="59" spans="1:47" x14ac:dyDescent="0.2">
      <c r="A59" s="12">
        <v>58</v>
      </c>
      <c r="B59" s="3" t="str">
        <f ca="1">IFERROR(__xludf.DUMMYFUNCTION("""COMPUTED_VALUE"""),"Faizah Nur Atika")</f>
        <v>Faizah Nur Atika</v>
      </c>
      <c r="C59" s="3" t="str">
        <f ca="1">IFERROR(__xludf.DUMMYFUNCTION("""COMPUTED_VALUE"""),"Faizah Nur Atika, M.Pd.")</f>
        <v>Faizah Nur Atika, M.Pd.</v>
      </c>
      <c r="D59" s="3" t="str">
        <f ca="1">IFERROR(__xludf.DUMMYFUNCTION("""COMPUTED_VALUE"""),"Faizah Nur Atika, M.Pd.")</f>
        <v>Faizah Nur Atika, M.Pd.</v>
      </c>
      <c r="E59" s="3" t="str">
        <f ca="1">IFERROR(__xludf.DUMMYFUNCTION("""COMPUTED_VALUE"""),"199404302020122012")</f>
        <v>199404302020122012</v>
      </c>
      <c r="F59" s="3" t="str">
        <f ca="1">IFERROR(__xludf.DUMMYFUNCTION("""COMPUTED_VALUE"""),"‌19940430 202012 2 012")</f>
        <v>‌19940430 202012 2 012</v>
      </c>
      <c r="G59" s="3">
        <f ca="1">IFERROR(__xludf.DUMMYFUNCTION("""COMPUTED_VALUE"""),2030049402)</f>
        <v>2030049402</v>
      </c>
      <c r="H59" s="6" t="str">
        <f ca="1">IFERROR(__xludf.DUMMYFUNCTION("""COMPUTED_VALUE"""),"4762772673130012")</f>
        <v>4762772673130012</v>
      </c>
      <c r="I59" s="3" t="str">
        <f ca="1">IFERROR(__xludf.DUMMYFUNCTION("""COMPUTED_VALUE"""),"PNS")</f>
        <v>PNS</v>
      </c>
      <c r="J59" s="3" t="str">
        <f ca="1">IFERROR(__xludf.DUMMYFUNCTION("""COMPUTED_VALUE"""),"Dosen PNS")</f>
        <v>Dosen PNS</v>
      </c>
      <c r="K59" s="5" t="str">
        <f ca="1">IFERROR(__xludf.DUMMYFUNCTION("""COMPUTED_VALUE"""),"P")</f>
        <v>P</v>
      </c>
      <c r="L59" s="3" t="str">
        <f ca="1">IFERROR(__xludf.DUMMYFUNCTION("""COMPUTED_VALUE"""),"Banjarnegara")</f>
        <v>Banjarnegara</v>
      </c>
      <c r="M59" s="7">
        <f ca="1">IFERROR(__xludf.DUMMYFUNCTION("""COMPUTED_VALUE"""),34454)</f>
        <v>34454</v>
      </c>
      <c r="N59" s="4" t="str">
        <f ca="1">IFERROR(__xludf.DUMMYFUNCTION("""COMPUTED_VALUE"""),"Penata Muda Tk.I")</f>
        <v>Penata Muda Tk.I</v>
      </c>
      <c r="O59" s="3" t="str">
        <f ca="1">IFERROR(__xludf.DUMMYFUNCTION("""COMPUTED_VALUE"""),"III/b")</f>
        <v>III/b</v>
      </c>
      <c r="P59" s="7">
        <f ca="1">IFERROR(__xludf.DUMMYFUNCTION("""COMPUTED_VALUE"""),44562)</f>
        <v>44562</v>
      </c>
      <c r="Q59" s="3" t="str">
        <f ca="1">IFERROR(__xludf.DUMMYFUNCTION("""COMPUTED_VALUE"""),"3585/Un.19/R/KP.00.3/12/2021")</f>
        <v>3585/Un.19/R/KP.00.3/12/2021</v>
      </c>
      <c r="R59" s="3" t="str">
        <f ca="1">IFERROR(__xludf.DUMMYFUNCTION("""COMPUTED_VALUE"""),"Asisten Ahli")</f>
        <v>Asisten Ahli</v>
      </c>
      <c r="S59" s="3" t="str">
        <f ca="1">IFERROR(__xludf.DUMMYFUNCTION("""COMPUTED_VALUE"""),"Asisten Ahli")</f>
        <v>Asisten Ahli</v>
      </c>
      <c r="T59" s="7">
        <f ca="1">IFERROR(__xludf.DUMMYFUNCTION("""COMPUTED_VALUE"""),44562)</f>
        <v>44562</v>
      </c>
      <c r="U59" s="3"/>
      <c r="V59" s="3"/>
      <c r="W59" s="3">
        <f ca="1">IFERROR(__xludf.DUMMYFUNCTION("""COMPUTED_VALUE"""),9)</f>
        <v>9</v>
      </c>
      <c r="X59" s="3"/>
      <c r="Y59" s="3" t="str">
        <f ca="1">IFERROR(__xludf.DUMMYFUNCTION("""COMPUTED_VALUE"""),"S-2")</f>
        <v>S-2</v>
      </c>
      <c r="Z59" s="3" t="str">
        <f ca="1">IFERROR(__xludf.DUMMYFUNCTION("""COMPUTED_VALUE"""),"5 Tahun 1 Bulan 27 Hari")</f>
        <v>5 Tahun 1 Bulan 27 Hari</v>
      </c>
      <c r="AA59" s="8">
        <f ca="1">IFERROR(__xludf.DUMMYFUNCTION("""COMPUTED_VALUE"""),58196)</f>
        <v>58196</v>
      </c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4"/>
      <c r="AR59" s="3"/>
      <c r="AS59" s="4"/>
      <c r="AT59" s="3"/>
      <c r="AU59" s="3"/>
    </row>
    <row r="60" spans="1:47" x14ac:dyDescent="0.2">
      <c r="A60" s="12">
        <v>59</v>
      </c>
      <c r="B60" s="3" t="str">
        <f ca="1">IFERROR(__xludf.DUMMYFUNCTION("""COMPUTED_VALUE"""),"Fajar Hardoyono")</f>
        <v>Fajar Hardoyono</v>
      </c>
      <c r="C60" s="3" t="str">
        <f ca="1">IFERROR(__xludf.DUMMYFUNCTION("""COMPUTED_VALUE"""),"Dr. Fajar Hardoyono, S.Si., M.Sc.")</f>
        <v>Dr. Fajar Hardoyono, S.Si., M.Sc.</v>
      </c>
      <c r="D60" s="3" t="str">
        <f ca="1">IFERROR(__xludf.DUMMYFUNCTION("""COMPUTED_VALUE"""),"Dr. Fajar Hardoyono, S.Si., M.Sc., M.Si.")</f>
        <v>Dr. Fajar Hardoyono, S.Si., M.Sc., M.Si.</v>
      </c>
      <c r="E60" s="3" t="str">
        <f ca="1">IFERROR(__xludf.DUMMYFUNCTION("""COMPUTED_VALUE"""),"198012152005011003")</f>
        <v>198012152005011003</v>
      </c>
      <c r="F60" s="3" t="str">
        <f ca="1">IFERROR(__xludf.DUMMYFUNCTION("""COMPUTED_VALUE"""),"19801215 200501 1 003")</f>
        <v>19801215 200501 1 003</v>
      </c>
      <c r="G60" s="3">
        <f ca="1">IFERROR(__xludf.DUMMYFUNCTION("""COMPUTED_VALUE"""),2015128004)</f>
        <v>2015128004</v>
      </c>
      <c r="H60" s="6" t="str">
        <f ca="1">IFERROR(__xludf.DUMMYFUNCTION("""COMPUTED_VALUE"""),"8547758659130213")</f>
        <v>8547758659130213</v>
      </c>
      <c r="I60" s="3" t="str">
        <f ca="1">IFERROR(__xludf.DUMMYFUNCTION("""COMPUTED_VALUE"""),"PNS")</f>
        <v>PNS</v>
      </c>
      <c r="J60" s="3" t="str">
        <f ca="1">IFERROR(__xludf.DUMMYFUNCTION("""COMPUTED_VALUE"""),"Dosen PNS")</f>
        <v>Dosen PNS</v>
      </c>
      <c r="K60" s="5" t="str">
        <f ca="1">IFERROR(__xludf.DUMMYFUNCTION("""COMPUTED_VALUE"""),"L")</f>
        <v>L</v>
      </c>
      <c r="L60" s="3" t="str">
        <f ca="1">IFERROR(__xludf.DUMMYFUNCTION("""COMPUTED_VALUE"""),"Banyumas")</f>
        <v>Banyumas</v>
      </c>
      <c r="M60" s="9">
        <f ca="1">IFERROR(__xludf.DUMMYFUNCTION("""COMPUTED_VALUE"""),29570)</f>
        <v>29570</v>
      </c>
      <c r="N60" s="4" t="str">
        <f ca="1">IFERROR(__xludf.DUMMYFUNCTION("""COMPUTED_VALUE"""),"Penata Tk.I")</f>
        <v>Penata Tk.I</v>
      </c>
      <c r="O60" s="3" t="str">
        <f ca="1">IFERROR(__xludf.DUMMYFUNCTION("""COMPUTED_VALUE"""),"III/d")</f>
        <v>III/d</v>
      </c>
      <c r="P60" s="7">
        <f ca="1">IFERROR(__xludf.DUMMYFUNCTION("""COMPUTED_VALUE"""),45566)</f>
        <v>45566</v>
      </c>
      <c r="Q60" s="3" t="str">
        <f ca="1">IFERROR(__xludf.DUMMYFUNCTION("""COMPUTED_VALUE"""),"839/Un.19/K.AUPK/KP.07.1/08/2024")</f>
        <v>839/Un.19/K.AUPK/KP.07.1/08/2024</v>
      </c>
      <c r="R60" s="3" t="str">
        <f ca="1">IFERROR(__xludf.DUMMYFUNCTION("""COMPUTED_VALUE"""),"Lektor Kepala")</f>
        <v>Lektor Kepala</v>
      </c>
      <c r="S60" s="3" t="str">
        <f ca="1">IFERROR(__xludf.DUMMYFUNCTION("""COMPUTED_VALUE"""),"Lektor Kepala")</f>
        <v>Lektor Kepala</v>
      </c>
      <c r="T60" s="7">
        <f ca="1">IFERROR(__xludf.DUMMYFUNCTION("""COMPUTED_VALUE"""),45717)</f>
        <v>45717</v>
      </c>
      <c r="U60" s="3" t="str">
        <f ca="1">IFERROR(__xludf.DUMMYFUNCTION("""COMPUTED_VALUE"""),"145747/B.II/KP.07/02/2025")</f>
        <v>145747/B.II/KP.07/02/2025</v>
      </c>
      <c r="V60" s="7">
        <f ca="1">IFERROR(__xludf.DUMMYFUNCTION("""COMPUTED_VALUE"""),45702)</f>
        <v>45702</v>
      </c>
      <c r="W60" s="3">
        <f ca="1">IFERROR(__xludf.DUMMYFUNCTION("""COMPUTED_VALUE"""),13)</f>
        <v>13</v>
      </c>
      <c r="X60" s="7" t="str">
        <f ca="1">IFERROR(__xludf.DUMMYFUNCTION("""COMPUTED_VALUE"""),"Ketua Jurusan Sains dan Teknologi Pada Fakultas Dakwah")</f>
        <v>Ketua Jurusan Sains dan Teknologi Pada Fakultas Dakwah</v>
      </c>
      <c r="Y60" s="3" t="str">
        <f ca="1">IFERROR(__xludf.DUMMYFUNCTION("""COMPUTED_VALUE"""),"S-3")</f>
        <v>S-3</v>
      </c>
      <c r="Z60" s="3" t="str">
        <f ca="1">IFERROR(__xludf.DUMMYFUNCTION("""COMPUTED_VALUE"""),"21 Tahun 0 Bulan 27 Hari")</f>
        <v>21 Tahun 0 Bulan 27 Hari</v>
      </c>
      <c r="AA60" s="8">
        <f ca="1">IFERROR(__xludf.DUMMYFUNCTION("""COMPUTED_VALUE"""),53328)</f>
        <v>53328</v>
      </c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4"/>
      <c r="AR60" s="3"/>
      <c r="AS60" s="4"/>
      <c r="AT60" s="3"/>
      <c r="AU60" s="3"/>
    </row>
    <row r="61" spans="1:47" x14ac:dyDescent="0.2">
      <c r="A61" s="12">
        <v>60</v>
      </c>
      <c r="B61" s="3" t="str">
        <f ca="1">IFERROR(__xludf.DUMMYFUNCTION("""COMPUTED_VALUE"""),"Fajry Sub'haan Syah Sinaga")</f>
        <v>Fajry Sub'haan Syah Sinaga</v>
      </c>
      <c r="C61" s="3" t="str">
        <f ca="1">IFERROR(__xludf.DUMMYFUNCTION("""COMPUTED_VALUE"""),"Fajry Sub'haan Syah Sinaga, S.Pd., M.A.")</f>
        <v>Fajry Sub'haan Syah Sinaga, S.Pd., M.A.</v>
      </c>
      <c r="D61" s="3" t="str">
        <f ca="1">IFERROR(__xludf.DUMMYFUNCTION("""COMPUTED_VALUE"""),"Dr. Fajry Sub'haan Syah Sinaga, S.Pd., M.A.")</f>
        <v>Dr. Fajry Sub'haan Syah Sinaga, S.Pd., M.A.</v>
      </c>
      <c r="E61" s="3" t="str">
        <f ca="1">IFERROR(__xludf.DUMMYFUNCTION("""COMPUTED_VALUE"""),"199205072022031001")</f>
        <v>199205072022031001</v>
      </c>
      <c r="F61" s="3" t="str">
        <f ca="1">IFERROR(__xludf.DUMMYFUNCTION("""COMPUTED_VALUE"""),"19920507 202203 1 001")</f>
        <v>19920507 202203 1 001</v>
      </c>
      <c r="G61" s="3" t="str">
        <f ca="1">IFERROR(__xludf.DUMMYFUNCTION("""COMPUTED_VALUE"""),"0007059202")</f>
        <v>0007059202</v>
      </c>
      <c r="H61" s="6" t="str">
        <f ca="1">IFERROR(__xludf.DUMMYFUNCTION("""COMPUTED_VALUE"""),"3839770671130342")</f>
        <v>3839770671130342</v>
      </c>
      <c r="I61" s="3" t="str">
        <f ca="1">IFERROR(__xludf.DUMMYFUNCTION("""COMPUTED_VALUE"""),"PNS")</f>
        <v>PNS</v>
      </c>
      <c r="J61" s="3" t="str">
        <f ca="1">IFERROR(__xludf.DUMMYFUNCTION("""COMPUTED_VALUE"""),"Dosen PNS")</f>
        <v>Dosen PNS</v>
      </c>
      <c r="K61" s="5" t="str">
        <f ca="1">IFERROR(__xludf.DUMMYFUNCTION("""COMPUTED_VALUE"""),"L")</f>
        <v>L</v>
      </c>
      <c r="L61" s="3" t="str">
        <f ca="1">IFERROR(__xludf.DUMMYFUNCTION("""COMPUTED_VALUE"""),"Cilacap")</f>
        <v>Cilacap</v>
      </c>
      <c r="M61" s="7">
        <f ca="1">IFERROR(__xludf.DUMMYFUNCTION("""COMPUTED_VALUE"""),33731)</f>
        <v>33731</v>
      </c>
      <c r="N61" s="4" t="str">
        <f ca="1">IFERROR(__xludf.DUMMYFUNCTION("""COMPUTED_VALUE"""),"Penata Muda Tk.I")</f>
        <v>Penata Muda Tk.I</v>
      </c>
      <c r="O61" s="3" t="str">
        <f ca="1">IFERROR(__xludf.DUMMYFUNCTION("""COMPUTED_VALUE"""),"III/b")</f>
        <v>III/b</v>
      </c>
      <c r="P61" s="7">
        <f ca="1">IFERROR(__xludf.DUMMYFUNCTION("""COMPUTED_VALUE"""),44986)</f>
        <v>44986</v>
      </c>
      <c r="Q61" s="3" t="str">
        <f ca="1">IFERROR(__xludf.DUMMYFUNCTION("""COMPUTED_VALUE"""),"332/Un.19/K.AUPK/KP.00.3/2/2023")</f>
        <v>332/Un.19/K.AUPK/KP.00.3/2/2023</v>
      </c>
      <c r="R61" s="3" t="str">
        <f ca="1">IFERROR(__xludf.DUMMYFUNCTION("""COMPUTED_VALUE"""),"Asisten Ahli")</f>
        <v>Asisten Ahli</v>
      </c>
      <c r="S61" s="3" t="str">
        <f ca="1">IFERROR(__xludf.DUMMYFUNCTION("""COMPUTED_VALUE"""),"Asisten Ahli")</f>
        <v>Asisten Ahli</v>
      </c>
      <c r="T61" s="7">
        <f ca="1">IFERROR(__xludf.DUMMYFUNCTION("""COMPUTED_VALUE"""),45047)</f>
        <v>45047</v>
      </c>
      <c r="U61" s="3" t="str">
        <f ca="1">IFERROR(__xludf.DUMMYFUNCTION("""COMPUTED_VALUE"""),"013484/B.II/3/2023")</f>
        <v>013484/B.II/3/2023</v>
      </c>
      <c r="V61" s="7">
        <f ca="1">IFERROR(__xludf.DUMMYFUNCTION("""COMPUTED_VALUE"""),45090)</f>
        <v>45090</v>
      </c>
      <c r="W61" s="3">
        <f ca="1">IFERROR(__xludf.DUMMYFUNCTION("""COMPUTED_VALUE"""),9)</f>
        <v>9</v>
      </c>
      <c r="X61" s="3"/>
      <c r="Y61" s="3" t="str">
        <f ca="1">IFERROR(__xludf.DUMMYFUNCTION("""COMPUTED_VALUE"""),"S-3")</f>
        <v>S-3</v>
      </c>
      <c r="Z61" s="3" t="str">
        <f ca="1">IFERROR(__xludf.DUMMYFUNCTION("""COMPUTED_VALUE"""),"3 Tahun 10 Bulan 27 Hari")</f>
        <v>3 Tahun 10 Bulan 27 Hari</v>
      </c>
      <c r="AA61" s="8">
        <f ca="1">IFERROR(__xludf.DUMMYFUNCTION("""COMPUTED_VALUE"""),57497)</f>
        <v>57497</v>
      </c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4"/>
      <c r="AR61" s="3"/>
      <c r="AS61" s="4"/>
      <c r="AT61" s="3"/>
      <c r="AU61" s="3"/>
    </row>
    <row r="62" spans="1:47" x14ac:dyDescent="0.2">
      <c r="A62" s="12">
        <v>61</v>
      </c>
      <c r="B62" s="3" t="str">
        <f ca="1">IFERROR(__xludf.DUMMYFUNCTION("""COMPUTED_VALUE"""),"Farah Nuril Izza")</f>
        <v>Farah Nuril Izza</v>
      </c>
      <c r="C62" s="3" t="str">
        <f ca="1">IFERROR(__xludf.DUMMYFUNCTION("""COMPUTED_VALUE"""),"Dr. Farah Nuril Izza, Lc., M.A.")</f>
        <v>Dr. Farah Nuril Izza, Lc., M.A.</v>
      </c>
      <c r="D62" s="3" t="str">
        <f ca="1">IFERROR(__xludf.DUMMYFUNCTION("""COMPUTED_VALUE"""),"Dr. Farah Nuril Izza, Lc., M.A.")</f>
        <v>Dr. Farah Nuril Izza, Lc., M.A.</v>
      </c>
      <c r="E62" s="3" t="str">
        <f ca="1">IFERROR(__xludf.DUMMYFUNCTION("""COMPUTED_VALUE"""),"198404202009122004")</f>
        <v>198404202009122004</v>
      </c>
      <c r="F62" s="3" t="str">
        <f ca="1">IFERROR(__xludf.DUMMYFUNCTION("""COMPUTED_VALUE"""),"19840420 200912 2 004")</f>
        <v>19840420 200912 2 004</v>
      </c>
      <c r="G62" s="3">
        <f ca="1">IFERROR(__xludf.DUMMYFUNCTION("""COMPUTED_VALUE"""),2020048401)</f>
        <v>2020048401</v>
      </c>
      <c r="H62" s="6" t="str">
        <f ca="1">IFERROR(__xludf.DUMMYFUNCTION("""COMPUTED_VALUE"""),"3752762663237002")</f>
        <v>3752762663237002</v>
      </c>
      <c r="I62" s="3" t="str">
        <f ca="1">IFERROR(__xludf.DUMMYFUNCTION("""COMPUTED_VALUE"""),"PNS")</f>
        <v>PNS</v>
      </c>
      <c r="J62" s="3" t="str">
        <f ca="1">IFERROR(__xludf.DUMMYFUNCTION("""COMPUTED_VALUE"""),"Dosen PNS")</f>
        <v>Dosen PNS</v>
      </c>
      <c r="K62" s="5" t="str">
        <f ca="1">IFERROR(__xludf.DUMMYFUNCTION("""COMPUTED_VALUE"""),"P")</f>
        <v>P</v>
      </c>
      <c r="L62" s="3" t="str">
        <f ca="1">IFERROR(__xludf.DUMMYFUNCTION("""COMPUTED_VALUE"""),"Wonosobo")</f>
        <v>Wonosobo</v>
      </c>
      <c r="M62" s="7">
        <f ca="1">IFERROR(__xludf.DUMMYFUNCTION("""COMPUTED_VALUE"""),30792)</f>
        <v>30792</v>
      </c>
      <c r="N62" s="4" t="str">
        <f ca="1">IFERROR(__xludf.DUMMYFUNCTION("""COMPUTED_VALUE"""),"Penata Tk.I")</f>
        <v>Penata Tk.I</v>
      </c>
      <c r="O62" s="3" t="str">
        <f ca="1">IFERROR(__xludf.DUMMYFUNCTION("""COMPUTED_VALUE"""),"III/d")</f>
        <v>III/d</v>
      </c>
      <c r="P62" s="7">
        <f ca="1">IFERROR(__xludf.DUMMYFUNCTION("""COMPUTED_VALUE"""),45383)</f>
        <v>45383</v>
      </c>
      <c r="Q62" s="3" t="str">
        <f ca="1">IFERROR(__xludf.DUMMYFUNCTION("""COMPUTED_VALUE"""),"526/Un.19/K.AUPK/KP.07.1/03/2024")</f>
        <v>526/Un.19/K.AUPK/KP.07.1/03/2024</v>
      </c>
      <c r="R62" s="3" t="str">
        <f ca="1">IFERROR(__xludf.DUMMYFUNCTION("""COMPUTED_VALUE"""),"Lektor")</f>
        <v>Lektor</v>
      </c>
      <c r="S62" s="3" t="str">
        <f ca="1">IFERROR(__xludf.DUMMYFUNCTION("""COMPUTED_VALUE"""),"Lektor")</f>
        <v>Lektor</v>
      </c>
      <c r="T62" s="7">
        <f ca="1">IFERROR(__xludf.DUMMYFUNCTION("""COMPUTED_VALUE"""),42248)</f>
        <v>42248</v>
      </c>
      <c r="U62" s="3"/>
      <c r="V62" s="3"/>
      <c r="W62" s="3">
        <f ca="1">IFERROR(__xludf.DUMMYFUNCTION("""COMPUTED_VALUE"""),11)</f>
        <v>11</v>
      </c>
      <c r="X62" s="7" t="str">
        <f ca="1">IFERROR(__xludf.DUMMYFUNCTION("""COMPUTED_VALUE"""),"Ketua Jurusan Studi Al Qur'an dan Sejarah Pada Fakultas Ushuluddin, Adab, dan Humaniora")</f>
        <v>Ketua Jurusan Studi Al Qur'an dan Sejarah Pada Fakultas Ushuluddin, Adab, dan Humaniora</v>
      </c>
      <c r="Y62" s="3" t="str">
        <f ca="1">IFERROR(__xludf.DUMMYFUNCTION("""COMPUTED_VALUE"""),"S-3")</f>
        <v>S-3</v>
      </c>
      <c r="Z62" s="3" t="str">
        <f ca="1">IFERROR(__xludf.DUMMYFUNCTION("""COMPUTED_VALUE"""),"16 Tahun 1 Bulan 27 Hari")</f>
        <v>16 Tahun 1 Bulan 27 Hari</v>
      </c>
      <c r="AA62" s="8">
        <f ca="1">IFERROR(__xludf.DUMMYFUNCTION("""COMPUTED_VALUE"""),54544)</f>
        <v>54544</v>
      </c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4"/>
      <c r="AR62" s="3"/>
      <c r="AS62" s="4"/>
      <c r="AT62" s="3"/>
      <c r="AU62" s="3"/>
    </row>
    <row r="63" spans="1:47" x14ac:dyDescent="0.2">
      <c r="A63" s="12">
        <v>62</v>
      </c>
      <c r="B63" s="3" t="str">
        <f ca="1">IFERROR(__xludf.DUMMYFUNCTION("""COMPUTED_VALUE"""),"Farichatul Maftuchah")</f>
        <v>Farichatul Maftuchah</v>
      </c>
      <c r="C63" s="3" t="str">
        <f ca="1">IFERROR(__xludf.DUMMYFUNCTION("""COMPUTED_VALUE"""),"Dr. Hj. Farichatul Maftuchah, M.Ag.")</f>
        <v>Dr. Hj. Farichatul Maftuchah, M.Ag.</v>
      </c>
      <c r="D63" s="3" t="str">
        <f ca="1">IFERROR(__xludf.DUMMYFUNCTION("""COMPUTED_VALUE"""),"Dr. Hj. Farichatul Maftuchah, M.Ag.")</f>
        <v>Dr. Hj. Farichatul Maftuchah, M.Ag.</v>
      </c>
      <c r="E63" s="3" t="str">
        <f ca="1">IFERROR(__xludf.DUMMYFUNCTION("""COMPUTED_VALUE"""),"196804222001122001")</f>
        <v>196804222001122001</v>
      </c>
      <c r="F63" s="3" t="str">
        <f ca="1">IFERROR(__xludf.DUMMYFUNCTION("""COMPUTED_VALUE"""),"19680422 200112 2 001")</f>
        <v>19680422 200112 2 001</v>
      </c>
      <c r="G63" s="3">
        <f ca="1">IFERROR(__xludf.DUMMYFUNCTION("""COMPUTED_VALUE"""),2022046803)</f>
        <v>2022046803</v>
      </c>
      <c r="H63" s="6" t="str">
        <f ca="1">IFERROR(__xludf.DUMMYFUNCTION("""COMPUTED_VALUE"""),"2754746647230082")</f>
        <v>2754746647230082</v>
      </c>
      <c r="I63" s="3" t="str">
        <f ca="1">IFERROR(__xludf.DUMMYFUNCTION("""COMPUTED_VALUE"""),"PNS")</f>
        <v>PNS</v>
      </c>
      <c r="J63" s="3" t="str">
        <f ca="1">IFERROR(__xludf.DUMMYFUNCTION("""COMPUTED_VALUE"""),"Dosen PNS")</f>
        <v>Dosen PNS</v>
      </c>
      <c r="K63" s="5" t="str">
        <f ca="1">IFERROR(__xludf.DUMMYFUNCTION("""COMPUTED_VALUE"""),"P")</f>
        <v>P</v>
      </c>
      <c r="L63" s="3" t="str">
        <f ca="1">IFERROR(__xludf.DUMMYFUNCTION("""COMPUTED_VALUE"""),"Kudus")</f>
        <v>Kudus</v>
      </c>
      <c r="M63" s="7">
        <f ca="1">IFERROR(__xludf.DUMMYFUNCTION("""COMPUTED_VALUE"""),24950)</f>
        <v>24950</v>
      </c>
      <c r="N63" s="4" t="str">
        <f ca="1">IFERROR(__xludf.DUMMYFUNCTION("""COMPUTED_VALUE"""),"Pembina")</f>
        <v>Pembina</v>
      </c>
      <c r="O63" s="3" t="str">
        <f ca="1">IFERROR(__xludf.DUMMYFUNCTION("""COMPUTED_VALUE"""),"IV/a")</f>
        <v>IV/a</v>
      </c>
      <c r="P63" s="7">
        <f ca="1">IFERROR(__xludf.DUMMYFUNCTION("""COMPUTED_VALUE"""),45383)</f>
        <v>45383</v>
      </c>
      <c r="Q63" s="3" t="str">
        <f ca="1">IFERROR(__xludf.DUMMYFUNCTION("""COMPUTED_VALUE"""),"015404/B.II/3/2024")</f>
        <v>015404/B.II/3/2024</v>
      </c>
      <c r="R63" s="3" t="str">
        <f ca="1">IFERROR(__xludf.DUMMYFUNCTION("""COMPUTED_VALUE"""),"Lektor Kepala")</f>
        <v>Lektor Kepala</v>
      </c>
      <c r="S63" s="3" t="str">
        <f ca="1">IFERROR(__xludf.DUMMYFUNCTION("""COMPUTED_VALUE"""),"Lektor Kepala")</f>
        <v>Lektor Kepala</v>
      </c>
      <c r="T63" s="7">
        <f ca="1">IFERROR(__xludf.DUMMYFUNCTION("""COMPUTED_VALUE"""),45170)</f>
        <v>45170</v>
      </c>
      <c r="U63" s="3" t="str">
        <f ca="1">IFERROR(__xludf.DUMMYFUNCTION("""COMPUTED_VALUE"""),"127226/B.II/3/2023")</f>
        <v>127226/B.II/3/2023</v>
      </c>
      <c r="V63" s="7">
        <f ca="1">IFERROR(__xludf.DUMMYFUNCTION("""COMPUTED_VALUE"""),45289)</f>
        <v>45289</v>
      </c>
      <c r="W63" s="3">
        <f ca="1">IFERROR(__xludf.DUMMYFUNCTION("""COMPUTED_VALUE"""),13)</f>
        <v>13</v>
      </c>
      <c r="X63" s="7" t="str">
        <f ca="1">IFERROR(__xludf.DUMMYFUNCTION("""COMPUTED_VALUE"""),"Wakil Dekan Bidang Administrasi Umum, Perencanaan dan Keuangan Pada Fakultas Ushuluddin, Adab, dan Humaniora")</f>
        <v>Wakil Dekan Bidang Administrasi Umum, Perencanaan dan Keuangan Pada Fakultas Ushuluddin, Adab, dan Humaniora</v>
      </c>
      <c r="Y63" s="3" t="str">
        <f ca="1">IFERROR(__xludf.DUMMYFUNCTION("""COMPUTED_VALUE"""),"S-3")</f>
        <v>S-3</v>
      </c>
      <c r="Z63" s="3" t="str">
        <f ca="1">IFERROR(__xludf.DUMMYFUNCTION("""COMPUTED_VALUE"""),"24 Tahun 1 Bulan 27 Hari")</f>
        <v>24 Tahun 1 Bulan 27 Hari</v>
      </c>
      <c r="AA63" s="8">
        <f ca="1">IFERROR(__xludf.DUMMYFUNCTION("""COMPUTED_VALUE"""),48700)</f>
        <v>48700</v>
      </c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4"/>
      <c r="AR63" s="3"/>
      <c r="AS63" s="4"/>
      <c r="AT63" s="3"/>
      <c r="AU63" s="3"/>
    </row>
    <row r="64" spans="1:47" x14ac:dyDescent="0.2">
      <c r="A64" s="12">
        <v>63</v>
      </c>
      <c r="B64" s="3" t="str">
        <f ca="1">IFERROR(__xludf.DUMMYFUNCTION("""COMPUTED_VALUE"""),"Fathul Aminudin Aziz")</f>
        <v>Fathul Aminudin Aziz</v>
      </c>
      <c r="C64" s="3" t="str">
        <f ca="1">IFERROR(__xludf.DUMMYFUNCTION("""COMPUTED_VALUE"""),"Prof. Dr. H. Fathul Aminudin Aziz, M.M.")</f>
        <v>Prof. Dr. H. Fathul Aminudin Aziz, M.M.</v>
      </c>
      <c r="D64" s="3" t="str">
        <f ca="1">IFERROR(__xludf.DUMMYFUNCTION("""COMPUTED_VALUE"""),"Prof. Dr. H. Fathul Aminudin Aziz, M.M.")</f>
        <v>Prof. Dr. H. Fathul Aminudin Aziz, M.M.</v>
      </c>
      <c r="E64" s="3" t="str">
        <f ca="1">IFERROR(__xludf.DUMMYFUNCTION("""COMPUTED_VALUE"""),"196804031994031004")</f>
        <v>196804031994031004</v>
      </c>
      <c r="F64" s="3" t="str">
        <f ca="1">IFERROR(__xludf.DUMMYFUNCTION("""COMPUTED_VALUE"""),"19680403 199403 1 004")</f>
        <v>19680403 199403 1 004</v>
      </c>
      <c r="G64" s="3">
        <f ca="1">IFERROR(__xludf.DUMMYFUNCTION("""COMPUTED_VALUE"""),2003046802)</f>
        <v>2003046802</v>
      </c>
      <c r="H64" s="6" t="str">
        <f ca="1">IFERROR(__xludf.DUMMYFUNCTION("""COMPUTED_VALUE"""),"6735746647130162")</f>
        <v>6735746647130162</v>
      </c>
      <c r="I64" s="3" t="str">
        <f ca="1">IFERROR(__xludf.DUMMYFUNCTION("""COMPUTED_VALUE"""),"PNS")</f>
        <v>PNS</v>
      </c>
      <c r="J64" s="3" t="str">
        <f ca="1">IFERROR(__xludf.DUMMYFUNCTION("""COMPUTED_VALUE"""),"Dosen PNS")</f>
        <v>Dosen PNS</v>
      </c>
      <c r="K64" s="5" t="str">
        <f ca="1">IFERROR(__xludf.DUMMYFUNCTION("""COMPUTED_VALUE"""),"L")</f>
        <v>L</v>
      </c>
      <c r="L64" s="3" t="str">
        <f ca="1">IFERROR(__xludf.DUMMYFUNCTION("""COMPUTED_VALUE"""),"Pesahangan")</f>
        <v>Pesahangan</v>
      </c>
      <c r="M64" s="7">
        <f ca="1">IFERROR(__xludf.DUMMYFUNCTION("""COMPUTED_VALUE"""),24931)</f>
        <v>24931</v>
      </c>
      <c r="N64" s="4" t="str">
        <f ca="1">IFERROR(__xludf.DUMMYFUNCTION("""COMPUTED_VALUE"""),"Pembina Utama Madya")</f>
        <v>Pembina Utama Madya</v>
      </c>
      <c r="O64" s="3" t="str">
        <f ca="1">IFERROR(__xludf.DUMMYFUNCTION("""COMPUTED_VALUE"""),"IV/d")</f>
        <v>IV/d</v>
      </c>
      <c r="P64" s="7">
        <f ca="1">IFERROR(__xludf.DUMMYFUNCTION("""COMPUTED_VALUE"""),44652)</f>
        <v>44652</v>
      </c>
      <c r="Q64" s="3" t="str">
        <f ca="1">IFERROR(__xludf.DUMMYFUNCTION("""COMPUTED_VALUE"""),"00037/KEP/AA/15001/22")</f>
        <v>00037/KEP/AA/15001/22</v>
      </c>
      <c r="R64" s="3" t="str">
        <f ca="1">IFERROR(__xludf.DUMMYFUNCTION("""COMPUTED_VALUE"""),"Guru Besar")</f>
        <v>Guru Besar</v>
      </c>
      <c r="S64" s="3" t="str">
        <f ca="1">IFERROR(__xludf.DUMMYFUNCTION("""COMPUTED_VALUE"""),"Guru Besar")</f>
        <v>Guru Besar</v>
      </c>
      <c r="T64" s="7">
        <f ca="1">IFERROR(__xludf.DUMMYFUNCTION("""COMPUTED_VALUE"""),45139)</f>
        <v>45139</v>
      </c>
      <c r="U64" s="3" t="str">
        <f ca="1">IFERROR(__xludf.DUMMYFUNCTION("""COMPUTED_VALUE"""),"46260/M/07/2023")</f>
        <v>46260/M/07/2023</v>
      </c>
      <c r="V64" s="7">
        <f ca="1">IFERROR(__xludf.DUMMYFUNCTION("""COMPUTED_VALUE"""),45163)</f>
        <v>45163</v>
      </c>
      <c r="W64" s="3">
        <f ca="1">IFERROR(__xludf.DUMMYFUNCTION("""COMPUTED_VALUE"""),15)</f>
        <v>15</v>
      </c>
      <c r="X64" s="7" t="str">
        <f ca="1">IFERROR(__xludf.DUMMYFUNCTION("""COMPUTED_VALUE"""),"Anggota Senat")</f>
        <v>Anggota Senat</v>
      </c>
      <c r="Y64" s="3" t="str">
        <f ca="1">IFERROR(__xludf.DUMMYFUNCTION("""COMPUTED_VALUE"""),"S-3")</f>
        <v>S-3</v>
      </c>
      <c r="Z64" s="3" t="str">
        <f ca="1">IFERROR(__xludf.DUMMYFUNCTION("""COMPUTED_VALUE"""),"31 Tahun 10 Bulan 27 Hari")</f>
        <v>31 Tahun 10 Bulan 27 Hari</v>
      </c>
      <c r="AA64" s="8">
        <f ca="1">IFERROR(__xludf.DUMMYFUNCTION("""COMPUTED_VALUE"""),50526)</f>
        <v>50526</v>
      </c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4"/>
      <c r="AR64" s="3"/>
      <c r="AS64" s="4"/>
      <c r="AT64" s="3"/>
      <c r="AU64" s="3"/>
    </row>
    <row r="65" spans="1:47" x14ac:dyDescent="0.2">
      <c r="A65" s="12">
        <v>64</v>
      </c>
      <c r="B65" s="3" t="str">
        <f ca="1">IFERROR(__xludf.DUMMYFUNCTION("""COMPUTED_VALUE"""),"Fatni Erlina")</f>
        <v>Fatni Erlina</v>
      </c>
      <c r="C65" s="3" t="str">
        <f ca="1">IFERROR(__xludf.DUMMYFUNCTION("""COMPUTED_VALUE"""),"Fatni Erlina, S.H.I., M.H.")</f>
        <v>Fatni Erlina, S.H.I., M.H.</v>
      </c>
      <c r="D65" s="3" t="str">
        <f ca="1">IFERROR(__xludf.DUMMYFUNCTION("""COMPUTED_VALUE"""),"Fatni Erlina, S.H.I., M.H.")</f>
        <v>Fatni Erlina, S.H.I., M.H.</v>
      </c>
      <c r="E65" s="3" t="str">
        <f ca="1">IFERROR(__xludf.DUMMYFUNCTION("""COMPUTED_VALUE"""),"198710142019032009")</f>
        <v>198710142019032009</v>
      </c>
      <c r="F65" s="3" t="str">
        <f ca="1">IFERROR(__xludf.DUMMYFUNCTION("""COMPUTED_VALUE"""),"19871014 201903 2 009")</f>
        <v>19871014 201903 2 009</v>
      </c>
      <c r="G65" s="3">
        <f ca="1">IFERROR(__xludf.DUMMYFUNCTION("""COMPUTED_VALUE"""),2014108705)</f>
        <v>2014108705</v>
      </c>
      <c r="H65" s="6" t="str">
        <f ca="1">IFERROR(__xludf.DUMMYFUNCTION("""COMPUTED_VALUE"""),"3346765666230233")</f>
        <v>3346765666230233</v>
      </c>
      <c r="I65" s="3" t="str">
        <f ca="1">IFERROR(__xludf.DUMMYFUNCTION("""COMPUTED_VALUE"""),"PNS")</f>
        <v>PNS</v>
      </c>
      <c r="J65" s="3" t="str">
        <f ca="1">IFERROR(__xludf.DUMMYFUNCTION("""COMPUTED_VALUE"""),"Dosen PNS")</f>
        <v>Dosen PNS</v>
      </c>
      <c r="K65" s="5" t="str">
        <f ca="1">IFERROR(__xludf.DUMMYFUNCTION("""COMPUTED_VALUE"""),"P")</f>
        <v>P</v>
      </c>
      <c r="L65" s="3" t="str">
        <f ca="1">IFERROR(__xludf.DUMMYFUNCTION("""COMPUTED_VALUE"""),"Banyumas")</f>
        <v>Banyumas</v>
      </c>
      <c r="M65" s="9">
        <f ca="1">IFERROR(__xludf.DUMMYFUNCTION("""COMPUTED_VALUE"""),32064)</f>
        <v>32064</v>
      </c>
      <c r="N65" s="4" t="str">
        <f ca="1">IFERROR(__xludf.DUMMYFUNCTION("""COMPUTED_VALUE"""),"Penata")</f>
        <v>Penata</v>
      </c>
      <c r="O65" s="3" t="str">
        <f ca="1">IFERROR(__xludf.DUMMYFUNCTION("""COMPUTED_VALUE"""),"III/c")</f>
        <v>III/c</v>
      </c>
      <c r="P65" s="7">
        <f ca="1">IFERROR(__xludf.DUMMYFUNCTION("""COMPUTED_VALUE"""),45627)</f>
        <v>45627</v>
      </c>
      <c r="Q65" s="3" t="str">
        <f ca="1">IFERROR(__xludf.DUMMYFUNCTION("""COMPUTED_VALUE"""),"905/Un.19/K.AUPK/KP.07.1/11/2024")</f>
        <v>905/Un.19/K.AUPK/KP.07.1/11/2024</v>
      </c>
      <c r="R65" s="3" t="str">
        <f ca="1">IFERROR(__xludf.DUMMYFUNCTION("""COMPUTED_VALUE"""),"Lektor")</f>
        <v>Lektor</v>
      </c>
      <c r="S65" s="3" t="str">
        <f ca="1">IFERROR(__xludf.DUMMYFUNCTION("""COMPUTED_VALUE"""),"Lektor")</f>
        <v>Lektor</v>
      </c>
      <c r="T65" s="7">
        <f ca="1">IFERROR(__xludf.DUMMYFUNCTION("""COMPUTED_VALUE"""),45566)</f>
        <v>45566</v>
      </c>
      <c r="U65" s="3" t="str">
        <f ca="1">IFERROR(__xludf.DUMMYFUNCTION("""COMPUTED_VALUE"""),"868.2 TAHUN 2024")</f>
        <v>868.2 TAHUN 2024</v>
      </c>
      <c r="V65" s="7">
        <f ca="1">IFERROR(__xludf.DUMMYFUNCTION("""COMPUTED_VALUE"""),45566)</f>
        <v>45566</v>
      </c>
      <c r="W65" s="3">
        <f ca="1">IFERROR(__xludf.DUMMYFUNCTION("""COMPUTED_VALUE"""),11)</f>
        <v>11</v>
      </c>
      <c r="X65" s="7" t="str">
        <f ca="1">IFERROR(__xludf.DUMMYFUNCTION("""COMPUTED_VALUE"""),"Koordinator Program Studi S-1 Hukum Tata Negara Pada Fakultas Syariah")</f>
        <v>Koordinator Program Studi S-1 Hukum Tata Negara Pada Fakultas Syariah</v>
      </c>
      <c r="Y65" s="3" t="str">
        <f ca="1">IFERROR(__xludf.DUMMYFUNCTION("""COMPUTED_VALUE"""),"S-2")</f>
        <v>S-2</v>
      </c>
      <c r="Z65" s="3" t="str">
        <f ca="1">IFERROR(__xludf.DUMMYFUNCTION("""COMPUTED_VALUE"""),"6 Tahun 10 Bulan 27 Hari")</f>
        <v>6 Tahun 10 Bulan 27 Hari</v>
      </c>
      <c r="AA65" s="8">
        <f ca="1">IFERROR(__xludf.DUMMYFUNCTION("""COMPUTED_VALUE"""),55824)</f>
        <v>55824</v>
      </c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4"/>
      <c r="AR65" s="3"/>
      <c r="AS65" s="4"/>
      <c r="AT65" s="3"/>
      <c r="AU65" s="3"/>
    </row>
    <row r="66" spans="1:47" x14ac:dyDescent="0.2">
      <c r="A66" s="12">
        <v>65</v>
      </c>
      <c r="B66" s="3" t="str">
        <f ca="1">IFERROR(__xludf.DUMMYFUNCTION("""COMPUTED_VALUE"""),"Fauzi")</f>
        <v>Fauzi</v>
      </c>
      <c r="C66" s="3" t="str">
        <f ca="1">IFERROR(__xludf.DUMMYFUNCTION("""COMPUTED_VALUE"""),"Prof. Dr. H. Fauzi, M.Ag.")</f>
        <v>Prof. Dr. H. Fauzi, M.Ag.</v>
      </c>
      <c r="D66" s="3" t="str">
        <f ca="1">IFERROR(__xludf.DUMMYFUNCTION("""COMPUTED_VALUE"""),"Prof. Dr. H. Fauzi, M.Ag.")</f>
        <v>Prof. Dr. H. Fauzi, M.Ag.</v>
      </c>
      <c r="E66" s="3" t="str">
        <f ca="1">IFERROR(__xludf.DUMMYFUNCTION("""COMPUTED_VALUE"""),"197408051998031004")</f>
        <v>197408051998031004</v>
      </c>
      <c r="F66" s="3" t="str">
        <f ca="1">IFERROR(__xludf.DUMMYFUNCTION("""COMPUTED_VALUE"""),"19740805 199803 1 004")</f>
        <v>19740805 199803 1 004</v>
      </c>
      <c r="G66" s="3">
        <f ca="1">IFERROR(__xludf.DUMMYFUNCTION("""COMPUTED_VALUE"""),2005087401)</f>
        <v>2005087401</v>
      </c>
      <c r="H66" s="6" t="str">
        <f ca="1">IFERROR(__xludf.DUMMYFUNCTION("""COMPUTED_VALUE"""),"9137752653131123")</f>
        <v>9137752653131123</v>
      </c>
      <c r="I66" s="3" t="str">
        <f ca="1">IFERROR(__xludf.DUMMYFUNCTION("""COMPUTED_VALUE"""),"PNS")</f>
        <v>PNS</v>
      </c>
      <c r="J66" s="3" t="str">
        <f ca="1">IFERROR(__xludf.DUMMYFUNCTION("""COMPUTED_VALUE"""),"Dosen PNS")</f>
        <v>Dosen PNS</v>
      </c>
      <c r="K66" s="5" t="str">
        <f ca="1">IFERROR(__xludf.DUMMYFUNCTION("""COMPUTED_VALUE"""),"L")</f>
        <v>L</v>
      </c>
      <c r="L66" s="3" t="str">
        <f ca="1">IFERROR(__xludf.DUMMYFUNCTION("""COMPUTED_VALUE"""),"Wonosobo")</f>
        <v>Wonosobo</v>
      </c>
      <c r="M66" s="7">
        <f ca="1">IFERROR(__xludf.DUMMYFUNCTION("""COMPUTED_VALUE"""),27246)</f>
        <v>27246</v>
      </c>
      <c r="N66" s="4" t="str">
        <f ca="1">IFERROR(__xludf.DUMMYFUNCTION("""COMPUTED_VALUE"""),"Pembina Utama")</f>
        <v>Pembina Utama</v>
      </c>
      <c r="O66" s="3" t="str">
        <f ca="1">IFERROR(__xludf.DUMMYFUNCTION("""COMPUTED_VALUE"""),"IV/e")</f>
        <v>IV/e</v>
      </c>
      <c r="P66" s="7">
        <f ca="1">IFERROR(__xludf.DUMMYFUNCTION("""COMPUTED_VALUE"""),45323)</f>
        <v>45323</v>
      </c>
      <c r="Q66" s="3" t="str">
        <f ca="1">IFERROR(__xludf.DUMMYFUNCTION("""COMPUTED_VALUE"""),"00006/KEP/AA/15001/24")</f>
        <v>00006/KEP/AA/15001/24</v>
      </c>
      <c r="R66" s="3" t="str">
        <f ca="1">IFERROR(__xludf.DUMMYFUNCTION("""COMPUTED_VALUE"""),"Guru Besar")</f>
        <v>Guru Besar</v>
      </c>
      <c r="S66" s="3" t="str">
        <f ca="1">IFERROR(__xludf.DUMMYFUNCTION("""COMPUTED_VALUE"""),"Guru Besar")</f>
        <v>Guru Besar</v>
      </c>
      <c r="T66" s="7">
        <f ca="1">IFERROR(__xludf.DUMMYFUNCTION("""COMPUTED_VALUE"""),44044)</f>
        <v>44044</v>
      </c>
      <c r="U66" s="3" t="str">
        <f ca="1">IFERROR(__xludf.DUMMYFUNCTION("""COMPUTED_VALUE"""),"115578/MPK/KP/2020")</f>
        <v>115578/MPK/KP/2020</v>
      </c>
      <c r="V66" s="7">
        <f ca="1">IFERROR(__xludf.DUMMYFUNCTION("""COMPUTED_VALUE"""),44154)</f>
        <v>44154</v>
      </c>
      <c r="W66" s="3">
        <f ca="1">IFERROR(__xludf.DUMMYFUNCTION("""COMPUTED_VALUE"""),15)</f>
        <v>15</v>
      </c>
      <c r="X66" s="7" t="str">
        <f ca="1">IFERROR(__xludf.DUMMYFUNCTION("""COMPUTED_VALUE"""),"Dekan Fakultas Tarbiyah dan Ilmu Keguruan")</f>
        <v>Dekan Fakultas Tarbiyah dan Ilmu Keguruan</v>
      </c>
      <c r="Y66" s="3" t="str">
        <f ca="1">IFERROR(__xludf.DUMMYFUNCTION("""COMPUTED_VALUE"""),"S-3")</f>
        <v>S-3</v>
      </c>
      <c r="Z66" s="3" t="str">
        <f ca="1">IFERROR(__xludf.DUMMYFUNCTION("""COMPUTED_VALUE"""),"27 Tahun 10 Bulan 27 Hari")</f>
        <v>27 Tahun 10 Bulan 27 Hari</v>
      </c>
      <c r="AA66" s="8">
        <f ca="1">IFERROR(__xludf.DUMMYFUNCTION("""COMPUTED_VALUE"""),52841)</f>
        <v>52841</v>
      </c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4"/>
      <c r="AR66" s="3"/>
      <c r="AS66" s="4"/>
      <c r="AT66" s="3"/>
      <c r="AU66" s="3"/>
    </row>
    <row r="67" spans="1:47" x14ac:dyDescent="0.2">
      <c r="A67" s="12">
        <v>66</v>
      </c>
      <c r="B67" s="3" t="str">
        <f ca="1">IFERROR(__xludf.DUMMYFUNCTION("""COMPUTED_VALUE"""),"Fitria Zana Kumala")</f>
        <v>Fitria Zana Kumala</v>
      </c>
      <c r="C67" s="3" t="str">
        <f ca="1">IFERROR(__xludf.DUMMYFUNCTION("""COMPUTED_VALUE"""),"Fitria Zana Kumala, S.Si., M.Sc.")</f>
        <v>Fitria Zana Kumala, S.Si., M.Sc.</v>
      </c>
      <c r="D67" s="3" t="str">
        <f ca="1">IFERROR(__xludf.DUMMYFUNCTION("""COMPUTED_VALUE"""),"Fitria Zana Kumala, S.Si., M.Sc.")</f>
        <v>Fitria Zana Kumala, S.Si., M.Sc.</v>
      </c>
      <c r="E67" s="3" t="str">
        <f ca="1">IFERROR(__xludf.DUMMYFUNCTION("""COMPUTED_VALUE"""),"199005012019032022")</f>
        <v>199005012019032022</v>
      </c>
      <c r="F67" s="3" t="str">
        <f ca="1">IFERROR(__xludf.DUMMYFUNCTION("""COMPUTED_VALUE"""),"19900501 201903 2 022")</f>
        <v>19900501 201903 2 022</v>
      </c>
      <c r="G67" s="3">
        <f ca="1">IFERROR(__xludf.DUMMYFUNCTION("""COMPUTED_VALUE"""),2001059001)</f>
        <v>2001059001</v>
      </c>
      <c r="H67" s="6" t="str">
        <f ca="1">IFERROR(__xludf.DUMMYFUNCTION("""COMPUTED_VALUE"""),"3833768669230342")</f>
        <v>3833768669230342</v>
      </c>
      <c r="I67" s="3" t="str">
        <f ca="1">IFERROR(__xludf.DUMMYFUNCTION("""COMPUTED_VALUE"""),"PNS")</f>
        <v>PNS</v>
      </c>
      <c r="J67" s="3" t="str">
        <f ca="1">IFERROR(__xludf.DUMMYFUNCTION("""COMPUTED_VALUE"""),"Dosen PNS")</f>
        <v>Dosen PNS</v>
      </c>
      <c r="K67" s="5" t="str">
        <f ca="1">IFERROR(__xludf.DUMMYFUNCTION("""COMPUTED_VALUE"""),"P")</f>
        <v>P</v>
      </c>
      <c r="L67" s="3" t="str">
        <f ca="1">IFERROR(__xludf.DUMMYFUNCTION("""COMPUTED_VALUE"""),"Banyumas")</f>
        <v>Banyumas</v>
      </c>
      <c r="M67" s="7">
        <f ca="1">IFERROR(__xludf.DUMMYFUNCTION("""COMPUTED_VALUE"""),32994)</f>
        <v>32994</v>
      </c>
      <c r="N67" s="4" t="str">
        <f ca="1">IFERROR(__xludf.DUMMYFUNCTION("""COMPUTED_VALUE"""),"Penata Tk.I")</f>
        <v>Penata Tk.I</v>
      </c>
      <c r="O67" s="3" t="str">
        <f ca="1">IFERROR(__xludf.DUMMYFUNCTION("""COMPUTED_VALUE"""),"III/d")</f>
        <v>III/d</v>
      </c>
      <c r="P67" s="7">
        <f ca="1">IFERROR(__xludf.DUMMYFUNCTION("""COMPUTED_VALUE"""),45931)</f>
        <v>45931</v>
      </c>
      <c r="Q67" s="3" t="str">
        <f ca="1">IFERROR(__xludf.DUMMYFUNCTION("""COMPUTED_VALUE"""),"199569/B.II/KP.07.1/08/2025")</f>
        <v>199569/B.II/KP.07.1/08/2025</v>
      </c>
      <c r="R67" s="3" t="str">
        <f ca="1">IFERROR(__xludf.DUMMYFUNCTION("""COMPUTED_VALUE"""),"Lektor")</f>
        <v>Lektor</v>
      </c>
      <c r="S67" s="3" t="str">
        <f ca="1">IFERROR(__xludf.DUMMYFUNCTION("""COMPUTED_VALUE"""),"Lektor")</f>
        <v>Lektor</v>
      </c>
      <c r="T67" s="7">
        <f ca="1">IFERROR(__xludf.DUMMYFUNCTION("""COMPUTED_VALUE"""),44986)</f>
        <v>44986</v>
      </c>
      <c r="U67" s="3" t="str">
        <f ca="1">IFERROR(__xludf.DUMMYFUNCTION("""COMPUTED_VALUE"""),"488/Un.19/K.AUPK/Kp.07.6/3/2023")</f>
        <v>488/Un.19/K.AUPK/Kp.07.6/3/2023</v>
      </c>
      <c r="V67" s="7">
        <f ca="1">IFERROR(__xludf.DUMMYFUNCTION("""COMPUTED_VALUE"""),44986)</f>
        <v>44986</v>
      </c>
      <c r="W67" s="3">
        <f ca="1">IFERROR(__xludf.DUMMYFUNCTION("""COMPUTED_VALUE"""),11)</f>
        <v>11</v>
      </c>
      <c r="X67" s="7" t="str">
        <f ca="1">IFERROR(__xludf.DUMMYFUNCTION("""COMPUTED_VALUE"""),"Koordinator Program Studi S-1 Tadris Matematika Pada Fakultas Tarbiyah dan Ilmu Keguruan")</f>
        <v>Koordinator Program Studi S-1 Tadris Matematika Pada Fakultas Tarbiyah dan Ilmu Keguruan</v>
      </c>
      <c r="Y67" s="3" t="str">
        <f ca="1">IFERROR(__xludf.DUMMYFUNCTION("""COMPUTED_VALUE"""),"S-2")</f>
        <v>S-2</v>
      </c>
      <c r="Z67" s="3" t="str">
        <f ca="1">IFERROR(__xludf.DUMMYFUNCTION("""COMPUTED_VALUE"""),"6 Tahun 10 Bulan 27 Hari")</f>
        <v>6 Tahun 10 Bulan 27 Hari</v>
      </c>
      <c r="AA67" s="8">
        <f ca="1">IFERROR(__xludf.DUMMYFUNCTION("""COMPUTED_VALUE"""),56766)</f>
        <v>56766</v>
      </c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4"/>
      <c r="AR67" s="3"/>
      <c r="AS67" s="4"/>
      <c r="AT67" s="3"/>
      <c r="AU67" s="3"/>
    </row>
    <row r="68" spans="1:47" x14ac:dyDescent="0.2">
      <c r="A68" s="12">
        <v>67</v>
      </c>
      <c r="B68" s="3" t="str">
        <f ca="1">IFERROR(__xludf.DUMMYFUNCTION("""COMPUTED_VALUE"""),"Gangsar Edi Laksono")</f>
        <v>Gangsar Edi Laksono</v>
      </c>
      <c r="C68" s="3" t="str">
        <f ca="1">IFERROR(__xludf.DUMMYFUNCTION("""COMPUTED_VALUE"""),"Gangsar Edi Laksono, M.Sc.")</f>
        <v>Gangsar Edi Laksono, M.Sc.</v>
      </c>
      <c r="D68" s="3" t="str">
        <f ca="1">IFERROR(__xludf.DUMMYFUNCTION("""COMPUTED_VALUE"""),"Gangsar Edi Laksono, M.Sc.")</f>
        <v>Gangsar Edi Laksono, M.Sc.</v>
      </c>
      <c r="E68" s="3" t="str">
        <f ca="1">IFERROR(__xludf.DUMMYFUNCTION("""COMPUTED_VALUE"""),"199203202022031001")</f>
        <v>199203202022031001</v>
      </c>
      <c r="F68" s="3" t="str">
        <f ca="1">IFERROR(__xludf.DUMMYFUNCTION("""COMPUTED_VALUE"""),"19920320 202203 1 001")</f>
        <v>19920320 202203 1 001</v>
      </c>
      <c r="G68" s="3">
        <f ca="1">IFERROR(__xludf.DUMMYFUNCTION("""COMPUTED_VALUE"""),2020039207)</f>
        <v>2020039207</v>
      </c>
      <c r="H68" s="6" t="str">
        <f ca="1">IFERROR(__xludf.DUMMYFUNCTION("""COMPUTED_VALUE"""),"9652770671130322")</f>
        <v>9652770671130322</v>
      </c>
      <c r="I68" s="3" t="str">
        <f ca="1">IFERROR(__xludf.DUMMYFUNCTION("""COMPUTED_VALUE"""),"PNS")</f>
        <v>PNS</v>
      </c>
      <c r="J68" s="3" t="str">
        <f ca="1">IFERROR(__xludf.DUMMYFUNCTION("""COMPUTED_VALUE"""),"Dosen PNS")</f>
        <v>Dosen PNS</v>
      </c>
      <c r="K68" s="5" t="str">
        <f ca="1">IFERROR(__xludf.DUMMYFUNCTION("""COMPUTED_VALUE"""),"L")</f>
        <v>L</v>
      </c>
      <c r="L68" s="3" t="str">
        <f ca="1">IFERROR(__xludf.DUMMYFUNCTION("""COMPUTED_VALUE"""),"Kebumen")</f>
        <v>Kebumen</v>
      </c>
      <c r="M68" s="7">
        <f ca="1">IFERROR(__xludf.DUMMYFUNCTION("""COMPUTED_VALUE"""),33683)</f>
        <v>33683</v>
      </c>
      <c r="N68" s="4" t="str">
        <f ca="1">IFERROR(__xludf.DUMMYFUNCTION("""COMPUTED_VALUE"""),"Penata Muda Tk.I")</f>
        <v>Penata Muda Tk.I</v>
      </c>
      <c r="O68" s="3" t="str">
        <f ca="1">IFERROR(__xludf.DUMMYFUNCTION("""COMPUTED_VALUE"""),"III/b")</f>
        <v>III/b</v>
      </c>
      <c r="P68" s="7">
        <f ca="1">IFERROR(__xludf.DUMMYFUNCTION("""COMPUTED_VALUE"""),44986)</f>
        <v>44986</v>
      </c>
      <c r="Q68" s="3" t="str">
        <f ca="1">IFERROR(__xludf.DUMMYFUNCTION("""COMPUTED_VALUE"""),"331/Un.19/K.AUPK/KP.00.3/2/2023")</f>
        <v>331/Un.19/K.AUPK/KP.00.3/2/2023</v>
      </c>
      <c r="R68" s="3" t="str">
        <f ca="1">IFERROR(__xludf.DUMMYFUNCTION("""COMPUTED_VALUE"""),"Asisten Ahli")</f>
        <v>Asisten Ahli</v>
      </c>
      <c r="S68" s="3" t="str">
        <f ca="1">IFERROR(__xludf.DUMMYFUNCTION("""COMPUTED_VALUE"""),"Asisten Ahli")</f>
        <v>Asisten Ahli</v>
      </c>
      <c r="T68" s="7">
        <f ca="1">IFERROR(__xludf.DUMMYFUNCTION("""COMPUTED_VALUE"""),45047)</f>
        <v>45047</v>
      </c>
      <c r="U68" s="3" t="str">
        <f ca="1">IFERROR(__xludf.DUMMYFUNCTION("""COMPUTED_VALUE"""),"013485/B.II/3/2023")</f>
        <v>013485/B.II/3/2023</v>
      </c>
      <c r="V68" s="7">
        <f ca="1">IFERROR(__xludf.DUMMYFUNCTION("""COMPUTED_VALUE"""),45090)</f>
        <v>45090</v>
      </c>
      <c r="W68" s="3">
        <f ca="1">IFERROR(__xludf.DUMMYFUNCTION("""COMPUTED_VALUE"""),9)</f>
        <v>9</v>
      </c>
      <c r="X68" s="7" t="str">
        <f ca="1">IFERROR(__xludf.DUMMYFUNCTION("""COMPUTED_VALUE"""),"Koordinator Program Studi S-1 Ilmu Lingkungan Pada Fakultas Dakwah")</f>
        <v>Koordinator Program Studi S-1 Ilmu Lingkungan Pada Fakultas Dakwah</v>
      </c>
      <c r="Y68" s="3" t="str">
        <f ca="1">IFERROR(__xludf.DUMMYFUNCTION("""COMPUTED_VALUE"""),"S-2")</f>
        <v>S-2</v>
      </c>
      <c r="Z68" s="3" t="str">
        <f ca="1">IFERROR(__xludf.DUMMYFUNCTION("""COMPUTED_VALUE"""),"3 Tahun 10 Bulan 27 Hari")</f>
        <v>3 Tahun 10 Bulan 27 Hari</v>
      </c>
      <c r="AA68" s="8">
        <f ca="1">IFERROR(__xludf.DUMMYFUNCTION("""COMPUTED_VALUE"""),57436)</f>
        <v>57436</v>
      </c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4"/>
      <c r="AR68" s="3"/>
      <c r="AS68" s="4"/>
      <c r="AT68" s="3"/>
      <c r="AU68" s="3"/>
    </row>
    <row r="69" spans="1:47" x14ac:dyDescent="0.2">
      <c r="A69" s="12">
        <v>68</v>
      </c>
      <c r="B69" s="3" t="str">
        <f ca="1">IFERROR(__xludf.DUMMYFUNCTION("""COMPUTED_VALUE"""),"Harisatunisa")</f>
        <v>Harisatunisa</v>
      </c>
      <c r="C69" s="3" t="str">
        <f ca="1">IFERROR(__xludf.DUMMYFUNCTION("""COMPUTED_VALUE"""),"Harisatunisa, S.Pd., M.Ed.")</f>
        <v>Harisatunisa, S.Pd., M.Ed.</v>
      </c>
      <c r="D69" s="3" t="str">
        <f ca="1">IFERROR(__xludf.DUMMYFUNCTION("""COMPUTED_VALUE"""),"Harisatunisa, S.Pd., M.Ed.")</f>
        <v>Harisatunisa, S.Pd., M.Ed.</v>
      </c>
      <c r="E69" s="3" t="str">
        <f ca="1">IFERROR(__xludf.DUMMYFUNCTION("""COMPUTED_VALUE"""),"199207052019032023")</f>
        <v>199207052019032023</v>
      </c>
      <c r="F69" s="3" t="str">
        <f ca="1">IFERROR(__xludf.DUMMYFUNCTION("""COMPUTED_VALUE"""),"19920705 201903 2 023")</f>
        <v>19920705 201903 2 023</v>
      </c>
      <c r="G69" s="3">
        <f ca="1">IFERROR(__xludf.DUMMYFUNCTION("""COMPUTED_VALUE"""),2005079201)</f>
        <v>2005079201</v>
      </c>
      <c r="H69" s="6" t="str">
        <f ca="1">IFERROR(__xludf.DUMMYFUNCTION("""COMPUTED_VALUE"""),"6037770671230363")</f>
        <v>6037770671230363</v>
      </c>
      <c r="I69" s="3" t="str">
        <f ca="1">IFERROR(__xludf.DUMMYFUNCTION("""COMPUTED_VALUE"""),"PNS")</f>
        <v>PNS</v>
      </c>
      <c r="J69" s="3" t="str">
        <f ca="1">IFERROR(__xludf.DUMMYFUNCTION("""COMPUTED_VALUE"""),"Dosen PNS")</f>
        <v>Dosen PNS</v>
      </c>
      <c r="K69" s="5" t="str">
        <f ca="1">IFERROR(__xludf.DUMMYFUNCTION("""COMPUTED_VALUE"""),"P")</f>
        <v>P</v>
      </c>
      <c r="L69" s="3" t="str">
        <f ca="1">IFERROR(__xludf.DUMMYFUNCTION("""COMPUTED_VALUE"""),"Brebes")</f>
        <v>Brebes</v>
      </c>
      <c r="M69" s="7">
        <f ca="1">IFERROR(__xludf.DUMMYFUNCTION("""COMPUTED_VALUE"""),33790)</f>
        <v>33790</v>
      </c>
      <c r="N69" s="4" t="str">
        <f ca="1">IFERROR(__xludf.DUMMYFUNCTION("""COMPUTED_VALUE"""),"Penata")</f>
        <v>Penata</v>
      </c>
      <c r="O69" s="3" t="str">
        <f ca="1">IFERROR(__xludf.DUMMYFUNCTION("""COMPUTED_VALUE"""),"III/c")</f>
        <v>III/c</v>
      </c>
      <c r="P69" s="7">
        <f ca="1">IFERROR(__xludf.DUMMYFUNCTION("""COMPUTED_VALUE"""),45992)</f>
        <v>45992</v>
      </c>
      <c r="Q69" s="3" t="str">
        <f ca="1">IFERROR(__xludf.DUMMYFUNCTION("""COMPUTED_VALUE"""),"214548/B.II/KP.07.1/11/2025")</f>
        <v>214548/B.II/KP.07.1/11/2025</v>
      </c>
      <c r="R69" s="3" t="str">
        <f ca="1">IFERROR(__xludf.DUMMYFUNCTION("""COMPUTED_VALUE"""),"Lektor")</f>
        <v>Lektor</v>
      </c>
      <c r="S69" s="3" t="str">
        <f ca="1">IFERROR(__xludf.DUMMYFUNCTION("""COMPUTED_VALUE"""),"Lektor")</f>
        <v>Lektor</v>
      </c>
      <c r="T69" s="7">
        <f ca="1">IFERROR(__xludf.DUMMYFUNCTION("""COMPUTED_VALUE"""),45962)</f>
        <v>45962</v>
      </c>
      <c r="U69" s="3" t="str">
        <f ca="1">IFERROR(__xludf.DUMMYFUNCTION("""COMPUTED_VALUE"""),"208796/B.II/KP.07.6/10/2025")</f>
        <v>208796/B.II/KP.07.6/10/2025</v>
      </c>
      <c r="V69" s="7">
        <f ca="1">IFERROR(__xludf.DUMMYFUNCTION("""COMPUTED_VALUE"""),45936)</f>
        <v>45936</v>
      </c>
      <c r="W69" s="3">
        <f ca="1">IFERROR(__xludf.DUMMYFUNCTION("""COMPUTED_VALUE"""),11)</f>
        <v>11</v>
      </c>
      <c r="X69" s="3"/>
      <c r="Y69" s="3" t="str">
        <f ca="1">IFERROR(__xludf.DUMMYFUNCTION("""COMPUTED_VALUE"""),"S-2")</f>
        <v>S-2</v>
      </c>
      <c r="Z69" s="3" t="str">
        <f ca="1">IFERROR(__xludf.DUMMYFUNCTION("""COMPUTED_VALUE"""),"6 Tahun 10 Bulan 27 Hari")</f>
        <v>6 Tahun 10 Bulan 27 Hari</v>
      </c>
      <c r="AA69" s="8">
        <f ca="1">IFERROR(__xludf.DUMMYFUNCTION("""COMPUTED_VALUE"""),57558)</f>
        <v>57558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4"/>
      <c r="AR69" s="3"/>
      <c r="AS69" s="4"/>
      <c r="AT69" s="3"/>
      <c r="AU69" s="3"/>
    </row>
    <row r="70" spans="1:47" x14ac:dyDescent="0.2">
      <c r="A70" s="12">
        <v>69</v>
      </c>
      <c r="B70" s="3" t="str">
        <f ca="1">IFERROR(__xludf.DUMMYFUNCTION("""COMPUTED_VALUE"""),"Harisman")</f>
        <v>Harisman</v>
      </c>
      <c r="C70" s="3" t="str">
        <f ca="1">IFERROR(__xludf.DUMMYFUNCTION("""COMPUTED_VALUE"""),"Harisman, S.Pd., M.Ag.")</f>
        <v>Harisman, S.Pd., M.Ag.</v>
      </c>
      <c r="D70" s="3" t="str">
        <f ca="1">IFERROR(__xludf.DUMMYFUNCTION("""COMPUTED_VALUE"""),"Harisman, S.Pd., M.Ag.")</f>
        <v>Harisman, S.Pd., M.Ag.</v>
      </c>
      <c r="E70" s="3" t="str">
        <f ca="1">IFERROR(__xludf.DUMMYFUNCTION("""COMPUTED_VALUE"""),"198911282019031020")</f>
        <v>198911282019031020</v>
      </c>
      <c r="F70" s="3" t="str">
        <f ca="1">IFERROR(__xludf.DUMMYFUNCTION("""COMPUTED_VALUE"""),"19891128 201903 1 020")</f>
        <v>19891128 201903 1 020</v>
      </c>
      <c r="G70" s="3">
        <f ca="1">IFERROR(__xludf.DUMMYFUNCTION("""COMPUTED_VALUE"""),2028118902)</f>
        <v>2028118902</v>
      </c>
      <c r="H70" s="6" t="str">
        <f ca="1">IFERROR(__xludf.DUMMYFUNCTION("""COMPUTED_VALUE"""),"4460767668131113")</f>
        <v>4460767668131113</v>
      </c>
      <c r="I70" s="3" t="str">
        <f ca="1">IFERROR(__xludf.DUMMYFUNCTION("""COMPUTED_VALUE"""),"PNS")</f>
        <v>PNS</v>
      </c>
      <c r="J70" s="3" t="str">
        <f ca="1">IFERROR(__xludf.DUMMYFUNCTION("""COMPUTED_VALUE"""),"Dosen PNS")</f>
        <v>Dosen PNS</v>
      </c>
      <c r="K70" s="5" t="str">
        <f ca="1">IFERROR(__xludf.DUMMYFUNCTION("""COMPUTED_VALUE"""),"L")</f>
        <v>L</v>
      </c>
      <c r="L70" s="3" t="str">
        <f ca="1">IFERROR(__xludf.DUMMYFUNCTION("""COMPUTED_VALUE"""),"Sukabumi")</f>
        <v>Sukabumi</v>
      </c>
      <c r="M70" s="9">
        <f ca="1">IFERROR(__xludf.DUMMYFUNCTION("""COMPUTED_VALUE"""),32840)</f>
        <v>32840</v>
      </c>
      <c r="N70" s="4" t="str">
        <f ca="1">IFERROR(__xludf.DUMMYFUNCTION("""COMPUTED_VALUE"""),"Penata")</f>
        <v>Penata</v>
      </c>
      <c r="O70" s="3" t="str">
        <f ca="1">IFERROR(__xludf.DUMMYFUNCTION("""COMPUTED_VALUE"""),"III/c")</f>
        <v>III/c</v>
      </c>
      <c r="P70" s="7">
        <f ca="1">IFERROR(__xludf.DUMMYFUNCTION("""COMPUTED_VALUE"""),45566)</f>
        <v>45566</v>
      </c>
      <c r="Q70" s="3" t="str">
        <f ca="1">IFERROR(__xludf.DUMMYFUNCTION("""COMPUTED_VALUE"""),"838/Un.19/K.AUPK/KP.07.1/08/2024")</f>
        <v>838/Un.19/K.AUPK/KP.07.1/08/2024</v>
      </c>
      <c r="R70" s="3" t="str">
        <f ca="1">IFERROR(__xludf.DUMMYFUNCTION("""COMPUTED_VALUE"""),"Asisten Ahli")</f>
        <v>Asisten Ahli</v>
      </c>
      <c r="S70" s="3" t="str">
        <f ca="1">IFERROR(__xludf.DUMMYFUNCTION("""COMPUTED_VALUE"""),"Asisten Ahli")</f>
        <v>Asisten Ahli</v>
      </c>
      <c r="T70" s="7">
        <f ca="1">IFERROR(__xludf.DUMMYFUNCTION("""COMPUTED_VALUE"""),44256)</f>
        <v>44256</v>
      </c>
      <c r="U70" s="3" t="str">
        <f ca="1">IFERROR(__xludf.DUMMYFUNCTION("""COMPUTED_VALUE"""),"1408/In.17/R/Kp.07.6/4/2021")</f>
        <v>1408/In.17/R/Kp.07.6/4/2021</v>
      </c>
      <c r="V70" s="7">
        <f ca="1">IFERROR(__xludf.DUMMYFUNCTION("""COMPUTED_VALUE"""),44256)</f>
        <v>44256</v>
      </c>
      <c r="W70" s="3">
        <f ca="1">IFERROR(__xludf.DUMMYFUNCTION("""COMPUTED_VALUE"""),9)</f>
        <v>9</v>
      </c>
      <c r="X70" s="3"/>
      <c r="Y70" s="3" t="str">
        <f ca="1">IFERROR(__xludf.DUMMYFUNCTION("""COMPUTED_VALUE"""),"S-2")</f>
        <v>S-2</v>
      </c>
      <c r="Z70" s="3" t="str">
        <f ca="1">IFERROR(__xludf.DUMMYFUNCTION("""COMPUTED_VALUE"""),"6 Tahun 10 Bulan 27 Hari")</f>
        <v>6 Tahun 10 Bulan 27 Hari</v>
      </c>
      <c r="AA70" s="8">
        <f ca="1">IFERROR(__xludf.DUMMYFUNCTION("""COMPUTED_VALUE"""),56584)</f>
        <v>56584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4"/>
      <c r="AR70" s="3"/>
      <c r="AS70" s="4"/>
      <c r="AT70" s="3"/>
      <c r="AU70" s="3"/>
    </row>
    <row r="71" spans="1:47" x14ac:dyDescent="0.2">
      <c r="A71" s="12">
        <v>70</v>
      </c>
      <c r="B71" s="3" t="str">
        <f ca="1">IFERROR(__xludf.DUMMYFUNCTION("""COMPUTED_VALUE"""),"Hariyanto")</f>
        <v>Hariyanto</v>
      </c>
      <c r="C71" s="3" t="str">
        <f ca="1">IFERROR(__xludf.DUMMYFUNCTION("""COMPUTED_VALUE"""),"Prof. Dr. Hariyanto, S.H.I., M.Hum.")</f>
        <v>Prof. Dr. Hariyanto, S.H.I., M.Hum.</v>
      </c>
      <c r="D71" s="3" t="str">
        <f ca="1">IFERROR(__xludf.DUMMYFUNCTION("""COMPUTED_VALUE"""),"Prof. Dr. Hariyanto, S.H.I., M.Hum.")</f>
        <v>Prof. Dr. Hariyanto, S.H.I., M.Hum.</v>
      </c>
      <c r="E71" s="3" t="str">
        <f ca="1">IFERROR(__xludf.DUMMYFUNCTION("""COMPUTED_VALUE"""),"197507072009011012")</f>
        <v>197507072009011012</v>
      </c>
      <c r="F71" s="3" t="str">
        <f ca="1">IFERROR(__xludf.DUMMYFUNCTION("""COMPUTED_VALUE"""),"19750707 200901 1 012")</f>
        <v>19750707 200901 1 012</v>
      </c>
      <c r="G71" s="3">
        <f ca="1">IFERROR(__xludf.DUMMYFUNCTION("""COMPUTED_VALUE"""),2007077504)</f>
        <v>2007077504</v>
      </c>
      <c r="H71" s="6" t="str">
        <f ca="1">IFERROR(__xludf.DUMMYFUNCTION("""COMPUTED_VALUE"""),"0039753654130153")</f>
        <v>0039753654130153</v>
      </c>
      <c r="I71" s="3" t="str">
        <f ca="1">IFERROR(__xludf.DUMMYFUNCTION("""COMPUTED_VALUE"""),"PNS")</f>
        <v>PNS</v>
      </c>
      <c r="J71" s="3" t="str">
        <f ca="1">IFERROR(__xludf.DUMMYFUNCTION("""COMPUTED_VALUE"""),"Dosen PNS")</f>
        <v>Dosen PNS</v>
      </c>
      <c r="K71" s="5" t="str">
        <f ca="1">IFERROR(__xludf.DUMMYFUNCTION("""COMPUTED_VALUE"""),"L")</f>
        <v>L</v>
      </c>
      <c r="L71" s="3" t="str">
        <f ca="1">IFERROR(__xludf.DUMMYFUNCTION("""COMPUTED_VALUE"""),"Jepara")</f>
        <v>Jepara</v>
      </c>
      <c r="M71" s="7">
        <f ca="1">IFERROR(__xludf.DUMMYFUNCTION("""COMPUTED_VALUE"""),27582)</f>
        <v>27582</v>
      </c>
      <c r="N71" s="4" t="str">
        <f ca="1">IFERROR(__xludf.DUMMYFUNCTION("""COMPUTED_VALUE"""),"Pembina Utama Muda")</f>
        <v>Pembina Utama Muda</v>
      </c>
      <c r="O71" s="3" t="str">
        <f ca="1">IFERROR(__xludf.DUMMYFUNCTION("""COMPUTED_VALUE"""),"IV/c")</f>
        <v>IV/c</v>
      </c>
      <c r="P71" s="7">
        <f ca="1">IFERROR(__xludf.DUMMYFUNCTION("""COMPUTED_VALUE"""),45931)</f>
        <v>45931</v>
      </c>
      <c r="Q71" s="3" t="str">
        <f ca="1">IFERROR(__xludf.DUMMYFUNCTION("""COMPUTED_VALUE"""),"00586/KEP/AA/15001/25")</f>
        <v>00586/KEP/AA/15001/25</v>
      </c>
      <c r="R71" s="3" t="str">
        <f ca="1">IFERROR(__xludf.DUMMYFUNCTION("""COMPUTED_VALUE"""),"Guru Besar")</f>
        <v>Guru Besar</v>
      </c>
      <c r="S71" s="3" t="str">
        <f ca="1">IFERROR(__xludf.DUMMYFUNCTION("""COMPUTED_VALUE"""),"Guru Besar")</f>
        <v>Guru Besar</v>
      </c>
      <c r="T71" s="7">
        <f ca="1">IFERROR(__xludf.DUMMYFUNCTION("""COMPUTED_VALUE"""),45839)</f>
        <v>45839</v>
      </c>
      <c r="U71" s="3" t="str">
        <f ca="1">IFERROR(__xludf.DUMMYFUNCTION("""COMPUTED_VALUE"""),"3315/M/KPT.KP/2025")</f>
        <v>3315/M/KPT.KP/2025</v>
      </c>
      <c r="V71" s="7">
        <f ca="1">IFERROR(__xludf.DUMMYFUNCTION("""COMPUTED_VALUE"""),45841)</f>
        <v>45841</v>
      </c>
      <c r="W71" s="3">
        <f ca="1">IFERROR(__xludf.DUMMYFUNCTION("""COMPUTED_VALUE"""),15)</f>
        <v>15</v>
      </c>
      <c r="X71" s="7" t="str">
        <f ca="1">IFERROR(__xludf.DUMMYFUNCTION("""COMPUTED_VALUE"""),"Wakil Dekan Bidang Kemahasiswaan, Alumni dan Kerja Sama Pada Fakultas Syariah")</f>
        <v>Wakil Dekan Bidang Kemahasiswaan, Alumni dan Kerja Sama Pada Fakultas Syariah</v>
      </c>
      <c r="Y71" s="3" t="str">
        <f ca="1">IFERROR(__xludf.DUMMYFUNCTION("""COMPUTED_VALUE"""),"S-3")</f>
        <v>S-3</v>
      </c>
      <c r="Z71" s="3" t="str">
        <f ca="1">IFERROR(__xludf.DUMMYFUNCTION("""COMPUTED_VALUE"""),"17 Tahun 0 Bulan 27 Hari")</f>
        <v>17 Tahun 0 Bulan 27 Hari</v>
      </c>
      <c r="AA71" s="8">
        <f ca="1">IFERROR(__xludf.DUMMYFUNCTION("""COMPUTED_VALUE"""),53175)</f>
        <v>53175</v>
      </c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4"/>
      <c r="AR71" s="3"/>
      <c r="AS71" s="4"/>
      <c r="AT71" s="3"/>
      <c r="AU71" s="3"/>
    </row>
    <row r="72" spans="1:47" x14ac:dyDescent="0.2">
      <c r="A72" s="12">
        <v>71</v>
      </c>
      <c r="B72" s="3" t="str">
        <f ca="1">IFERROR(__xludf.DUMMYFUNCTION("""COMPUTED_VALUE"""),"Hartono")</f>
        <v>Hartono</v>
      </c>
      <c r="C72" s="3" t="str">
        <f ca="1">IFERROR(__xludf.DUMMYFUNCTION("""COMPUTED_VALUE"""),"Dr. Hartono, M.Si.")</f>
        <v>Dr. Hartono, M.Si.</v>
      </c>
      <c r="D72" s="3" t="str">
        <f ca="1">IFERROR(__xludf.DUMMYFUNCTION("""COMPUTED_VALUE"""),"Dr. Hartono, M.Si.")</f>
        <v>Dr. Hartono, M.Si.</v>
      </c>
      <c r="E72" s="3" t="str">
        <f ca="1">IFERROR(__xludf.DUMMYFUNCTION("""COMPUTED_VALUE"""),"197205012005011004")</f>
        <v>197205012005011004</v>
      </c>
      <c r="F72" s="3" t="str">
        <f ca="1">IFERROR(__xludf.DUMMYFUNCTION("""COMPUTED_VALUE"""),"19720501 200501 1 004")</f>
        <v>19720501 200501 1 004</v>
      </c>
      <c r="G72" s="3">
        <f ca="1">IFERROR(__xludf.DUMMYFUNCTION("""COMPUTED_VALUE"""),2001057203)</f>
        <v>2001057203</v>
      </c>
      <c r="H72" s="6" t="str">
        <f ca="1">IFERROR(__xludf.DUMMYFUNCTION("""COMPUTED_VALUE"""),"7833750651130162")</f>
        <v>7833750651130162</v>
      </c>
      <c r="I72" s="3" t="str">
        <f ca="1">IFERROR(__xludf.DUMMYFUNCTION("""COMPUTED_VALUE"""),"PNS")</f>
        <v>PNS</v>
      </c>
      <c r="J72" s="3" t="str">
        <f ca="1">IFERROR(__xludf.DUMMYFUNCTION("""COMPUTED_VALUE"""),"Dosen PNS")</f>
        <v>Dosen PNS</v>
      </c>
      <c r="K72" s="5" t="str">
        <f ca="1">IFERROR(__xludf.DUMMYFUNCTION("""COMPUTED_VALUE"""),"L")</f>
        <v>L</v>
      </c>
      <c r="L72" s="3" t="str">
        <f ca="1">IFERROR(__xludf.DUMMYFUNCTION("""COMPUTED_VALUE"""),"Lamongan")</f>
        <v>Lamongan</v>
      </c>
      <c r="M72" s="7">
        <f ca="1">IFERROR(__xludf.DUMMYFUNCTION("""COMPUTED_VALUE"""),26420)</f>
        <v>26420</v>
      </c>
      <c r="N72" s="4" t="str">
        <f ca="1">IFERROR(__xludf.DUMMYFUNCTION("""COMPUTED_VALUE"""),"Pembina Tk.I")</f>
        <v>Pembina Tk.I</v>
      </c>
      <c r="O72" s="3" t="str">
        <f ca="1">IFERROR(__xludf.DUMMYFUNCTION("""COMPUTED_VALUE"""),"IV/b")</f>
        <v>IV/b</v>
      </c>
      <c r="P72" s="7">
        <f ca="1">IFERROR(__xludf.DUMMYFUNCTION("""COMPUTED_VALUE"""),45748)</f>
        <v>45748</v>
      </c>
      <c r="Q72" s="3" t="str">
        <f ca="1">IFERROR(__xludf.DUMMYFUNCTION("""COMPUTED_VALUE"""),"028966/B.II/3/2022")</f>
        <v>028966/B.II/3/2022</v>
      </c>
      <c r="R72" s="3" t="str">
        <f ca="1">IFERROR(__xludf.DUMMYFUNCTION("""COMPUTED_VALUE"""),"Lektor Kepala")</f>
        <v>Lektor Kepala</v>
      </c>
      <c r="S72" s="3" t="str">
        <f ca="1">IFERROR(__xludf.DUMMYFUNCTION("""COMPUTED_VALUE"""),"Lektor Kepala")</f>
        <v>Lektor Kepala</v>
      </c>
      <c r="T72" s="7">
        <f ca="1">IFERROR(__xludf.DUMMYFUNCTION("""COMPUTED_VALUE"""),44713)</f>
        <v>44713</v>
      </c>
      <c r="U72" s="3" t="str">
        <f ca="1">IFERROR(__xludf.DUMMYFUNCTION("""COMPUTED_VALUE"""),"26085/B.II/3/2022")</f>
        <v>26085/B.II/3/2022</v>
      </c>
      <c r="V72" s="7">
        <f ca="1">IFERROR(__xludf.DUMMYFUNCTION("""COMPUTED_VALUE"""),44804)</f>
        <v>44804</v>
      </c>
      <c r="W72" s="3">
        <f ca="1">IFERROR(__xludf.DUMMYFUNCTION("""COMPUTED_VALUE"""),13)</f>
        <v>13</v>
      </c>
      <c r="X72" s="7" t="str">
        <f ca="1">IFERROR(__xludf.DUMMYFUNCTION("""COMPUTED_VALUE"""),"Dekan Fakultas Ushuludin, Adab, dan Humaniora")</f>
        <v>Dekan Fakultas Ushuludin, Adab, dan Humaniora</v>
      </c>
      <c r="Y72" s="3" t="str">
        <f ca="1">IFERROR(__xludf.DUMMYFUNCTION("""COMPUTED_VALUE"""),"S-3")</f>
        <v>S-3</v>
      </c>
      <c r="Z72" s="3" t="str">
        <f ca="1">IFERROR(__xludf.DUMMYFUNCTION("""COMPUTED_VALUE"""),"21 Tahun 0 Bulan 27 Hari")</f>
        <v>21 Tahun 0 Bulan 27 Hari</v>
      </c>
      <c r="AA72" s="8">
        <f ca="1">IFERROR(__xludf.DUMMYFUNCTION("""COMPUTED_VALUE"""),50192)</f>
        <v>50192</v>
      </c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4"/>
      <c r="AR72" s="3"/>
      <c r="AS72" s="4"/>
      <c r="AT72" s="3"/>
      <c r="AU72" s="3"/>
    </row>
    <row r="73" spans="1:47" x14ac:dyDescent="0.2">
      <c r="A73" s="12">
        <v>72</v>
      </c>
      <c r="B73" s="3" t="str">
        <f ca="1">IFERROR(__xludf.DUMMYFUNCTION("""COMPUTED_VALUE"""),"Hasanudin")</f>
        <v>Hasanudin</v>
      </c>
      <c r="C73" s="3" t="str">
        <f ca="1">IFERROR(__xludf.DUMMYFUNCTION("""COMPUTED_VALUE"""),"Hasanudin, B.Sc., M.Sy.")</f>
        <v>Hasanudin, B.Sc., M.Sy.</v>
      </c>
      <c r="D73" s="3" t="str">
        <f ca="1">IFERROR(__xludf.DUMMYFUNCTION("""COMPUTED_VALUE"""),"Hasanudin, B.Sc., M.Sy.")</f>
        <v>Hasanudin, B.Sc., M.Sy.</v>
      </c>
      <c r="E73" s="3" t="str">
        <f ca="1">IFERROR(__xludf.DUMMYFUNCTION("""COMPUTED_VALUE"""),"198501152019031008")</f>
        <v>198501152019031008</v>
      </c>
      <c r="F73" s="3" t="str">
        <f ca="1">IFERROR(__xludf.DUMMYFUNCTION("""COMPUTED_VALUE"""),"19850115 201903 1 008")</f>
        <v>19850115 201903 1 008</v>
      </c>
      <c r="G73" s="3">
        <f ca="1">IFERROR(__xludf.DUMMYFUNCTION("""COMPUTED_VALUE"""),2015018501)</f>
        <v>2015018501</v>
      </c>
      <c r="H73" s="6" t="str">
        <f ca="1">IFERROR(__xludf.DUMMYFUNCTION("""COMPUTED_VALUE"""),"7447763664131162")</f>
        <v>7447763664131162</v>
      </c>
      <c r="I73" s="3" t="str">
        <f ca="1">IFERROR(__xludf.DUMMYFUNCTION("""COMPUTED_VALUE"""),"PNS")</f>
        <v>PNS</v>
      </c>
      <c r="J73" s="3" t="str">
        <f ca="1">IFERROR(__xludf.DUMMYFUNCTION("""COMPUTED_VALUE"""),"Dosen PNS")</f>
        <v>Dosen PNS</v>
      </c>
      <c r="K73" s="5" t="str">
        <f ca="1">IFERROR(__xludf.DUMMYFUNCTION("""COMPUTED_VALUE"""),"L")</f>
        <v>L</v>
      </c>
      <c r="L73" s="3" t="str">
        <f ca="1">IFERROR(__xludf.DUMMYFUNCTION("""COMPUTED_VALUE"""),"Lakbok")</f>
        <v>Lakbok</v>
      </c>
      <c r="M73" s="7">
        <f ca="1">IFERROR(__xludf.DUMMYFUNCTION("""COMPUTED_VALUE"""),31062)</f>
        <v>31062</v>
      </c>
      <c r="N73" s="4" t="str">
        <f ca="1">IFERROR(__xludf.DUMMYFUNCTION("""COMPUTED_VALUE"""),"Penata")</f>
        <v>Penata</v>
      </c>
      <c r="O73" s="3" t="str">
        <f ca="1">IFERROR(__xludf.DUMMYFUNCTION("""COMPUTED_VALUE"""),"III/c")</f>
        <v>III/c</v>
      </c>
      <c r="P73" s="7">
        <f ca="1">IFERROR(__xludf.DUMMYFUNCTION("""COMPUTED_VALUE"""),44835)</f>
        <v>44835</v>
      </c>
      <c r="Q73" s="3"/>
      <c r="R73" s="3" t="str">
        <f ca="1">IFERROR(__xludf.DUMMYFUNCTION("""COMPUTED_VALUE"""),"Lektor")</f>
        <v>Lektor</v>
      </c>
      <c r="S73" s="3" t="str">
        <f ca="1">IFERROR(__xludf.DUMMYFUNCTION("""COMPUTED_VALUE"""),"Lektor")</f>
        <v>Lektor</v>
      </c>
      <c r="T73" s="7">
        <f ca="1">IFERROR(__xludf.DUMMYFUNCTION("""COMPUTED_VALUE"""),44621)</f>
        <v>44621</v>
      </c>
      <c r="U73" s="3"/>
      <c r="V73" s="3"/>
      <c r="W73" s="3">
        <f ca="1">IFERROR(__xludf.DUMMYFUNCTION("""COMPUTED_VALUE"""),11)</f>
        <v>11</v>
      </c>
      <c r="X73" s="3"/>
      <c r="Y73" s="3" t="str">
        <f ca="1">IFERROR(__xludf.DUMMYFUNCTION("""COMPUTED_VALUE"""),"S-2")</f>
        <v>S-2</v>
      </c>
      <c r="Z73" s="3" t="str">
        <f ca="1">IFERROR(__xludf.DUMMYFUNCTION("""COMPUTED_VALUE"""),"6 Tahun 10 Bulan 27 Hari")</f>
        <v>6 Tahun 10 Bulan 27 Hari</v>
      </c>
      <c r="AA73" s="8">
        <f ca="1">IFERROR(__xludf.DUMMYFUNCTION("""COMPUTED_VALUE"""),54820)</f>
        <v>54820</v>
      </c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4"/>
      <c r="AR73" s="3"/>
      <c r="AS73" s="4"/>
      <c r="AT73" s="3"/>
      <c r="AU73" s="3"/>
    </row>
    <row r="74" spans="1:47" x14ac:dyDescent="0.2">
      <c r="A74" s="12">
        <v>73</v>
      </c>
      <c r="B74" s="3" t="str">
        <f ca="1">IFERROR(__xludf.DUMMYFUNCTION("""COMPUTED_VALUE"""),"Hastin Tri Utami")</f>
        <v>Hastin Tri Utami</v>
      </c>
      <c r="C74" s="3" t="str">
        <f ca="1">IFERROR(__xludf.DUMMYFUNCTION("""COMPUTED_VALUE"""),"Hastin Tri Utami, S.E., M.Si.")</f>
        <v>Hastin Tri Utami, S.E., M.Si.</v>
      </c>
      <c r="D74" s="3" t="str">
        <f ca="1">IFERROR(__xludf.DUMMYFUNCTION("""COMPUTED_VALUE"""),"Hastin Tri Utami, S.E., M.Si.")</f>
        <v>Hastin Tri Utami, S.E., M.Si.</v>
      </c>
      <c r="E74" s="3" t="str">
        <f ca="1">IFERROR(__xludf.DUMMYFUNCTION("""COMPUTED_VALUE"""),"199206132018012001")</f>
        <v>199206132018012001</v>
      </c>
      <c r="F74" s="3" t="str">
        <f ca="1">IFERROR(__xludf.DUMMYFUNCTION("""COMPUTED_VALUE"""),"19920613 201801 2 001")</f>
        <v>19920613 201801 2 001</v>
      </c>
      <c r="G74" s="3">
        <f ca="1">IFERROR(__xludf.DUMMYFUNCTION("""COMPUTED_VALUE"""),2013069201)</f>
        <v>2013069201</v>
      </c>
      <c r="H74" s="6" t="str">
        <f ca="1">IFERROR(__xludf.DUMMYFUNCTION("""COMPUTED_VALUE"""),"6945770671230282")</f>
        <v>6945770671230282</v>
      </c>
      <c r="I74" s="3" t="str">
        <f ca="1">IFERROR(__xludf.DUMMYFUNCTION("""COMPUTED_VALUE"""),"PNS")</f>
        <v>PNS</v>
      </c>
      <c r="J74" s="3" t="str">
        <f ca="1">IFERROR(__xludf.DUMMYFUNCTION("""COMPUTED_VALUE"""),"Dosen PNS")</f>
        <v>Dosen PNS</v>
      </c>
      <c r="K74" s="5" t="str">
        <f ca="1">IFERROR(__xludf.DUMMYFUNCTION("""COMPUTED_VALUE"""),"P")</f>
        <v>P</v>
      </c>
      <c r="L74" s="3" t="str">
        <f ca="1">IFERROR(__xludf.DUMMYFUNCTION("""COMPUTED_VALUE"""),"Banyumas")</f>
        <v>Banyumas</v>
      </c>
      <c r="M74" s="7">
        <f ca="1">IFERROR(__xludf.DUMMYFUNCTION("""COMPUTED_VALUE"""),33768)</f>
        <v>33768</v>
      </c>
      <c r="N74" s="4" t="str">
        <f ca="1">IFERROR(__xludf.DUMMYFUNCTION("""COMPUTED_VALUE"""),"Penata Tk.I")</f>
        <v>Penata Tk.I</v>
      </c>
      <c r="O74" s="3" t="str">
        <f ca="1">IFERROR(__xludf.DUMMYFUNCTION("""COMPUTED_VALUE"""),"III/d")</f>
        <v>III/d</v>
      </c>
      <c r="P74" s="7">
        <f ca="1">IFERROR(__xludf.DUMMYFUNCTION("""COMPUTED_VALUE"""),45383)</f>
        <v>45383</v>
      </c>
      <c r="Q74" s="3" t="str">
        <f ca="1">IFERROR(__xludf.DUMMYFUNCTION("""COMPUTED_VALUE"""),"511/Un.19/K.AUPK/KP.07.1/03/2024")</f>
        <v>511/Un.19/K.AUPK/KP.07.1/03/2024</v>
      </c>
      <c r="R74" s="3" t="str">
        <f ca="1">IFERROR(__xludf.DUMMYFUNCTION("""COMPUTED_VALUE"""),"Lektor")</f>
        <v>Lektor</v>
      </c>
      <c r="S74" s="3" t="str">
        <f ca="1">IFERROR(__xludf.DUMMYFUNCTION("""COMPUTED_VALUE"""),"Lektor")</f>
        <v>Lektor</v>
      </c>
      <c r="T74" s="7">
        <f ca="1">IFERROR(__xludf.DUMMYFUNCTION("""COMPUTED_VALUE"""),44440)</f>
        <v>44440</v>
      </c>
      <c r="U74" s="3"/>
      <c r="V74" s="3"/>
      <c r="W74" s="3">
        <f ca="1">IFERROR(__xludf.DUMMYFUNCTION("""COMPUTED_VALUE"""),11)</f>
        <v>11</v>
      </c>
      <c r="X74" s="7" t="str">
        <f ca="1">IFERROR(__xludf.DUMMYFUNCTION("""COMPUTED_VALUE"""),"Koordinator Program Studi S-1 Perbankan Syariah Pada Fakultas Ekonomi dan Bisnis Islam")</f>
        <v>Koordinator Program Studi S-1 Perbankan Syariah Pada Fakultas Ekonomi dan Bisnis Islam</v>
      </c>
      <c r="Y74" s="3" t="str">
        <f ca="1">IFERROR(__xludf.DUMMYFUNCTION("""COMPUTED_VALUE"""),"S-2")</f>
        <v>S-2</v>
      </c>
      <c r="Z74" s="3" t="str">
        <f ca="1">IFERROR(__xludf.DUMMYFUNCTION("""COMPUTED_VALUE"""),"8 Tahun 0 Bulan 27 Hari")</f>
        <v>8 Tahun 0 Bulan 27 Hari</v>
      </c>
      <c r="AA74" s="8">
        <f ca="1">IFERROR(__xludf.DUMMYFUNCTION("""COMPUTED_VALUE"""),57527)</f>
        <v>57527</v>
      </c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4"/>
      <c r="AR74" s="3"/>
      <c r="AS74" s="4"/>
      <c r="AT74" s="3"/>
      <c r="AU74" s="3"/>
    </row>
    <row r="75" spans="1:47" x14ac:dyDescent="0.2">
      <c r="A75" s="12">
        <v>74</v>
      </c>
      <c r="B75" s="3" t="str">
        <f ca="1">IFERROR(__xludf.DUMMYFUNCTION("""COMPUTED_VALUE"""),"Hendri Purbo Waseso")</f>
        <v>Hendri Purbo Waseso</v>
      </c>
      <c r="C75" s="3" t="str">
        <f ca="1">IFERROR(__xludf.DUMMYFUNCTION("""COMPUTED_VALUE"""),"Hendri Purbo Waseso, M.Pd.I.")</f>
        <v>Hendri Purbo Waseso, M.Pd.I.</v>
      </c>
      <c r="D75" s="3" t="str">
        <f ca="1">IFERROR(__xludf.DUMMYFUNCTION("""COMPUTED_VALUE"""),"Hendri Purbo Waseso, M.Pd.I.")</f>
        <v>Hendri Purbo Waseso, M.Pd.I.</v>
      </c>
      <c r="E75" s="3" t="str">
        <f ca="1">IFERROR(__xludf.DUMMYFUNCTION("""COMPUTED_VALUE"""),"198912052019031011")</f>
        <v>198912052019031011</v>
      </c>
      <c r="F75" s="3" t="str">
        <f ca="1">IFERROR(__xludf.DUMMYFUNCTION("""COMPUTED_VALUE"""),"19891205 201903 1 011")</f>
        <v>19891205 201903 1 011</v>
      </c>
      <c r="G75" s="3" t="str">
        <f ca="1">IFERROR(__xludf.DUMMYFUNCTION("""COMPUTED_VALUE"""),"0605128901")</f>
        <v>0605128901</v>
      </c>
      <c r="H75" s="6" t="str">
        <f ca="1">IFERROR(__xludf.DUMMYFUNCTION("""COMPUTED_VALUE"""),"2537767668130363")</f>
        <v>2537767668130363</v>
      </c>
      <c r="I75" s="3" t="str">
        <f ca="1">IFERROR(__xludf.DUMMYFUNCTION("""COMPUTED_VALUE"""),"PNS")</f>
        <v>PNS</v>
      </c>
      <c r="J75" s="3" t="str">
        <f ca="1">IFERROR(__xludf.DUMMYFUNCTION("""COMPUTED_VALUE"""),"Dosen PNS")</f>
        <v>Dosen PNS</v>
      </c>
      <c r="K75" s="5" t="str">
        <f ca="1">IFERROR(__xludf.DUMMYFUNCTION("""COMPUTED_VALUE"""),"L")</f>
        <v>L</v>
      </c>
      <c r="L75" s="3" t="str">
        <f ca="1">IFERROR(__xludf.DUMMYFUNCTION("""COMPUTED_VALUE"""),"Purbalingga")</f>
        <v>Purbalingga</v>
      </c>
      <c r="M75" s="7">
        <f ca="1">IFERROR(__xludf.DUMMYFUNCTION("""COMPUTED_VALUE"""),32847)</f>
        <v>32847</v>
      </c>
      <c r="N75" s="4" t="str">
        <f ca="1">IFERROR(__xludf.DUMMYFUNCTION("""COMPUTED_VALUE"""),"Penata Tk.I")</f>
        <v>Penata Tk.I</v>
      </c>
      <c r="O75" s="3" t="str">
        <f ca="1">IFERROR(__xludf.DUMMYFUNCTION("""COMPUTED_VALUE"""),"III/d")</f>
        <v>III/d</v>
      </c>
      <c r="P75" s="7">
        <f ca="1">IFERROR(__xludf.DUMMYFUNCTION("""COMPUTED_VALUE"""),46023)</f>
        <v>46023</v>
      </c>
      <c r="Q75" s="3"/>
      <c r="R75" s="3" t="str">
        <f ca="1">IFERROR(__xludf.DUMMYFUNCTION("""COMPUTED_VALUE"""),"Lektor")</f>
        <v>Lektor</v>
      </c>
      <c r="S75" s="3" t="str">
        <f ca="1">IFERROR(__xludf.DUMMYFUNCTION("""COMPUTED_VALUE"""),"Lektor")</f>
        <v>Lektor</v>
      </c>
      <c r="T75" s="7">
        <f ca="1">IFERROR(__xludf.DUMMYFUNCTION("""COMPUTED_VALUE"""),44228)</f>
        <v>44228</v>
      </c>
      <c r="U75" s="3" t="str">
        <f ca="1">IFERROR(__xludf.DUMMYFUNCTION("""COMPUTED_VALUE"""),"896/In.17/R/Kp.07.6/2/2021")</f>
        <v>896/In.17/R/Kp.07.6/2/2021</v>
      </c>
      <c r="V75" s="7">
        <f ca="1">IFERROR(__xludf.DUMMYFUNCTION("""COMPUTED_VALUE"""),44228)</f>
        <v>44228</v>
      </c>
      <c r="W75" s="3">
        <f ca="1">IFERROR(__xludf.DUMMYFUNCTION("""COMPUTED_VALUE"""),11)</f>
        <v>11</v>
      </c>
      <c r="X75" s="7" t="str">
        <f ca="1">IFERROR(__xludf.DUMMYFUNCTION("""COMPUTED_VALUE"""),"Koordinator Program Studi S-1 Pendidikan Guru Madrasah Ibtidaiyyah Pada Fakultas Tarbiyah dan Ilmu Keguruan")</f>
        <v>Koordinator Program Studi S-1 Pendidikan Guru Madrasah Ibtidaiyyah Pada Fakultas Tarbiyah dan Ilmu Keguruan</v>
      </c>
      <c r="Y75" s="3" t="str">
        <f ca="1">IFERROR(__xludf.DUMMYFUNCTION("""COMPUTED_VALUE"""),"S-2")</f>
        <v>S-2</v>
      </c>
      <c r="Z75" s="3" t="str">
        <f ca="1">IFERROR(__xludf.DUMMYFUNCTION("""COMPUTED_VALUE"""),"6 Tahun 10 Bulan 27 Hari")</f>
        <v>6 Tahun 10 Bulan 27 Hari</v>
      </c>
      <c r="AA75" s="8">
        <f ca="1">IFERROR(__xludf.DUMMYFUNCTION("""COMPUTED_VALUE"""),56615)</f>
        <v>56615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4"/>
      <c r="AR75" s="3"/>
      <c r="AS75" s="4"/>
      <c r="AT75" s="3"/>
      <c r="AU75" s="3"/>
    </row>
    <row r="76" spans="1:47" x14ac:dyDescent="0.2">
      <c r="A76" s="12">
        <v>75</v>
      </c>
      <c r="B76" s="3" t="str">
        <f ca="1">IFERROR(__xludf.DUMMYFUNCTION("""COMPUTED_VALUE"""),"Henie Kurniawati")</f>
        <v>Henie Kurniawati</v>
      </c>
      <c r="C76" s="3" t="str">
        <f ca="1">IFERROR(__xludf.DUMMYFUNCTION("""COMPUTED_VALUE"""),"Dr. Henie Kurniawati, S.Psi., M.A.")</f>
        <v>Dr. Henie Kurniawati, S.Psi., M.A.</v>
      </c>
      <c r="D76" s="3" t="str">
        <f ca="1">IFERROR(__xludf.DUMMYFUNCTION("""COMPUTED_VALUE"""),"Dr. Henie Kurniawati, S.Psi., M.A.")</f>
        <v>Dr. Henie Kurniawati, S.Psi., M.A.</v>
      </c>
      <c r="E76" s="3" t="str">
        <f ca="1">IFERROR(__xludf.DUMMYFUNCTION("""COMPUTED_VALUE"""),"197905302007012019")</f>
        <v>197905302007012019</v>
      </c>
      <c r="F76" s="3" t="str">
        <f ca="1">IFERROR(__xludf.DUMMYFUNCTION("""COMPUTED_VALUE"""),"19790530 200701 2 019")</f>
        <v>19790530 200701 2 019</v>
      </c>
      <c r="G76" s="3">
        <f ca="1">IFERROR(__xludf.DUMMYFUNCTION("""COMPUTED_VALUE"""),2030057903)</f>
        <v>2030057903</v>
      </c>
      <c r="H76" s="6" t="str">
        <f ca="1">IFERROR(__xludf.DUMMYFUNCTION("""COMPUTED_VALUE"""),"1862757658230142")</f>
        <v>1862757658230142</v>
      </c>
      <c r="I76" s="3" t="str">
        <f ca="1">IFERROR(__xludf.DUMMYFUNCTION("""COMPUTED_VALUE"""),"PNS")</f>
        <v>PNS</v>
      </c>
      <c r="J76" s="3" t="str">
        <f ca="1">IFERROR(__xludf.DUMMYFUNCTION("""COMPUTED_VALUE"""),"Dosen PNS")</f>
        <v>Dosen PNS</v>
      </c>
      <c r="K76" s="5" t="str">
        <f ca="1">IFERROR(__xludf.DUMMYFUNCTION("""COMPUTED_VALUE"""),"P")</f>
        <v>P</v>
      </c>
      <c r="L76" s="3" t="str">
        <f ca="1">IFERROR(__xludf.DUMMYFUNCTION("""COMPUTED_VALUE"""),"Banjarnegara")</f>
        <v>Banjarnegara</v>
      </c>
      <c r="M76" s="7">
        <f ca="1">IFERROR(__xludf.DUMMYFUNCTION("""COMPUTED_VALUE"""),29005)</f>
        <v>29005</v>
      </c>
      <c r="N76" s="4" t="str">
        <f ca="1">IFERROR(__xludf.DUMMYFUNCTION("""COMPUTED_VALUE"""),"Pembina")</f>
        <v>Pembina</v>
      </c>
      <c r="O76" s="3" t="str">
        <f ca="1">IFERROR(__xludf.DUMMYFUNCTION("""COMPUTED_VALUE"""),"IV/a")</f>
        <v>IV/a</v>
      </c>
      <c r="P76" s="7">
        <f ca="1">IFERROR(__xludf.DUMMYFUNCTION("""COMPUTED_VALUE"""),45383)</f>
        <v>45383</v>
      </c>
      <c r="Q76" s="3" t="str">
        <f ca="1">IFERROR(__xludf.DUMMYFUNCTION("""COMPUTED_VALUE"""),"012602/B.II/3/2024")</f>
        <v>012602/B.II/3/2024</v>
      </c>
      <c r="R76" s="3" t="str">
        <f ca="1">IFERROR(__xludf.DUMMYFUNCTION("""COMPUTED_VALUE"""),"Lektor Kepala")</f>
        <v>Lektor Kepala</v>
      </c>
      <c r="S76" s="3" t="str">
        <f ca="1">IFERROR(__xludf.DUMMYFUNCTION("""COMPUTED_VALUE"""),"Lektor Kepala")</f>
        <v>Lektor Kepala</v>
      </c>
      <c r="T76" s="7">
        <f ca="1">IFERROR(__xludf.DUMMYFUNCTION("""COMPUTED_VALUE"""),45139)</f>
        <v>45139</v>
      </c>
      <c r="U76" s="3" t="str">
        <f ca="1">IFERROR(__xludf.DUMMYFUNCTION("""COMPUTED_VALUE"""),"903/In.17/R/Kp.07.6/6/2019")</f>
        <v>903/In.17/R/Kp.07.6/6/2019</v>
      </c>
      <c r="V76" s="7">
        <f ca="1">IFERROR(__xludf.DUMMYFUNCTION("""COMPUTED_VALUE"""),43617)</f>
        <v>43617</v>
      </c>
      <c r="W76" s="3">
        <f ca="1">IFERROR(__xludf.DUMMYFUNCTION("""COMPUTED_VALUE"""),13)</f>
        <v>13</v>
      </c>
      <c r="X76" s="7" t="str">
        <f ca="1">IFERROR(__xludf.DUMMYFUNCTION("""COMPUTED_VALUE"""),"Sekretaris pada Senat")</f>
        <v>Sekretaris pada Senat</v>
      </c>
      <c r="Y76" s="3" t="str">
        <f ca="1">IFERROR(__xludf.DUMMYFUNCTION("""COMPUTED_VALUE"""),"S-3")</f>
        <v>S-3</v>
      </c>
      <c r="Z76" s="3" t="str">
        <f ca="1">IFERROR(__xludf.DUMMYFUNCTION("""COMPUTED_VALUE"""),"19 Tahun 0 Bulan 27 Hari")</f>
        <v>19 Tahun 0 Bulan 27 Hari</v>
      </c>
      <c r="AA76" s="8">
        <f ca="1">IFERROR(__xludf.DUMMYFUNCTION("""COMPUTED_VALUE"""),52749)</f>
        <v>52749</v>
      </c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4"/>
      <c r="AR76" s="3"/>
      <c r="AS76" s="4"/>
      <c r="AT76" s="3"/>
      <c r="AU76" s="3"/>
    </row>
    <row r="77" spans="1:47" x14ac:dyDescent="0.2">
      <c r="A77" s="12">
        <v>76</v>
      </c>
      <c r="B77" s="3" t="str">
        <f ca="1">IFERROR(__xludf.DUMMYFUNCTION("""COMPUTED_VALUE"""),"Heru Kurniawan")</f>
        <v>Heru Kurniawan</v>
      </c>
      <c r="C77" s="3" t="str">
        <f ca="1">IFERROR(__xludf.DUMMYFUNCTION("""COMPUTED_VALUE"""),"Dr. Heru Kurniawan, S.Pd., M.A.")</f>
        <v>Dr. Heru Kurniawan, S.Pd., M.A.</v>
      </c>
      <c r="D77" s="3" t="str">
        <f ca="1">IFERROR(__xludf.DUMMYFUNCTION("""COMPUTED_VALUE"""),"Dr. Heru Kurniawan, S.Pd., M.A.")</f>
        <v>Dr. Heru Kurniawan, S.Pd., M.A.</v>
      </c>
      <c r="E77" s="3" t="str">
        <f ca="1">IFERROR(__xludf.DUMMYFUNCTION("""COMPUTED_VALUE"""),"198103222005011002")</f>
        <v>198103222005011002</v>
      </c>
      <c r="F77" s="3" t="str">
        <f ca="1">IFERROR(__xludf.DUMMYFUNCTION("""COMPUTED_VALUE"""),"19810322 200501 1 002")</f>
        <v>19810322 200501 1 002</v>
      </c>
      <c r="G77" s="3">
        <f ca="1">IFERROR(__xludf.DUMMYFUNCTION("""COMPUTED_VALUE"""),2022038101)</f>
        <v>2022038101</v>
      </c>
      <c r="H77" s="6" t="str">
        <f ca="1">IFERROR(__xludf.DUMMYFUNCTION("""COMPUTED_VALUE"""),"6654759660130152")</f>
        <v>6654759660130152</v>
      </c>
      <c r="I77" s="3" t="str">
        <f ca="1">IFERROR(__xludf.DUMMYFUNCTION("""COMPUTED_VALUE"""),"PNS")</f>
        <v>PNS</v>
      </c>
      <c r="J77" s="3" t="str">
        <f ca="1">IFERROR(__xludf.DUMMYFUNCTION("""COMPUTED_VALUE"""),"Dosen PNS")</f>
        <v>Dosen PNS</v>
      </c>
      <c r="K77" s="5" t="str">
        <f ca="1">IFERROR(__xludf.DUMMYFUNCTION("""COMPUTED_VALUE"""),"L")</f>
        <v>L</v>
      </c>
      <c r="L77" s="3" t="str">
        <f ca="1">IFERROR(__xludf.DUMMYFUNCTION("""COMPUTED_VALUE"""),"Brebes")</f>
        <v>Brebes</v>
      </c>
      <c r="M77" s="7">
        <f ca="1">IFERROR(__xludf.DUMMYFUNCTION("""COMPUTED_VALUE"""),29667)</f>
        <v>29667</v>
      </c>
      <c r="N77" s="4" t="str">
        <f ca="1">IFERROR(__xludf.DUMMYFUNCTION("""COMPUTED_VALUE"""),"Pembina")</f>
        <v>Pembina</v>
      </c>
      <c r="O77" s="3" t="str">
        <f ca="1">IFERROR(__xludf.DUMMYFUNCTION("""COMPUTED_VALUE"""),"IV/a")</f>
        <v>IV/a</v>
      </c>
      <c r="P77" s="7">
        <f ca="1">IFERROR(__xludf.DUMMYFUNCTION("""COMPUTED_VALUE"""),45566)</f>
        <v>45566</v>
      </c>
      <c r="Q77" s="3" t="str">
        <f ca="1">IFERROR(__xludf.DUMMYFUNCTION("""COMPUTED_VALUE"""),"036731/B.II/KP.07.1/09/2024")</f>
        <v>036731/B.II/KP.07.1/09/2024</v>
      </c>
      <c r="R77" s="3" t="str">
        <f ca="1">IFERROR(__xludf.DUMMYFUNCTION("""COMPUTED_VALUE"""),"Lektor Kepala")</f>
        <v>Lektor Kepala</v>
      </c>
      <c r="S77" s="3" t="str">
        <f ca="1">IFERROR(__xludf.DUMMYFUNCTION("""COMPUTED_VALUE"""),"Lektor Kepala")</f>
        <v>Lektor Kepala</v>
      </c>
      <c r="T77" s="7">
        <f ca="1">IFERROR(__xludf.DUMMYFUNCTION("""COMPUTED_VALUE"""),44621)</f>
        <v>44621</v>
      </c>
      <c r="U77" s="3" t="str">
        <f ca="1">IFERROR(__xludf.DUMMYFUNCTION("""COMPUTED_VALUE"""),"991/Un.19/R/Kp.07,6/4/2022")</f>
        <v>991/Un.19/R/Kp.07,6/4/2022</v>
      </c>
      <c r="V77" s="7">
        <f ca="1">IFERROR(__xludf.DUMMYFUNCTION("""COMPUTED_VALUE"""),44621)</f>
        <v>44621</v>
      </c>
      <c r="W77" s="3">
        <f ca="1">IFERROR(__xludf.DUMMYFUNCTION("""COMPUTED_VALUE"""),13)</f>
        <v>13</v>
      </c>
      <c r="X77" s="7" t="str">
        <f ca="1">IFERROR(__xludf.DUMMYFUNCTION("""COMPUTED_VALUE"""),"Ketua Program Studi S-2 Pendidikan Islam Anak Usia Dini pada Pascasarjana")</f>
        <v>Ketua Program Studi S-2 Pendidikan Islam Anak Usia Dini pada Pascasarjana</v>
      </c>
      <c r="Y77" s="3" t="str">
        <f ca="1">IFERROR(__xludf.DUMMYFUNCTION("""COMPUTED_VALUE"""),"S-3")</f>
        <v>S-3</v>
      </c>
      <c r="Z77" s="3" t="str">
        <f ca="1">IFERROR(__xludf.DUMMYFUNCTION("""COMPUTED_VALUE"""),"21 Tahun 0 Bulan 27 Hari")</f>
        <v>21 Tahun 0 Bulan 27 Hari</v>
      </c>
      <c r="AA77" s="8">
        <f ca="1">IFERROR(__xludf.DUMMYFUNCTION("""COMPUTED_VALUE"""),53418)</f>
        <v>53418</v>
      </c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4"/>
      <c r="AR77" s="3"/>
      <c r="AS77" s="4"/>
      <c r="AT77" s="3"/>
      <c r="AU77" s="3"/>
    </row>
    <row r="78" spans="1:47" x14ac:dyDescent="0.2">
      <c r="A78" s="12">
        <v>77</v>
      </c>
      <c r="B78" s="3" t="str">
        <f ca="1">IFERROR(__xludf.DUMMYFUNCTION("""COMPUTED_VALUE"""),"Ida Novianti")</f>
        <v>Ida Novianti</v>
      </c>
      <c r="C78" s="3" t="str">
        <f ca="1">IFERROR(__xludf.DUMMYFUNCTION("""COMPUTED_VALUE"""),"Dr. Hj. Ida Novianti, M.Ag.")</f>
        <v>Dr. Hj. Ida Novianti, M.Ag.</v>
      </c>
      <c r="D78" s="3" t="str">
        <f ca="1">IFERROR(__xludf.DUMMYFUNCTION("""COMPUTED_VALUE"""),"Dr. Hj. Ida Novianti, M.Ag.")</f>
        <v>Dr. Hj. Ida Novianti, M.Ag.</v>
      </c>
      <c r="E78" s="3" t="str">
        <f ca="1">IFERROR(__xludf.DUMMYFUNCTION("""COMPUTED_VALUE"""),"197111042000032001")</f>
        <v>197111042000032001</v>
      </c>
      <c r="F78" s="3" t="str">
        <f ca="1">IFERROR(__xludf.DUMMYFUNCTION("""COMPUTED_VALUE"""),"19711104 200003 2 001")</f>
        <v>19711104 200003 2 001</v>
      </c>
      <c r="G78" s="3">
        <f ca="1">IFERROR(__xludf.DUMMYFUNCTION("""COMPUTED_VALUE"""),2004117102)</f>
        <v>2004117102</v>
      </c>
      <c r="H78" s="6" t="str">
        <f ca="1">IFERROR(__xludf.DUMMYFUNCTION("""COMPUTED_VALUE"""),"7436749650231093")</f>
        <v>7436749650231093</v>
      </c>
      <c r="I78" s="3" t="str">
        <f ca="1">IFERROR(__xludf.DUMMYFUNCTION("""COMPUTED_VALUE"""),"PNS")</f>
        <v>PNS</v>
      </c>
      <c r="J78" s="3" t="str">
        <f ca="1">IFERROR(__xludf.DUMMYFUNCTION("""COMPUTED_VALUE"""),"Dosen PNS")</f>
        <v>Dosen PNS</v>
      </c>
      <c r="K78" s="5" t="str">
        <f ca="1">IFERROR(__xludf.DUMMYFUNCTION("""COMPUTED_VALUE"""),"P")</f>
        <v>P</v>
      </c>
      <c r="L78" s="3" t="str">
        <f ca="1">IFERROR(__xludf.DUMMYFUNCTION("""COMPUTED_VALUE"""),"Demak")</f>
        <v>Demak</v>
      </c>
      <c r="M78" s="7">
        <f ca="1">IFERROR(__xludf.DUMMYFUNCTION("""COMPUTED_VALUE"""),26241)</f>
        <v>26241</v>
      </c>
      <c r="N78" s="4" t="str">
        <f ca="1">IFERROR(__xludf.DUMMYFUNCTION("""COMPUTED_VALUE"""),"Pembina Tk.I")</f>
        <v>Pembina Tk.I</v>
      </c>
      <c r="O78" s="3" t="str">
        <f ca="1">IFERROR(__xludf.DUMMYFUNCTION("""COMPUTED_VALUE"""),"IV/b")</f>
        <v>IV/b</v>
      </c>
      <c r="P78" s="7">
        <f ca="1">IFERROR(__xludf.DUMMYFUNCTION("""COMPUTED_VALUE"""),45323)</f>
        <v>45323</v>
      </c>
      <c r="Q78" s="3" t="str">
        <f ca="1">IFERROR(__xludf.DUMMYFUNCTION("""COMPUTED_VALUE"""),"001895/B.II/3/2024")</f>
        <v>001895/B.II/3/2024</v>
      </c>
      <c r="R78" s="3" t="str">
        <f ca="1">IFERROR(__xludf.DUMMYFUNCTION("""COMPUTED_VALUE"""),"Lektor Kepala")</f>
        <v>Lektor Kepala</v>
      </c>
      <c r="S78" s="3" t="str">
        <f ca="1">IFERROR(__xludf.DUMMYFUNCTION("""COMPUTED_VALUE"""),"Lektor Kepala")</f>
        <v>Lektor Kepala</v>
      </c>
      <c r="T78" s="7">
        <f ca="1">IFERROR(__xludf.DUMMYFUNCTION("""COMPUTED_VALUE"""),40360)</f>
        <v>40360</v>
      </c>
      <c r="U78" s="3" t="str">
        <f ca="1">IFERROR(__xludf.DUMMYFUNCTION("""COMPUTED_VALUE"""),"B.II/3/1963")</f>
        <v>B.II/3/1963</v>
      </c>
      <c r="V78" s="7">
        <f ca="1">IFERROR(__xludf.DUMMYFUNCTION("""COMPUTED_VALUE"""),40360)</f>
        <v>40360</v>
      </c>
      <c r="W78" s="3">
        <f ca="1">IFERROR(__xludf.DUMMYFUNCTION("""COMPUTED_VALUE"""),13)</f>
        <v>13</v>
      </c>
      <c r="X78" s="7" t="str">
        <f ca="1">IFERROR(__xludf.DUMMYFUNCTION("""COMPUTED_VALUE"""),"Kepala Pusat Studi Gender dan Anak Pada Lembaga Penelitian dan Pengabdian Kepada Masyarakat")</f>
        <v>Kepala Pusat Studi Gender dan Anak Pada Lembaga Penelitian dan Pengabdian Kepada Masyarakat</v>
      </c>
      <c r="Y78" s="3" t="str">
        <f ca="1">IFERROR(__xludf.DUMMYFUNCTION("""COMPUTED_VALUE"""),"S-3")</f>
        <v>S-3</v>
      </c>
      <c r="Z78" s="3" t="str">
        <f ca="1">IFERROR(__xludf.DUMMYFUNCTION("""COMPUTED_VALUE"""),"25 Tahun 10 Bulan 27 Hari")</f>
        <v>25 Tahun 10 Bulan 27 Hari</v>
      </c>
      <c r="AA78" s="8">
        <f ca="1">IFERROR(__xludf.DUMMYFUNCTION("""COMPUTED_VALUE"""),50010)</f>
        <v>50010</v>
      </c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4"/>
      <c r="AR78" s="3"/>
      <c r="AS78" s="4"/>
      <c r="AT78" s="3"/>
      <c r="AU78" s="3"/>
    </row>
    <row r="79" spans="1:47" x14ac:dyDescent="0.2">
      <c r="A79" s="12">
        <v>78</v>
      </c>
      <c r="B79" s="3" t="str">
        <f ca="1">IFERROR(__xludf.DUMMYFUNCTION("""COMPUTED_VALUE"""),"Ida Nurlaeli")</f>
        <v>Ida Nurlaeli</v>
      </c>
      <c r="C79" s="3" t="str">
        <f ca="1">IFERROR(__xludf.DUMMYFUNCTION("""COMPUTED_VALUE"""),"Dr. Ida Nurlaeli, M.Ag.")</f>
        <v>Dr. Ida Nurlaeli, M.Ag.</v>
      </c>
      <c r="D79" s="3" t="str">
        <f ca="1">IFERROR(__xludf.DUMMYFUNCTION("""COMPUTED_VALUE"""),"Dr. Ida Nurlaeli, M.Ag.")</f>
        <v>Dr. Ida Nurlaeli, M.Ag.</v>
      </c>
      <c r="E79" s="3" t="str">
        <f ca="1">IFERROR(__xludf.DUMMYFUNCTION("""COMPUTED_VALUE"""),"197811132009012004")</f>
        <v>197811132009012004</v>
      </c>
      <c r="F79" s="3" t="str">
        <f ca="1">IFERROR(__xludf.DUMMYFUNCTION("""COMPUTED_VALUE"""),"19781113 200901 2 004")</f>
        <v>19781113 200901 2 004</v>
      </c>
      <c r="G79" s="3" t="str">
        <f ca="1">IFERROR(__xludf.DUMMYFUNCTION("""COMPUTED_VALUE"""),"0613117801")</f>
        <v>0613117801</v>
      </c>
      <c r="H79" s="6" t="str">
        <f ca="1">IFERROR(__xludf.DUMMYFUNCTION("""COMPUTED_VALUE"""),"4445756657230103")</f>
        <v>4445756657230103</v>
      </c>
      <c r="I79" s="3" t="str">
        <f ca="1">IFERROR(__xludf.DUMMYFUNCTION("""COMPUTED_VALUE"""),"PNS")</f>
        <v>PNS</v>
      </c>
      <c r="J79" s="3" t="str">
        <f ca="1">IFERROR(__xludf.DUMMYFUNCTION("""COMPUTED_VALUE"""),"Dosen PNS")</f>
        <v>Dosen PNS</v>
      </c>
      <c r="K79" s="5" t="str">
        <f ca="1">IFERROR(__xludf.DUMMYFUNCTION("""COMPUTED_VALUE"""),"P")</f>
        <v>P</v>
      </c>
      <c r="L79" s="3" t="str">
        <f ca="1">IFERROR(__xludf.DUMMYFUNCTION("""COMPUTED_VALUE"""),"Banyumas")</f>
        <v>Banyumas</v>
      </c>
      <c r="M79" s="9">
        <f ca="1">IFERROR(__xludf.DUMMYFUNCTION("""COMPUTED_VALUE"""),28807)</f>
        <v>28807</v>
      </c>
      <c r="N79" s="4" t="str">
        <f ca="1">IFERROR(__xludf.DUMMYFUNCTION("""COMPUTED_VALUE"""),"Pembina")</f>
        <v>Pembina</v>
      </c>
      <c r="O79" s="3" t="str">
        <f ca="1">IFERROR(__xludf.DUMMYFUNCTION("""COMPUTED_VALUE"""),"IV/a")</f>
        <v>IV/a</v>
      </c>
      <c r="P79" s="7">
        <f ca="1">IFERROR(__xludf.DUMMYFUNCTION("""COMPUTED_VALUE"""),45870)</f>
        <v>45870</v>
      </c>
      <c r="Q79" s="3" t="str">
        <f ca="1">IFERROR(__xludf.DUMMYFUNCTION("""COMPUTED_VALUE"""),"188061/B.II/KP.07.1/05/2025")</f>
        <v>188061/B.II/KP.07.1/05/2025</v>
      </c>
      <c r="R79" s="3" t="str">
        <f ca="1">IFERROR(__xludf.DUMMYFUNCTION("""COMPUTED_VALUE"""),"Lektor Kepala")</f>
        <v>Lektor Kepala</v>
      </c>
      <c r="S79" s="3" t="str">
        <f ca="1">IFERROR(__xludf.DUMMYFUNCTION("""COMPUTED_VALUE"""),"Lektor Kepala")</f>
        <v>Lektor Kepala</v>
      </c>
      <c r="T79" s="7">
        <f ca="1">IFERROR(__xludf.DUMMYFUNCTION("""COMPUTED_VALUE"""),45809)</f>
        <v>45809</v>
      </c>
      <c r="U79" s="3" t="str">
        <f ca="1">IFERROR(__xludf.DUMMYFUNCTION("""COMPUTED_VALUE"""),"185894/B.II/KP.07/05/2025")</f>
        <v>185894/B.II/KP.07/05/2025</v>
      </c>
      <c r="V79" s="7">
        <f ca="1">IFERROR(__xludf.DUMMYFUNCTION("""COMPUTED_VALUE"""),45797)</f>
        <v>45797</v>
      </c>
      <c r="W79" s="3">
        <f ca="1">IFERROR(__xludf.DUMMYFUNCTION("""COMPUTED_VALUE"""),13)</f>
        <v>13</v>
      </c>
      <c r="X79" s="3" t="str">
        <f ca="1">IFERROR(__xludf.DUMMYFUNCTION("""COMPUTED_VALUE"""),"Ketua Program Studi S-2 Ekonomi Syariah pada Pascasarjana")</f>
        <v>Ketua Program Studi S-2 Ekonomi Syariah pada Pascasarjana</v>
      </c>
      <c r="Y79" s="3" t="str">
        <f ca="1">IFERROR(__xludf.DUMMYFUNCTION("""COMPUTED_VALUE"""),"S-3")</f>
        <v>S-3</v>
      </c>
      <c r="Z79" s="3" t="str">
        <f ca="1">IFERROR(__xludf.DUMMYFUNCTION("""COMPUTED_VALUE"""),"17 Tahun 0 Bulan 27 Hari")</f>
        <v>17 Tahun 0 Bulan 27 Hari</v>
      </c>
      <c r="AA79" s="8">
        <f ca="1">IFERROR(__xludf.DUMMYFUNCTION("""COMPUTED_VALUE"""),52566)</f>
        <v>52566</v>
      </c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4"/>
      <c r="AR79" s="3"/>
      <c r="AS79" s="4"/>
      <c r="AT79" s="3"/>
      <c r="AU79" s="3"/>
    </row>
    <row r="80" spans="1:47" x14ac:dyDescent="0.2">
      <c r="A80" s="12">
        <v>79</v>
      </c>
      <c r="B80" s="3" t="str">
        <f ca="1">IFERROR(__xludf.DUMMYFUNCTION("""COMPUTED_VALUE"""),"Ifada Novikasari")</f>
        <v>Ifada Novikasari</v>
      </c>
      <c r="C80" s="3" t="str">
        <f ca="1">IFERROR(__xludf.DUMMYFUNCTION("""COMPUTED_VALUE"""),"Dr. Hj. Ifada Novikasari, S.Si., M.Pd.")</f>
        <v>Dr. Hj. Ifada Novikasari, S.Si., M.Pd.</v>
      </c>
      <c r="D80" s="3" t="str">
        <f ca="1">IFERROR(__xludf.DUMMYFUNCTION("""COMPUTED_VALUE"""),"Dr. Hj. Ifada Novikasari, S.Si., M.Pd.")</f>
        <v>Dr. Hj. Ifada Novikasari, S.Si., M.Pd.</v>
      </c>
      <c r="E80" s="3" t="str">
        <f ca="1">IFERROR(__xludf.DUMMYFUNCTION("""COMPUTED_VALUE"""),"198311102006042003")</f>
        <v>198311102006042003</v>
      </c>
      <c r="F80" s="3" t="str">
        <f ca="1">IFERROR(__xludf.DUMMYFUNCTION("""COMPUTED_VALUE"""),"19831110 200604 2 003")</f>
        <v>19831110 200604 2 003</v>
      </c>
      <c r="G80" s="3">
        <f ca="1">IFERROR(__xludf.DUMMYFUNCTION("""COMPUTED_VALUE"""),2010118301)</f>
        <v>2010118301</v>
      </c>
      <c r="H80" s="6" t="str">
        <f ca="1">IFERROR(__xludf.DUMMYFUNCTION("""COMPUTED_VALUE"""),"5442761662230333")</f>
        <v>5442761662230333</v>
      </c>
      <c r="I80" s="3" t="str">
        <f ca="1">IFERROR(__xludf.DUMMYFUNCTION("""COMPUTED_VALUE"""),"PNS")</f>
        <v>PNS</v>
      </c>
      <c r="J80" s="3" t="str">
        <f ca="1">IFERROR(__xludf.DUMMYFUNCTION("""COMPUTED_VALUE"""),"Dosen PNS")</f>
        <v>Dosen PNS</v>
      </c>
      <c r="K80" s="5" t="str">
        <f ca="1">IFERROR(__xludf.DUMMYFUNCTION("""COMPUTED_VALUE"""),"P")</f>
        <v>P</v>
      </c>
      <c r="L80" s="3" t="str">
        <f ca="1">IFERROR(__xludf.DUMMYFUNCTION("""COMPUTED_VALUE"""),"Magetan")</f>
        <v>Magetan</v>
      </c>
      <c r="M80" s="9">
        <f ca="1">IFERROR(__xludf.DUMMYFUNCTION("""COMPUTED_VALUE"""),30630)</f>
        <v>30630</v>
      </c>
      <c r="N80" s="4" t="str">
        <f ca="1">IFERROR(__xludf.DUMMYFUNCTION("""COMPUTED_VALUE"""),"Pembina Tk.I")</f>
        <v>Pembina Tk.I</v>
      </c>
      <c r="O80" s="3" t="str">
        <f ca="1">IFERROR(__xludf.DUMMYFUNCTION("""COMPUTED_VALUE"""),"IV/b")</f>
        <v>IV/b</v>
      </c>
      <c r="P80" s="7">
        <f ca="1">IFERROR(__xludf.DUMMYFUNCTION("""COMPUTED_VALUE"""),45748)</f>
        <v>45748</v>
      </c>
      <c r="Q80" s="3" t="str">
        <f ca="1">IFERROR(__xludf.DUMMYFUNCTION("""COMPUTED_VALUE"""),"145592/B.II/KP.07.1/02/2025")</f>
        <v>145592/B.II/KP.07.1/02/2025</v>
      </c>
      <c r="R80" s="3" t="str">
        <f ca="1">IFERROR(__xludf.DUMMYFUNCTION("""COMPUTED_VALUE"""),"Lektor Kepala")</f>
        <v>Lektor Kepala</v>
      </c>
      <c r="S80" s="3" t="str">
        <f ca="1">IFERROR(__xludf.DUMMYFUNCTION("""COMPUTED_VALUE"""),"Lektor Kepala")</f>
        <v>Lektor Kepala</v>
      </c>
      <c r="T80" s="7">
        <f ca="1">IFERROR(__xludf.DUMMYFUNCTION("""COMPUTED_VALUE"""),44866)</f>
        <v>44866</v>
      </c>
      <c r="U80" s="3" t="str">
        <f ca="1">IFERROR(__xludf.DUMMYFUNCTION("""COMPUTED_VALUE"""),"001371/B.II/3/2023")</f>
        <v>001371/B.II/3/2023</v>
      </c>
      <c r="V80" s="7">
        <f ca="1">IFERROR(__xludf.DUMMYFUNCTION("""COMPUTED_VALUE"""),44866)</f>
        <v>44866</v>
      </c>
      <c r="W80" s="3">
        <f ca="1">IFERROR(__xludf.DUMMYFUNCTION("""COMPUTED_VALUE"""),13)</f>
        <v>13</v>
      </c>
      <c r="X80" s="3"/>
      <c r="Y80" s="3" t="str">
        <f ca="1">IFERROR(__xludf.DUMMYFUNCTION("""COMPUTED_VALUE"""),"S-3")</f>
        <v>S-3</v>
      </c>
      <c r="Z80" s="3" t="str">
        <f ca="1">IFERROR(__xludf.DUMMYFUNCTION("""COMPUTED_VALUE"""),"19 Tahun 9 Bulan 27 Hari")</f>
        <v>19 Tahun 9 Bulan 27 Hari</v>
      </c>
      <c r="AA80" s="8">
        <f ca="1">IFERROR(__xludf.DUMMYFUNCTION("""COMPUTED_VALUE"""),54393)</f>
        <v>54393</v>
      </c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4"/>
      <c r="AR80" s="3"/>
      <c r="AS80" s="4"/>
      <c r="AT80" s="3"/>
      <c r="AU80" s="3"/>
    </row>
    <row r="81" spans="1:47" x14ac:dyDescent="0.2">
      <c r="A81" s="12">
        <v>80</v>
      </c>
      <c r="B81" s="3" t="str">
        <f ca="1">IFERROR(__xludf.DUMMYFUNCTION("""COMPUTED_VALUE"""),"Imam Alfi")</f>
        <v>Imam Alfi</v>
      </c>
      <c r="C81" s="3" t="str">
        <f ca="1">IFERROR(__xludf.DUMMYFUNCTION("""COMPUTED_VALUE"""),"Imam Alfi, M.Si.")</f>
        <v>Imam Alfi, M.Si.</v>
      </c>
      <c r="D81" s="3" t="str">
        <f ca="1">IFERROR(__xludf.DUMMYFUNCTION("""COMPUTED_VALUE"""),"Imam Alfi, M.Si.")</f>
        <v>Imam Alfi, M.Si.</v>
      </c>
      <c r="E81" s="3" t="str">
        <f ca="1">IFERROR(__xludf.DUMMYFUNCTION("""COMPUTED_VALUE"""),"198606062018011001")</f>
        <v>198606062018011001</v>
      </c>
      <c r="F81" s="3" t="str">
        <f ca="1">IFERROR(__xludf.DUMMYFUNCTION("""COMPUTED_VALUE"""),"19860606 201801 1 001")</f>
        <v>19860606 201801 1 001</v>
      </c>
      <c r="G81" s="3">
        <f ca="1">IFERROR(__xludf.DUMMYFUNCTION("""COMPUTED_VALUE"""),2006068604)</f>
        <v>2006068604</v>
      </c>
      <c r="H81" s="6" t="str">
        <f ca="1">IFERROR(__xludf.DUMMYFUNCTION("""COMPUTED_VALUE"""),"1938764666120012")</f>
        <v>1938764666120012</v>
      </c>
      <c r="I81" s="3" t="str">
        <f ca="1">IFERROR(__xludf.DUMMYFUNCTION("""COMPUTED_VALUE"""),"PNS")</f>
        <v>PNS</v>
      </c>
      <c r="J81" s="3" t="str">
        <f ca="1">IFERROR(__xludf.DUMMYFUNCTION("""COMPUTED_VALUE"""),"Dosen PNS")</f>
        <v>Dosen PNS</v>
      </c>
      <c r="K81" s="5" t="str">
        <f ca="1">IFERROR(__xludf.DUMMYFUNCTION("""COMPUTED_VALUE"""),"L")</f>
        <v>L</v>
      </c>
      <c r="L81" s="3" t="str">
        <f ca="1">IFERROR(__xludf.DUMMYFUNCTION("""COMPUTED_VALUE"""),"Cilacap")</f>
        <v>Cilacap</v>
      </c>
      <c r="M81" s="7">
        <f ca="1">IFERROR(__xludf.DUMMYFUNCTION("""COMPUTED_VALUE"""),31569)</f>
        <v>31569</v>
      </c>
      <c r="N81" s="4" t="str">
        <f ca="1">IFERROR(__xludf.DUMMYFUNCTION("""COMPUTED_VALUE"""),"Penata Tk.I")</f>
        <v>Penata Tk.I</v>
      </c>
      <c r="O81" s="3" t="str">
        <f ca="1">IFERROR(__xludf.DUMMYFUNCTION("""COMPUTED_VALUE"""),"III/d")</f>
        <v>III/d</v>
      </c>
      <c r="P81" s="7">
        <f ca="1">IFERROR(__xludf.DUMMYFUNCTION("""COMPUTED_VALUE"""),45383)</f>
        <v>45383</v>
      </c>
      <c r="Q81" s="3" t="str">
        <f ca="1">IFERROR(__xludf.DUMMYFUNCTION("""COMPUTED_VALUE"""),"508/Un.19/K.AUPK/KP.07.1/03/2024")</f>
        <v>508/Un.19/K.AUPK/KP.07.1/03/2024</v>
      </c>
      <c r="R81" s="3" t="str">
        <f ca="1">IFERROR(__xludf.DUMMYFUNCTION("""COMPUTED_VALUE"""),"Lektor")</f>
        <v>Lektor</v>
      </c>
      <c r="S81" s="3" t="str">
        <f ca="1">IFERROR(__xludf.DUMMYFUNCTION("""COMPUTED_VALUE"""),"Lektor")</f>
        <v>Lektor</v>
      </c>
      <c r="T81" s="7">
        <f ca="1">IFERROR(__xludf.DUMMYFUNCTION("""COMPUTED_VALUE"""),44440)</f>
        <v>44440</v>
      </c>
      <c r="U81" s="3"/>
      <c r="V81" s="3"/>
      <c r="W81" s="3">
        <f ca="1">IFERROR(__xludf.DUMMYFUNCTION("""COMPUTED_VALUE"""),11)</f>
        <v>11</v>
      </c>
      <c r="X81" s="7" t="str">
        <f ca="1">IFERROR(__xludf.DUMMYFUNCTION("""COMPUTED_VALUE"""),"Koordinator Program Studi S-1 Pengembangan Masyarakat Islam Pada Fakultas Dakwah")</f>
        <v>Koordinator Program Studi S-1 Pengembangan Masyarakat Islam Pada Fakultas Dakwah</v>
      </c>
      <c r="Y81" s="3" t="str">
        <f ca="1">IFERROR(__xludf.DUMMYFUNCTION("""COMPUTED_VALUE"""),"S-2")</f>
        <v>S-2</v>
      </c>
      <c r="Z81" s="3" t="str">
        <f ca="1">IFERROR(__xludf.DUMMYFUNCTION("""COMPUTED_VALUE"""),"8 Tahun 0 Bulan 27 Hari")</f>
        <v>8 Tahun 0 Bulan 27 Hari</v>
      </c>
      <c r="AA81" s="8">
        <f ca="1">IFERROR(__xludf.DUMMYFUNCTION("""COMPUTED_VALUE"""),55335)</f>
        <v>55335</v>
      </c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4"/>
      <c r="AR81" s="3"/>
      <c r="AS81" s="4"/>
      <c r="AT81" s="3"/>
      <c r="AU81" s="3"/>
    </row>
    <row r="82" spans="1:47" x14ac:dyDescent="0.2">
      <c r="A82" s="12">
        <v>81</v>
      </c>
      <c r="B82" s="3" t="str">
        <f ca="1">IFERROR(__xludf.DUMMYFUNCTION("""COMPUTED_VALUE"""),"Imam Hidayat")</f>
        <v>Imam Hidayat</v>
      </c>
      <c r="C82" s="3" t="str">
        <f ca="1">IFERROR(__xludf.DUMMYFUNCTION("""COMPUTED_VALUE"""),"Drs. H. Imam Hidayat, M.Pd.I.")</f>
        <v>Drs. H. Imam Hidayat, M.Pd.I.</v>
      </c>
      <c r="D82" s="3" t="str">
        <f ca="1">IFERROR(__xludf.DUMMYFUNCTION("""COMPUTED_VALUE"""),"Drs. H. Imam Hidayat, M.Pd.I.")</f>
        <v>Drs. H. Imam Hidayat, M.Pd.I.</v>
      </c>
      <c r="E82" s="3" t="str">
        <f ca="1">IFERROR(__xludf.DUMMYFUNCTION("""COMPUTED_VALUE"""),"196201251994031002")</f>
        <v>196201251994031002</v>
      </c>
      <c r="F82" s="3" t="str">
        <f ca="1">IFERROR(__xludf.DUMMYFUNCTION("""COMPUTED_VALUE"""),"19620125 199403 1 002")</f>
        <v>19620125 199403 1 002</v>
      </c>
      <c r="G82" s="3">
        <f ca="1">IFERROR(__xludf.DUMMYFUNCTION("""COMPUTED_VALUE"""),2025016201)</f>
        <v>2025016201</v>
      </c>
      <c r="H82" s="6" t="str">
        <f ca="1">IFERROR(__xludf.DUMMYFUNCTION("""COMPUTED_VALUE"""),"6457740641130062")</f>
        <v>6457740641130062</v>
      </c>
      <c r="I82" s="3" t="str">
        <f ca="1">IFERROR(__xludf.DUMMYFUNCTION("""COMPUTED_VALUE"""),"PNS")</f>
        <v>PNS</v>
      </c>
      <c r="J82" s="3" t="str">
        <f ca="1">IFERROR(__xludf.DUMMYFUNCTION("""COMPUTED_VALUE"""),"Dosen PNS")</f>
        <v>Dosen PNS</v>
      </c>
      <c r="K82" s="5" t="str">
        <f ca="1">IFERROR(__xludf.DUMMYFUNCTION("""COMPUTED_VALUE"""),"L")</f>
        <v>L</v>
      </c>
      <c r="L82" s="3" t="str">
        <f ca="1">IFERROR(__xludf.DUMMYFUNCTION("""COMPUTED_VALUE"""),"Banyumas")</f>
        <v>Banyumas</v>
      </c>
      <c r="M82" s="7">
        <f ca="1">IFERROR(__xludf.DUMMYFUNCTION("""COMPUTED_VALUE"""),22671)</f>
        <v>22671</v>
      </c>
      <c r="N82" s="4" t="str">
        <f ca="1">IFERROR(__xludf.DUMMYFUNCTION("""COMPUTED_VALUE"""),"Pembina Tk.I")</f>
        <v>Pembina Tk.I</v>
      </c>
      <c r="O82" s="3" t="str">
        <f ca="1">IFERROR(__xludf.DUMMYFUNCTION("""COMPUTED_VALUE"""),"IV/b")</f>
        <v>IV/b</v>
      </c>
      <c r="P82" s="7">
        <f ca="1">IFERROR(__xludf.DUMMYFUNCTION("""COMPUTED_VALUE"""),41183)</f>
        <v>41183</v>
      </c>
      <c r="Q82" s="3" t="str">
        <f ca="1">IFERROR(__xludf.DUMMYFUNCTION("""COMPUTED_VALUE"""),"B.II/3/09605")</f>
        <v>B.II/3/09605</v>
      </c>
      <c r="R82" s="3" t="str">
        <f ca="1">IFERROR(__xludf.DUMMYFUNCTION("""COMPUTED_VALUE"""),"Lektor")</f>
        <v>Lektor</v>
      </c>
      <c r="S82" s="3" t="str">
        <f ca="1">IFERROR(__xludf.DUMMYFUNCTION("""COMPUTED_VALUE"""),"Lektor")</f>
        <v>Lektor</v>
      </c>
      <c r="T82" s="7">
        <f ca="1">IFERROR(__xludf.DUMMYFUNCTION("""COMPUTED_VALUE"""),44713)</f>
        <v>44713</v>
      </c>
      <c r="U82" s="3"/>
      <c r="V82" s="3"/>
      <c r="W82" s="3">
        <f ca="1">IFERROR(__xludf.DUMMYFUNCTION("""COMPUTED_VALUE"""),11)</f>
        <v>11</v>
      </c>
      <c r="X82" s="3"/>
      <c r="Y82" s="3" t="str">
        <f ca="1">IFERROR(__xludf.DUMMYFUNCTION("""COMPUTED_VALUE"""),"S-2")</f>
        <v>S-2</v>
      </c>
      <c r="Z82" s="3" t="str">
        <f ca="1">IFERROR(__xludf.DUMMYFUNCTION("""COMPUTED_VALUE"""),"31 Tahun 10 Bulan 27 Hari")</f>
        <v>31 Tahun 10 Bulan 27 Hari</v>
      </c>
      <c r="AA82" s="8">
        <f ca="1">IFERROR(__xludf.DUMMYFUNCTION("""COMPUTED_VALUE"""),46419)</f>
        <v>46419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4"/>
      <c r="AR82" s="3"/>
      <c r="AS82" s="4"/>
      <c r="AT82" s="3"/>
      <c r="AU82" s="3"/>
    </row>
    <row r="83" spans="1:47" x14ac:dyDescent="0.2">
      <c r="A83" s="12">
        <v>82</v>
      </c>
      <c r="B83" s="3" t="str">
        <f ca="1">IFERROR(__xludf.DUMMYFUNCTION("""COMPUTED_VALUE"""),"Imron Hamzah")</f>
        <v>Imron Hamzah</v>
      </c>
      <c r="C83" s="3" t="str">
        <f ca="1">IFERROR(__xludf.DUMMYFUNCTION("""COMPUTED_VALUE"""),"Imron Hamzah, S.H.I., M.S.I.")</f>
        <v>Imron Hamzah, S.H.I., M.S.I.</v>
      </c>
      <c r="D83" s="3" t="str">
        <f ca="1">IFERROR(__xludf.DUMMYFUNCTION("""COMPUTED_VALUE"""),"Imron Hamzah, S.H.I., M.S.I.")</f>
        <v>Imron Hamzah, S.H.I., M.S.I.</v>
      </c>
      <c r="E83" s="3" t="str">
        <f ca="1">IFERROR(__xludf.DUMMYFUNCTION("""COMPUTED_VALUE"""),"198401312019031003")</f>
        <v>198401312019031003</v>
      </c>
      <c r="F83" s="3" t="str">
        <f ca="1">IFERROR(__xludf.DUMMYFUNCTION("""COMPUTED_VALUE"""),"19840131 201903 1 003")</f>
        <v>19840131 201903 1 003</v>
      </c>
      <c r="G83" s="3" t="str">
        <f ca="1">IFERROR(__xludf.DUMMYFUNCTION("""COMPUTED_VALUE"""),"0631018402")</f>
        <v>0631018402</v>
      </c>
      <c r="H83" s="6" t="str">
        <f ca="1">IFERROR(__xludf.DUMMYFUNCTION("""COMPUTED_VALUE"""),"1463762663130202")</f>
        <v>1463762663130202</v>
      </c>
      <c r="I83" s="3" t="str">
        <f ca="1">IFERROR(__xludf.DUMMYFUNCTION("""COMPUTED_VALUE"""),"PNS")</f>
        <v>PNS</v>
      </c>
      <c r="J83" s="3" t="str">
        <f ca="1">IFERROR(__xludf.DUMMYFUNCTION("""COMPUTED_VALUE"""),"Dosen PNS")</f>
        <v>Dosen PNS</v>
      </c>
      <c r="K83" s="5" t="str">
        <f ca="1">IFERROR(__xludf.DUMMYFUNCTION("""COMPUTED_VALUE"""),"L")</f>
        <v>L</v>
      </c>
      <c r="L83" s="3" t="str">
        <f ca="1">IFERROR(__xludf.DUMMYFUNCTION("""COMPUTED_VALUE"""),"Purbalingga")</f>
        <v>Purbalingga</v>
      </c>
      <c r="M83" s="7">
        <f ca="1">IFERROR(__xludf.DUMMYFUNCTION("""COMPUTED_VALUE"""),30712)</f>
        <v>30712</v>
      </c>
      <c r="N83" s="4" t="str">
        <f ca="1">IFERROR(__xludf.DUMMYFUNCTION("""COMPUTED_VALUE"""),"Penata Muda Tk.I")</f>
        <v>Penata Muda Tk.I</v>
      </c>
      <c r="O83" s="3" t="str">
        <f ca="1">IFERROR(__xludf.DUMMYFUNCTION("""COMPUTED_VALUE"""),"III/b")</f>
        <v>III/b</v>
      </c>
      <c r="P83" s="7">
        <f ca="1">IFERROR(__xludf.DUMMYFUNCTION("""COMPUTED_VALUE"""),43891)</f>
        <v>43891</v>
      </c>
      <c r="Q83" s="3" t="str">
        <f ca="1">IFERROR(__xludf.DUMMYFUNCTION("""COMPUTED_VALUE"""),"485/In.17/R/KP.07.1/2/2020")</f>
        <v>485/In.17/R/KP.07.1/2/2020</v>
      </c>
      <c r="R83" s="3" t="str">
        <f ca="1">IFERROR(__xludf.DUMMYFUNCTION("""COMPUTED_VALUE"""),"Asisten Ahli")</f>
        <v>Asisten Ahli</v>
      </c>
      <c r="S83" s="3" t="str">
        <f ca="1">IFERROR(__xludf.DUMMYFUNCTION("""COMPUTED_VALUE"""),"Asisten Ahli")</f>
        <v>Asisten Ahli</v>
      </c>
      <c r="T83" s="7">
        <f ca="1">IFERROR(__xludf.DUMMYFUNCTION("""COMPUTED_VALUE"""),44896)</f>
        <v>44896</v>
      </c>
      <c r="U83" s="3" t="str">
        <f ca="1">IFERROR(__xludf.DUMMYFUNCTION("""COMPUTED_VALUE"""),"001374/B.II/3/2023")</f>
        <v>001374/B.II/3/2023</v>
      </c>
      <c r="V83" s="7">
        <f ca="1">IFERROR(__xludf.DUMMYFUNCTION("""COMPUTED_VALUE"""),44956)</f>
        <v>44956</v>
      </c>
      <c r="W83" s="3">
        <f ca="1">IFERROR(__xludf.DUMMYFUNCTION("""COMPUTED_VALUE"""),9)</f>
        <v>9</v>
      </c>
      <c r="X83" s="3"/>
      <c r="Y83" s="3" t="str">
        <f ca="1">IFERROR(__xludf.DUMMYFUNCTION("""COMPUTED_VALUE"""),"S-2")</f>
        <v>S-2</v>
      </c>
      <c r="Z83" s="3" t="str">
        <f ca="1">IFERROR(__xludf.DUMMYFUNCTION("""COMPUTED_VALUE"""),"6 Tahun 10 Bulan 27 Hari")</f>
        <v>6 Tahun 10 Bulan 27 Hari</v>
      </c>
      <c r="AA83" s="8">
        <f ca="1">IFERROR(__xludf.DUMMYFUNCTION("""COMPUTED_VALUE"""),54455)</f>
        <v>54455</v>
      </c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4"/>
      <c r="AR83" s="3"/>
      <c r="AS83" s="4"/>
      <c r="AT83" s="3"/>
      <c r="AU83" s="3"/>
    </row>
    <row r="84" spans="1:47" x14ac:dyDescent="0.2">
      <c r="A84" s="12">
        <v>83</v>
      </c>
      <c r="B84" s="3" t="str">
        <f ca="1">IFERROR(__xludf.DUMMYFUNCTION("""COMPUTED_VALUE"""),"Intan Nur Azizah")</f>
        <v>Intan Nur Azizah</v>
      </c>
      <c r="C84" s="3" t="str">
        <f ca="1">IFERROR(__xludf.DUMMYFUNCTION("""COMPUTED_VALUE"""),"Intan Nur Azizah, M.Pd.")</f>
        <v>Intan Nur Azizah, M.Pd.</v>
      </c>
      <c r="D84" s="3" t="str">
        <f ca="1">IFERROR(__xludf.DUMMYFUNCTION("""COMPUTED_VALUE"""),"Intan Nur Azizah, M.Pd.")</f>
        <v>Intan Nur Azizah, M.Pd.</v>
      </c>
      <c r="E84" s="3" t="str">
        <f ca="1">IFERROR(__xludf.DUMMYFUNCTION("""COMPUTED_VALUE"""),"199401162019032020")</f>
        <v>199401162019032020</v>
      </c>
      <c r="F84" s="3" t="str">
        <f ca="1">IFERROR(__xludf.DUMMYFUNCTION("""COMPUTED_VALUE"""),"19940116 201903 2 020")</f>
        <v>19940116 201903 2 020</v>
      </c>
      <c r="G84" s="3">
        <f ca="1">IFERROR(__xludf.DUMMYFUNCTION("""COMPUTED_VALUE"""),2016019402)</f>
        <v>2016019402</v>
      </c>
      <c r="H84" s="6" t="str">
        <f ca="1">IFERROR(__xludf.DUMMYFUNCTION("""COMPUTED_VALUE"""),"1448772673230212")</f>
        <v>1448772673230212</v>
      </c>
      <c r="I84" s="3" t="str">
        <f ca="1">IFERROR(__xludf.DUMMYFUNCTION("""COMPUTED_VALUE"""),"PNS")</f>
        <v>PNS</v>
      </c>
      <c r="J84" s="3" t="str">
        <f ca="1">IFERROR(__xludf.DUMMYFUNCTION("""COMPUTED_VALUE"""),"Dosen PNS")</f>
        <v>Dosen PNS</v>
      </c>
      <c r="K84" s="5" t="str">
        <f ca="1">IFERROR(__xludf.DUMMYFUNCTION("""COMPUTED_VALUE"""),"P")</f>
        <v>P</v>
      </c>
      <c r="L84" s="3" t="str">
        <f ca="1">IFERROR(__xludf.DUMMYFUNCTION("""COMPUTED_VALUE"""),"Purbalingga")</f>
        <v>Purbalingga</v>
      </c>
      <c r="M84" s="7">
        <f ca="1">IFERROR(__xludf.DUMMYFUNCTION("""COMPUTED_VALUE"""),34350)</f>
        <v>34350</v>
      </c>
      <c r="N84" s="4" t="str">
        <f ca="1">IFERROR(__xludf.DUMMYFUNCTION("""COMPUTED_VALUE"""),"Penata Tk.I")</f>
        <v>Penata Tk.I</v>
      </c>
      <c r="O84" s="3" t="str">
        <f ca="1">IFERROR(__xludf.DUMMYFUNCTION("""COMPUTED_VALUE"""),"III/d")</f>
        <v>III/d</v>
      </c>
      <c r="P84" s="7">
        <f ca="1">IFERROR(__xludf.DUMMYFUNCTION("""COMPUTED_VALUE"""),45931)</f>
        <v>45931</v>
      </c>
      <c r="Q84" s="3" t="str">
        <f ca="1">IFERROR(__xludf.DUMMYFUNCTION("""COMPUTED_VALUE"""),"199570/B.II/KP.07.1/08/2025")</f>
        <v>199570/B.II/KP.07.1/08/2025</v>
      </c>
      <c r="R84" s="3" t="str">
        <f ca="1">IFERROR(__xludf.DUMMYFUNCTION("""COMPUTED_VALUE"""),"Lektor")</f>
        <v>Lektor</v>
      </c>
      <c r="S84" s="3" t="str">
        <f ca="1">IFERROR(__xludf.DUMMYFUNCTION("""COMPUTED_VALUE"""),"Lektor")</f>
        <v>Lektor</v>
      </c>
      <c r="T84" s="7">
        <f ca="1">IFERROR(__xludf.DUMMYFUNCTION("""COMPUTED_VALUE"""),44986)</f>
        <v>44986</v>
      </c>
      <c r="U84" s="3" t="str">
        <f ca="1">IFERROR(__xludf.DUMMYFUNCTION("""COMPUTED_VALUE"""),"481/Un.19/K.AUPK/Kp.07.6/3/2023")</f>
        <v>481/Un.19/K.AUPK/Kp.07.6/3/2023</v>
      </c>
      <c r="V84" s="7">
        <f ca="1">IFERROR(__xludf.DUMMYFUNCTION("""COMPUTED_VALUE"""),44986)</f>
        <v>44986</v>
      </c>
      <c r="W84" s="3">
        <f ca="1">IFERROR(__xludf.DUMMYFUNCTION("""COMPUTED_VALUE"""),11)</f>
        <v>11</v>
      </c>
      <c r="X84" s="3"/>
      <c r="Y84" s="3" t="str">
        <f ca="1">IFERROR(__xludf.DUMMYFUNCTION("""COMPUTED_VALUE"""),"S-2")</f>
        <v>S-2</v>
      </c>
      <c r="Z84" s="3" t="str">
        <f ca="1">IFERROR(__xludf.DUMMYFUNCTION("""COMPUTED_VALUE"""),"6 Tahun 10 Bulan 27 Hari")</f>
        <v>6 Tahun 10 Bulan 27 Hari</v>
      </c>
      <c r="AA84" s="8">
        <f ca="1">IFERROR(__xludf.DUMMYFUNCTION("""COMPUTED_VALUE"""),58107)</f>
        <v>58107</v>
      </c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4"/>
      <c r="AR84" s="3"/>
      <c r="AS84" s="4"/>
      <c r="AT84" s="3"/>
      <c r="AU84" s="3"/>
    </row>
    <row r="85" spans="1:47" x14ac:dyDescent="0.2">
      <c r="A85" s="12">
        <v>84</v>
      </c>
      <c r="B85" s="3" t="str">
        <f ca="1">IFERROR(__xludf.DUMMYFUNCTION("""COMPUTED_VALUE"""),"Irma Dwi Tantri")</f>
        <v>Irma Dwi Tantri</v>
      </c>
      <c r="C85" s="3" t="str">
        <f ca="1">IFERROR(__xludf.DUMMYFUNCTION("""COMPUTED_VALUE"""),"Irma Dwi Tantri, M.Pd.")</f>
        <v>Irma Dwi Tantri, M.Pd.</v>
      </c>
      <c r="D85" s="3" t="str">
        <f ca="1">IFERROR(__xludf.DUMMYFUNCTION("""COMPUTED_VALUE"""),"Irma Dwi Tantri, M.Pd.")</f>
        <v>Irma Dwi Tantri, M.Pd.</v>
      </c>
      <c r="E85" s="3" t="str">
        <f ca="1">IFERROR(__xludf.DUMMYFUNCTION("""COMPUTED_VALUE"""),"199203262019032023")</f>
        <v>199203262019032023</v>
      </c>
      <c r="F85" s="3" t="str">
        <f ca="1">IFERROR(__xludf.DUMMYFUNCTION("""COMPUTED_VALUE"""),"19920326 201903 2 023")</f>
        <v>19920326 201903 2 023</v>
      </c>
      <c r="G85" s="3">
        <f ca="1">IFERROR(__xludf.DUMMYFUNCTION("""COMPUTED_VALUE"""),2026039202)</f>
        <v>2026039202</v>
      </c>
      <c r="H85" s="6" t="str">
        <f ca="1">IFERROR(__xludf.DUMMYFUNCTION("""COMPUTED_VALUE"""),"3658770671230252")</f>
        <v>3658770671230252</v>
      </c>
      <c r="I85" s="3" t="str">
        <f ca="1">IFERROR(__xludf.DUMMYFUNCTION("""COMPUTED_VALUE"""),"PNS")</f>
        <v>PNS</v>
      </c>
      <c r="J85" s="3" t="str">
        <f ca="1">IFERROR(__xludf.DUMMYFUNCTION("""COMPUTED_VALUE"""),"Dosen PNS")</f>
        <v>Dosen PNS</v>
      </c>
      <c r="K85" s="5" t="str">
        <f ca="1">IFERROR(__xludf.DUMMYFUNCTION("""COMPUTED_VALUE"""),"P")</f>
        <v>P</v>
      </c>
      <c r="L85" s="3" t="str">
        <f ca="1">IFERROR(__xludf.DUMMYFUNCTION("""COMPUTED_VALUE"""),"Banyumas")</f>
        <v>Banyumas</v>
      </c>
      <c r="M85" s="7">
        <f ca="1">IFERROR(__xludf.DUMMYFUNCTION("""COMPUTED_VALUE"""),33689)</f>
        <v>33689</v>
      </c>
      <c r="N85" s="4" t="str">
        <f ca="1">IFERROR(__xludf.DUMMYFUNCTION("""COMPUTED_VALUE"""),"Penata Muda Tk.I")</f>
        <v>Penata Muda Tk.I</v>
      </c>
      <c r="O85" s="3" t="str">
        <f ca="1">IFERROR(__xludf.DUMMYFUNCTION("""COMPUTED_VALUE"""),"III/b")</f>
        <v>III/b</v>
      </c>
      <c r="P85" s="7">
        <f ca="1">IFERROR(__xludf.DUMMYFUNCTION("""COMPUTED_VALUE"""),43891)</f>
        <v>43891</v>
      </c>
      <c r="Q85" s="3" t="str">
        <f ca="1">IFERROR(__xludf.DUMMYFUNCTION("""COMPUTED_VALUE"""),"514/In.17/R/KP.07.1/2/2020")</f>
        <v>514/In.17/R/KP.07.1/2/2020</v>
      </c>
      <c r="R85" s="3" t="str">
        <f ca="1">IFERROR(__xludf.DUMMYFUNCTION("""COMPUTED_VALUE"""),"Asisten Ahli")</f>
        <v>Asisten Ahli</v>
      </c>
      <c r="S85" s="3" t="str">
        <f ca="1">IFERROR(__xludf.DUMMYFUNCTION("""COMPUTED_VALUE"""),"Asisten Ahli")</f>
        <v>Asisten Ahli</v>
      </c>
      <c r="T85" s="7">
        <f ca="1">IFERROR(__xludf.DUMMYFUNCTION("""COMPUTED_VALUE"""),43889)</f>
        <v>43889</v>
      </c>
      <c r="U85" s="3" t="str">
        <f ca="1">IFERROR(__xludf.DUMMYFUNCTION("""COMPUTED_VALUE"""),"421/In.17/R/Kp.00.3/4/2019")</f>
        <v>421/In.17/R/Kp.00.3/4/2019</v>
      </c>
      <c r="V85" s="7">
        <f ca="1">IFERROR(__xludf.DUMMYFUNCTION("""COMPUTED_VALUE"""),43617)</f>
        <v>43617</v>
      </c>
      <c r="W85" s="3">
        <f ca="1">IFERROR(__xludf.DUMMYFUNCTION("""COMPUTED_VALUE"""),9)</f>
        <v>9</v>
      </c>
      <c r="X85" s="3"/>
      <c r="Y85" s="3" t="str">
        <f ca="1">IFERROR(__xludf.DUMMYFUNCTION("""COMPUTED_VALUE"""),"S-2")</f>
        <v>S-2</v>
      </c>
      <c r="Z85" s="3" t="str">
        <f ca="1">IFERROR(__xludf.DUMMYFUNCTION("""COMPUTED_VALUE"""),"6 Tahun 10 Bulan 27 Hari")</f>
        <v>6 Tahun 10 Bulan 27 Hari</v>
      </c>
      <c r="AA85" s="8">
        <f ca="1">IFERROR(__xludf.DUMMYFUNCTION("""COMPUTED_VALUE"""),57436)</f>
        <v>57436</v>
      </c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4"/>
      <c r="AR85" s="3"/>
      <c r="AS85" s="4"/>
      <c r="AT85" s="3"/>
      <c r="AU85" s="3"/>
    </row>
    <row r="86" spans="1:47" x14ac:dyDescent="0.2">
      <c r="A86" s="12">
        <v>85</v>
      </c>
      <c r="B86" s="3" t="str">
        <f ca="1">IFERROR(__xludf.DUMMYFUNCTION("""COMPUTED_VALUE"""),"Irra Wahidiyati")</f>
        <v>Irra Wahidiyati</v>
      </c>
      <c r="C86" s="3" t="str">
        <f ca="1">IFERROR(__xludf.DUMMYFUNCTION("""COMPUTED_VALUE"""),"Irra Wahidiyati, M.Pd.")</f>
        <v>Irra Wahidiyati, M.Pd.</v>
      </c>
      <c r="D86" s="3" t="str">
        <f ca="1">IFERROR(__xludf.DUMMYFUNCTION("""COMPUTED_VALUE"""),"Irra Wahidiyati, M.Pd.")</f>
        <v>Irra Wahidiyati, M.Pd.</v>
      </c>
      <c r="E86" s="3" t="str">
        <f ca="1">IFERROR(__xludf.DUMMYFUNCTION("""COMPUTED_VALUE"""),"198811302019082001")</f>
        <v>198811302019082001</v>
      </c>
      <c r="F86" s="3" t="str">
        <f ca="1">IFERROR(__xludf.DUMMYFUNCTION("""COMPUTED_VALUE"""),"19881130 201908 2 001")</f>
        <v>19881130 201908 2 001</v>
      </c>
      <c r="G86" s="3">
        <f ca="1">IFERROR(__xludf.DUMMYFUNCTION("""COMPUTED_VALUE"""),2030118802)</f>
        <v>2030118802</v>
      </c>
      <c r="H86" s="6" t="str">
        <f ca="1">IFERROR(__xludf.DUMMYFUNCTION("""COMPUTED_VALUE"""),"4462766666210003")</f>
        <v>4462766666210003</v>
      </c>
      <c r="I86" s="3" t="str">
        <f ca="1">IFERROR(__xludf.DUMMYFUNCTION("""COMPUTED_VALUE"""),"PNS")</f>
        <v>PNS</v>
      </c>
      <c r="J86" s="3" t="str">
        <f ca="1">IFERROR(__xludf.DUMMYFUNCTION("""COMPUTED_VALUE"""),"Dosen PNS")</f>
        <v>Dosen PNS</v>
      </c>
      <c r="K86" s="5" t="str">
        <f ca="1">IFERROR(__xludf.DUMMYFUNCTION("""COMPUTED_VALUE"""),"P")</f>
        <v>P</v>
      </c>
      <c r="L86" s="3" t="str">
        <f ca="1">IFERROR(__xludf.DUMMYFUNCTION("""COMPUTED_VALUE"""),"Kab. Semarang")</f>
        <v>Kab. Semarang</v>
      </c>
      <c r="M86" s="9">
        <f ca="1">IFERROR(__xludf.DUMMYFUNCTION("""COMPUTED_VALUE"""),32477)</f>
        <v>32477</v>
      </c>
      <c r="N86" s="4" t="str">
        <f ca="1">IFERROR(__xludf.DUMMYFUNCTION("""COMPUTED_VALUE"""),"Penata Tk.I")</f>
        <v>Penata Tk.I</v>
      </c>
      <c r="O86" s="3" t="str">
        <f ca="1">IFERROR(__xludf.DUMMYFUNCTION("""COMPUTED_VALUE"""),"III/d")</f>
        <v>III/d</v>
      </c>
      <c r="P86" s="7">
        <f ca="1">IFERROR(__xludf.DUMMYFUNCTION("""COMPUTED_VALUE"""),45931)</f>
        <v>45931</v>
      </c>
      <c r="Q86" s="3" t="str">
        <f ca="1">IFERROR(__xludf.DUMMYFUNCTION("""COMPUTED_VALUE"""),"200197/B.II/KP.07.1/08/2025")</f>
        <v>200197/B.II/KP.07.1/08/2025</v>
      </c>
      <c r="R86" s="3" t="str">
        <f ca="1">IFERROR(__xludf.DUMMYFUNCTION("""COMPUTED_VALUE"""),"Lektor")</f>
        <v>Lektor</v>
      </c>
      <c r="S86" s="3" t="str">
        <f ca="1">IFERROR(__xludf.DUMMYFUNCTION("""COMPUTED_VALUE"""),"Lektor")</f>
        <v>Lektor</v>
      </c>
      <c r="T86" s="7">
        <f ca="1">IFERROR(__xludf.DUMMYFUNCTION("""COMPUTED_VALUE"""),45047)</f>
        <v>45047</v>
      </c>
      <c r="U86" s="3" t="str">
        <f ca="1">IFERROR(__xludf.DUMMYFUNCTION("""COMPUTED_VALUE"""),"676/Un.19/K.AUPK/Kp.07.6/5/2023")</f>
        <v>676/Un.19/K.AUPK/Kp.07.6/5/2023</v>
      </c>
      <c r="V86" s="7">
        <f ca="1">IFERROR(__xludf.DUMMYFUNCTION("""COMPUTED_VALUE"""),45051)</f>
        <v>45051</v>
      </c>
      <c r="W86" s="3">
        <f ca="1">IFERROR(__xludf.DUMMYFUNCTION("""COMPUTED_VALUE"""),11)</f>
        <v>11</v>
      </c>
      <c r="X86" s="3"/>
      <c r="Y86" s="3" t="str">
        <f ca="1">IFERROR(__xludf.DUMMYFUNCTION("""COMPUTED_VALUE"""),"S-2")</f>
        <v>S-2</v>
      </c>
      <c r="Z86" s="3" t="str">
        <f ca="1">IFERROR(__xludf.DUMMYFUNCTION("""COMPUTED_VALUE"""),"6 Tahun 5 Bulan 27 Hari")</f>
        <v>6 Tahun 5 Bulan 27 Hari</v>
      </c>
      <c r="AA86" s="8">
        <f ca="1">IFERROR(__xludf.DUMMYFUNCTION("""COMPUTED_VALUE"""),56219)</f>
        <v>56219</v>
      </c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4"/>
      <c r="AR86" s="3"/>
      <c r="AS86" s="4"/>
      <c r="AT86" s="3"/>
      <c r="AU86" s="3"/>
    </row>
    <row r="87" spans="1:47" x14ac:dyDescent="0.2">
      <c r="A87" s="12">
        <v>86</v>
      </c>
      <c r="B87" s="3" t="str">
        <f ca="1">IFERROR(__xludf.DUMMYFUNCTION("""COMPUTED_VALUE"""),"Ischak Suryo Nugroho")</f>
        <v>Ischak Suryo Nugroho</v>
      </c>
      <c r="C87" s="3" t="str">
        <f ca="1">IFERROR(__xludf.DUMMYFUNCTION("""COMPUTED_VALUE"""),"Ischak Suryo Nugroho, S.Pd.I., M.S.I.")</f>
        <v>Ischak Suryo Nugroho, S.Pd.I., M.S.I.</v>
      </c>
      <c r="D87" s="3" t="str">
        <f ca="1">IFERROR(__xludf.DUMMYFUNCTION("""COMPUTED_VALUE"""),"Ischak Suryo Nugroho, S.Pd.I., M.S.I.")</f>
        <v>Ischak Suryo Nugroho, S.Pd.I., M.S.I.</v>
      </c>
      <c r="E87" s="3" t="str">
        <f ca="1">IFERROR(__xludf.DUMMYFUNCTION("""COMPUTED_VALUE"""),"198405202015031006")</f>
        <v>198405202015031006</v>
      </c>
      <c r="F87" s="3" t="str">
        <f ca="1">IFERROR(__xludf.DUMMYFUNCTION("""COMPUTED_VALUE"""),"19840520 201503 1 006")</f>
        <v>19840520 201503 1 006</v>
      </c>
      <c r="G87" s="3">
        <f ca="1">IFERROR(__xludf.DUMMYFUNCTION("""COMPUTED_VALUE"""),2120058401)</f>
        <v>2120058401</v>
      </c>
      <c r="H87" s="6" t="str">
        <f ca="1">IFERROR(__xludf.DUMMYFUNCTION("""COMPUTED_VALUE"""),"6852762663130312")</f>
        <v>6852762663130312</v>
      </c>
      <c r="I87" s="3" t="str">
        <f ca="1">IFERROR(__xludf.DUMMYFUNCTION("""COMPUTED_VALUE"""),"PNS")</f>
        <v>PNS</v>
      </c>
      <c r="J87" s="3" t="str">
        <f ca="1">IFERROR(__xludf.DUMMYFUNCTION("""COMPUTED_VALUE"""),"Dosen PNS")</f>
        <v>Dosen PNS</v>
      </c>
      <c r="K87" s="5" t="str">
        <f ca="1">IFERROR(__xludf.DUMMYFUNCTION("""COMPUTED_VALUE"""),"L")</f>
        <v>L</v>
      </c>
      <c r="L87" s="3" t="str">
        <f ca="1">IFERROR(__xludf.DUMMYFUNCTION("""COMPUTED_VALUE"""),"Jakarta")</f>
        <v>Jakarta</v>
      </c>
      <c r="M87" s="7">
        <f ca="1">IFERROR(__xludf.DUMMYFUNCTION("""COMPUTED_VALUE"""),30822)</f>
        <v>30822</v>
      </c>
      <c r="N87" s="4" t="str">
        <f ca="1">IFERROR(__xludf.DUMMYFUNCTION("""COMPUTED_VALUE"""),"Penata Tk.I")</f>
        <v>Penata Tk.I</v>
      </c>
      <c r="O87" s="3" t="str">
        <f ca="1">IFERROR(__xludf.DUMMYFUNCTION("""COMPUTED_VALUE"""),"III/d")</f>
        <v>III/d</v>
      </c>
      <c r="P87" s="7">
        <f ca="1">IFERROR(__xludf.DUMMYFUNCTION("""COMPUTED_VALUE"""),45200)</f>
        <v>45200</v>
      </c>
      <c r="Q87" s="3" t="str">
        <f ca="1">IFERROR(__xludf.DUMMYFUNCTION("""COMPUTED_VALUE"""),"1117/Un.19/K.AUPK/KP.07.1/08/2023")</f>
        <v>1117/Un.19/K.AUPK/KP.07.1/08/2023</v>
      </c>
      <c r="R87" s="3" t="str">
        <f ca="1">IFERROR(__xludf.DUMMYFUNCTION("""COMPUTED_VALUE"""),"Lektor")</f>
        <v>Lektor</v>
      </c>
      <c r="S87" s="3" t="str">
        <f ca="1">IFERROR(__xludf.DUMMYFUNCTION("""COMPUTED_VALUE"""),"Lektor")</f>
        <v>Lektor</v>
      </c>
      <c r="T87" s="7">
        <f ca="1">IFERROR(__xludf.DUMMYFUNCTION("""COMPUTED_VALUE"""),43617)</f>
        <v>43617</v>
      </c>
      <c r="U87" s="3"/>
      <c r="V87" s="3"/>
      <c r="W87" s="3">
        <f ca="1">IFERROR(__xludf.DUMMYFUNCTION("""COMPUTED_VALUE"""),11)</f>
        <v>11</v>
      </c>
      <c r="X87" s="3"/>
      <c r="Y87" s="3" t="str">
        <f ca="1">IFERROR(__xludf.DUMMYFUNCTION("""COMPUTED_VALUE"""),"S-2")</f>
        <v>S-2</v>
      </c>
      <c r="Z87" s="3" t="str">
        <f ca="1">IFERROR(__xludf.DUMMYFUNCTION("""COMPUTED_VALUE"""),"10 Tahun 10 Bulan 27 Hari")</f>
        <v>10 Tahun 10 Bulan 27 Hari</v>
      </c>
      <c r="AA87" s="8">
        <f ca="1">IFERROR(__xludf.DUMMYFUNCTION("""COMPUTED_VALUE"""),54575)</f>
        <v>54575</v>
      </c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4"/>
      <c r="AR87" s="3"/>
      <c r="AS87" s="4"/>
      <c r="AT87" s="3"/>
      <c r="AU87" s="3"/>
    </row>
    <row r="88" spans="1:47" x14ac:dyDescent="0.2">
      <c r="A88" s="12">
        <v>87</v>
      </c>
      <c r="B88" s="3" t="str">
        <f ca="1">IFERROR(__xludf.DUMMYFUNCTION("""COMPUTED_VALUE"""),"Ismail")</f>
        <v>Ismail</v>
      </c>
      <c r="C88" s="3" t="str">
        <f ca="1">IFERROR(__xludf.DUMMYFUNCTION("""COMPUTED_VALUE"""),"Ismail, Lc., M.Hum.")</f>
        <v>Ismail, Lc., M.Hum.</v>
      </c>
      <c r="D88" s="3" t="str">
        <f ca="1">IFERROR(__xludf.DUMMYFUNCTION("""COMPUTED_VALUE"""),"Ismail, Lc., M.Hum.")</f>
        <v>Ismail, Lc., M.Hum.</v>
      </c>
      <c r="E88" s="3" t="str">
        <f ca="1">IFERROR(__xludf.DUMMYFUNCTION("""COMPUTED_VALUE"""),"198704162019031010")</f>
        <v>198704162019031010</v>
      </c>
      <c r="F88" s="3" t="str">
        <f ca="1">IFERROR(__xludf.DUMMYFUNCTION("""COMPUTED_VALUE"""),"19870416 201903 1 010")</f>
        <v>19870416 201903 1 010</v>
      </c>
      <c r="G88" s="3">
        <f ca="1">IFERROR(__xludf.DUMMYFUNCTION("""COMPUTED_VALUE"""),2116048702)</f>
        <v>2116048702</v>
      </c>
      <c r="H88" s="6" t="str">
        <f ca="1">IFERROR(__xludf.DUMMYFUNCTION("""COMPUTED_VALUE"""),"2748765666137042")</f>
        <v>2748765666137042</v>
      </c>
      <c r="I88" s="3" t="str">
        <f ca="1">IFERROR(__xludf.DUMMYFUNCTION("""COMPUTED_VALUE"""),"PNS")</f>
        <v>PNS</v>
      </c>
      <c r="J88" s="3" t="str">
        <f ca="1">IFERROR(__xludf.DUMMYFUNCTION("""COMPUTED_VALUE"""),"Dosen PNS")</f>
        <v>Dosen PNS</v>
      </c>
      <c r="K88" s="5" t="str">
        <f ca="1">IFERROR(__xludf.DUMMYFUNCTION("""COMPUTED_VALUE"""),"L")</f>
        <v>L</v>
      </c>
      <c r="L88" s="3" t="str">
        <f ca="1">IFERROR(__xludf.DUMMYFUNCTION("""COMPUTED_VALUE"""),"Lakbok")</f>
        <v>Lakbok</v>
      </c>
      <c r="M88" s="7">
        <f ca="1">IFERROR(__xludf.DUMMYFUNCTION("""COMPUTED_VALUE"""),31883)</f>
        <v>31883</v>
      </c>
      <c r="N88" s="4" t="str">
        <f ca="1">IFERROR(__xludf.DUMMYFUNCTION("""COMPUTED_VALUE"""),"Penata Muda Tk.I")</f>
        <v>Penata Muda Tk.I</v>
      </c>
      <c r="O88" s="3" t="str">
        <f ca="1">IFERROR(__xludf.DUMMYFUNCTION("""COMPUTED_VALUE"""),"III/b")</f>
        <v>III/b</v>
      </c>
      <c r="P88" s="7">
        <f ca="1">IFERROR(__xludf.DUMMYFUNCTION("""COMPUTED_VALUE"""),43617)</f>
        <v>43617</v>
      </c>
      <c r="Q88" s="3"/>
      <c r="R88" s="3" t="str">
        <f ca="1">IFERROR(__xludf.DUMMYFUNCTION("""COMPUTED_VALUE"""),"Asisten Ahli")</f>
        <v>Asisten Ahli</v>
      </c>
      <c r="S88" s="3" t="str">
        <f ca="1">IFERROR(__xludf.DUMMYFUNCTION("""COMPUTED_VALUE"""),"Asisten Ahli")</f>
        <v>Asisten Ahli</v>
      </c>
      <c r="T88" s="7">
        <f ca="1">IFERROR(__xludf.DUMMYFUNCTION("""COMPUTED_VALUE"""),44378)</f>
        <v>44378</v>
      </c>
      <c r="U88" s="3" t="str">
        <f ca="1">IFERROR(__xludf.DUMMYFUNCTION("""COMPUTED_VALUE"""),"2100/iN.17/R/Kp.07.6/7/2021")</f>
        <v>2100/iN.17/R/Kp.07.6/7/2021</v>
      </c>
      <c r="V88" s="7">
        <f ca="1">IFERROR(__xludf.DUMMYFUNCTION("""COMPUTED_VALUE"""),44348)</f>
        <v>44348</v>
      </c>
      <c r="W88" s="3">
        <f ca="1">IFERROR(__xludf.DUMMYFUNCTION("""COMPUTED_VALUE"""),9)</f>
        <v>9</v>
      </c>
      <c r="X88" s="3"/>
      <c r="Y88" s="3" t="str">
        <f ca="1">IFERROR(__xludf.DUMMYFUNCTION("""COMPUTED_VALUE"""),"S-2")</f>
        <v>S-2</v>
      </c>
      <c r="Z88" s="3" t="str">
        <f ca="1">IFERROR(__xludf.DUMMYFUNCTION("""COMPUTED_VALUE"""),"6 Tahun 10 Bulan 27 Hari")</f>
        <v>6 Tahun 10 Bulan 27 Hari</v>
      </c>
      <c r="AA88" s="8">
        <f ca="1">IFERROR(__xludf.DUMMYFUNCTION("""COMPUTED_VALUE"""),55640)</f>
        <v>55640</v>
      </c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4"/>
      <c r="AR88" s="3"/>
      <c r="AS88" s="4"/>
      <c r="AT88" s="3"/>
      <c r="AU88" s="3"/>
    </row>
    <row r="89" spans="1:47" x14ac:dyDescent="0.2">
      <c r="A89" s="12">
        <v>88</v>
      </c>
      <c r="B89" s="3" t="str">
        <f ca="1">IFERROR(__xludf.DUMMYFUNCTION("""COMPUTED_VALUE"""),"Jamal Abdul Aziz")</f>
        <v>Jamal Abdul Aziz</v>
      </c>
      <c r="C89" s="3" t="str">
        <f ca="1">IFERROR(__xludf.DUMMYFUNCTION("""COMPUTED_VALUE"""),"Prof. Dr. H. Jamal Abdul Aziz, M.Ag.")</f>
        <v>Prof. Dr. H. Jamal Abdul Aziz, M.Ag.</v>
      </c>
      <c r="D89" s="3" t="str">
        <f ca="1">IFERROR(__xludf.DUMMYFUNCTION("""COMPUTED_VALUE"""),"Prof. Dr. H. Jamal Abdul Aziz, M.Ag.")</f>
        <v>Prof. Dr. H. Jamal Abdul Aziz, M.Ag.</v>
      </c>
      <c r="E89" s="3" t="str">
        <f ca="1">IFERROR(__xludf.DUMMYFUNCTION("""COMPUTED_VALUE"""),"197309212002121004")</f>
        <v>197309212002121004</v>
      </c>
      <c r="F89" s="3" t="str">
        <f ca="1">IFERROR(__xludf.DUMMYFUNCTION("""COMPUTED_VALUE"""),"19730921 200212 1 004")</f>
        <v>19730921 200212 1 004</v>
      </c>
      <c r="G89" s="3">
        <f ca="1">IFERROR(__xludf.DUMMYFUNCTION("""COMPUTED_VALUE"""),2021097301)</f>
        <v>2021097301</v>
      </c>
      <c r="H89" s="6" t="str">
        <f ca="1">IFERROR(__xludf.DUMMYFUNCTION("""COMPUTED_VALUE"""),"9253751652130103")</f>
        <v>9253751652130103</v>
      </c>
      <c r="I89" s="3" t="str">
        <f ca="1">IFERROR(__xludf.DUMMYFUNCTION("""COMPUTED_VALUE"""),"PNS")</f>
        <v>PNS</v>
      </c>
      <c r="J89" s="3" t="str">
        <f ca="1">IFERROR(__xludf.DUMMYFUNCTION("""COMPUTED_VALUE"""),"Dosen PNS")</f>
        <v>Dosen PNS</v>
      </c>
      <c r="K89" s="5" t="str">
        <f ca="1">IFERROR(__xludf.DUMMYFUNCTION("""COMPUTED_VALUE"""),"L")</f>
        <v>L</v>
      </c>
      <c r="L89" s="3" t="str">
        <f ca="1">IFERROR(__xludf.DUMMYFUNCTION("""COMPUTED_VALUE"""),"Klaten")</f>
        <v>Klaten</v>
      </c>
      <c r="M89" s="7">
        <f ca="1">IFERROR(__xludf.DUMMYFUNCTION("""COMPUTED_VALUE"""),26928)</f>
        <v>26928</v>
      </c>
      <c r="N89" s="4" t="str">
        <f ca="1">IFERROR(__xludf.DUMMYFUNCTION("""COMPUTED_VALUE"""),"Pembina Utama Madya")</f>
        <v>Pembina Utama Madya</v>
      </c>
      <c r="O89" s="3" t="str">
        <f ca="1">IFERROR(__xludf.DUMMYFUNCTION("""COMPUTED_VALUE"""),"IV/d")</f>
        <v>IV/d</v>
      </c>
      <c r="P89" s="7">
        <f ca="1">IFERROR(__xludf.DUMMYFUNCTION("""COMPUTED_VALUE"""),45809)</f>
        <v>45809</v>
      </c>
      <c r="Q89" s="3" t="str">
        <f ca="1">IFERROR(__xludf.DUMMYFUNCTION("""COMPUTED_VALUE"""),"00308/KEP/AA/15001/25")</f>
        <v>00308/KEP/AA/15001/25</v>
      </c>
      <c r="R89" s="3" t="str">
        <f ca="1">IFERROR(__xludf.DUMMYFUNCTION("""COMPUTED_VALUE"""),"Guru Besar")</f>
        <v>Guru Besar</v>
      </c>
      <c r="S89" s="3" t="str">
        <f ca="1">IFERROR(__xludf.DUMMYFUNCTION("""COMPUTED_VALUE"""),"Guru Besar")</f>
        <v>Guru Besar</v>
      </c>
      <c r="T89" s="7">
        <f ca="1">IFERROR(__xludf.DUMMYFUNCTION("""COMPUTED_VALUE"""),45748)</f>
        <v>45748</v>
      </c>
      <c r="U89" s="3" t="str">
        <f ca="1">IFERROR(__xludf.DUMMYFUNCTION("""COMPUTED_VALUE"""),"170060/MA/KP.07.6/03/2025")</f>
        <v>170060/MA/KP.07.6/03/2025</v>
      </c>
      <c r="V89" s="7">
        <f ca="1">IFERROR(__xludf.DUMMYFUNCTION("""COMPUTED_VALUE"""),45726)</f>
        <v>45726</v>
      </c>
      <c r="W89" s="3">
        <f ca="1">IFERROR(__xludf.DUMMYFUNCTION("""COMPUTED_VALUE"""),15)</f>
        <v>15</v>
      </c>
      <c r="X89" s="7" t="str">
        <f ca="1">IFERROR(__xludf.DUMMYFUNCTION("""COMPUTED_VALUE"""),"Dekan Fakultas Ekonomi dan Bisnis Islam")</f>
        <v>Dekan Fakultas Ekonomi dan Bisnis Islam</v>
      </c>
      <c r="Y89" s="3" t="str">
        <f ca="1">IFERROR(__xludf.DUMMYFUNCTION("""COMPUTED_VALUE"""),"S-3")</f>
        <v>S-3</v>
      </c>
      <c r="Z89" s="3" t="str">
        <f ca="1">IFERROR(__xludf.DUMMYFUNCTION("""COMPUTED_VALUE"""),"23 Tahun 1 Bulan 27 Hari")</f>
        <v>23 Tahun 1 Bulan 27 Hari</v>
      </c>
      <c r="AA89" s="8">
        <f ca="1">IFERROR(__xludf.DUMMYFUNCTION("""COMPUTED_VALUE"""),52505)</f>
        <v>52505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4"/>
      <c r="AR89" s="3"/>
      <c r="AS89" s="4"/>
      <c r="AT89" s="3"/>
      <c r="AU89" s="3"/>
    </row>
    <row r="90" spans="1:47" x14ac:dyDescent="0.2">
      <c r="A90" s="12">
        <v>89</v>
      </c>
      <c r="B90" s="3" t="str">
        <f ca="1">IFERROR(__xludf.DUMMYFUNCTION("""COMPUTED_VALUE"""),"Jamaluddin")</f>
        <v>Jamaluddin</v>
      </c>
      <c r="C90" s="3" t="str">
        <f ca="1">IFERROR(__xludf.DUMMYFUNCTION("""COMPUTED_VALUE"""),"Jamaluddin, M.A.")</f>
        <v>Jamaluddin, M.A.</v>
      </c>
      <c r="D90" s="3" t="str">
        <f ca="1">IFERROR(__xludf.DUMMYFUNCTION("""COMPUTED_VALUE"""),"Jamaluddin, M.A.")</f>
        <v>Jamaluddin, M.A.</v>
      </c>
      <c r="E90" s="3" t="str">
        <f ca="1">IFERROR(__xludf.DUMMYFUNCTION("""COMPUTED_VALUE"""),"199202102020121013")</f>
        <v>199202102020121013</v>
      </c>
      <c r="F90" s="3" t="str">
        <f ca="1">IFERROR(__xludf.DUMMYFUNCTION("""COMPUTED_VALUE"""),"‌19920210 202012 1 013")</f>
        <v>‌19920210 202012 1 013</v>
      </c>
      <c r="G90" s="3">
        <f ca="1">IFERROR(__xludf.DUMMYFUNCTION("""COMPUTED_VALUE"""),2010029201)</f>
        <v>2010029201</v>
      </c>
      <c r="H90" s="6" t="str">
        <f ca="1">IFERROR(__xludf.DUMMYFUNCTION("""COMPUTED_VALUE"""),"8542770671130342")</f>
        <v>8542770671130342</v>
      </c>
      <c r="I90" s="3" t="str">
        <f ca="1">IFERROR(__xludf.DUMMYFUNCTION("""COMPUTED_VALUE"""),"PNS")</f>
        <v>PNS</v>
      </c>
      <c r="J90" s="3" t="str">
        <f ca="1">IFERROR(__xludf.DUMMYFUNCTION("""COMPUTED_VALUE"""),"Dosen PNS")</f>
        <v>Dosen PNS</v>
      </c>
      <c r="K90" s="5" t="str">
        <f ca="1">IFERROR(__xludf.DUMMYFUNCTION("""COMPUTED_VALUE"""),"L")</f>
        <v>L</v>
      </c>
      <c r="L90" s="3" t="str">
        <f ca="1">IFERROR(__xludf.DUMMYFUNCTION("""COMPUTED_VALUE"""),"Cirebon")</f>
        <v>Cirebon</v>
      </c>
      <c r="M90" s="7">
        <f ca="1">IFERROR(__xludf.DUMMYFUNCTION("""COMPUTED_VALUE"""),33644)</f>
        <v>33644</v>
      </c>
      <c r="N90" s="4" t="str">
        <f ca="1">IFERROR(__xludf.DUMMYFUNCTION("""COMPUTED_VALUE"""),"Penata")</f>
        <v>Penata</v>
      </c>
      <c r="O90" s="3" t="str">
        <f ca="1">IFERROR(__xludf.DUMMYFUNCTION("""COMPUTED_VALUE"""),"III/c")</f>
        <v>III/c</v>
      </c>
      <c r="P90" s="7">
        <f ca="1">IFERROR(__xludf.DUMMYFUNCTION("""COMPUTED_VALUE"""),45992)</f>
        <v>45992</v>
      </c>
      <c r="Q90" s="3" t="str">
        <f ca="1">IFERROR(__xludf.DUMMYFUNCTION("""COMPUTED_VALUE"""),"213698/B.II/KP.07.1/11/2025")</f>
        <v>213698/B.II/KP.07.1/11/2025</v>
      </c>
      <c r="R90" s="3" t="str">
        <f ca="1">IFERROR(__xludf.DUMMYFUNCTION("""COMPUTED_VALUE"""),"Lektor")</f>
        <v>Lektor</v>
      </c>
      <c r="S90" s="3" t="str">
        <f ca="1">IFERROR(__xludf.DUMMYFUNCTION("""COMPUTED_VALUE"""),"Lektor")</f>
        <v>Lektor</v>
      </c>
      <c r="T90" s="7">
        <f ca="1">IFERROR(__xludf.DUMMYFUNCTION("""COMPUTED_VALUE"""),45962)</f>
        <v>45962</v>
      </c>
      <c r="U90" s="3" t="str">
        <f ca="1">IFERROR(__xludf.DUMMYFUNCTION("""COMPUTED_VALUE"""),"208794/B.II/KP.07.6/10/2025")</f>
        <v>208794/B.II/KP.07.6/10/2025</v>
      </c>
      <c r="V90" s="7">
        <f ca="1">IFERROR(__xludf.DUMMYFUNCTION("""COMPUTED_VALUE"""),45936)</f>
        <v>45936</v>
      </c>
      <c r="W90" s="3">
        <f ca="1">IFERROR(__xludf.DUMMYFUNCTION("""COMPUTED_VALUE"""),11)</f>
        <v>11</v>
      </c>
      <c r="X90" s="3"/>
      <c r="Y90" s="3" t="str">
        <f ca="1">IFERROR(__xludf.DUMMYFUNCTION("""COMPUTED_VALUE"""),"S-2")</f>
        <v>S-2</v>
      </c>
      <c r="Z90" s="3" t="str">
        <f ca="1">IFERROR(__xludf.DUMMYFUNCTION("""COMPUTED_VALUE"""),"5 Tahun 1 Bulan 27 Hari")</f>
        <v>5 Tahun 1 Bulan 27 Hari</v>
      </c>
      <c r="AA90" s="8">
        <f ca="1">IFERROR(__xludf.DUMMYFUNCTION("""COMPUTED_VALUE"""),57405)</f>
        <v>57405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4"/>
      <c r="AR90" s="3"/>
      <c r="AS90" s="4"/>
      <c r="AT90" s="3"/>
      <c r="AU90" s="3"/>
    </row>
    <row r="91" spans="1:47" x14ac:dyDescent="0.2">
      <c r="A91" s="12">
        <v>90</v>
      </c>
      <c r="B91" s="3" t="str">
        <f ca="1">IFERROR(__xludf.DUMMYFUNCTION("""COMPUTED_VALUE"""),"Karimatul Khasanah")</f>
        <v>Karimatul Khasanah</v>
      </c>
      <c r="C91" s="3" t="str">
        <f ca="1">IFERROR(__xludf.DUMMYFUNCTION("""COMPUTED_VALUE"""),"Dr. Karimatul Khasanah, M.S.I.")</f>
        <v>Dr. Karimatul Khasanah, M.S.I.</v>
      </c>
      <c r="D91" s="3" t="str">
        <f ca="1">IFERROR(__xludf.DUMMYFUNCTION("""COMPUTED_VALUE"""),"Dr. Karimatul Khasanah, M.S.I.")</f>
        <v>Dr. Karimatul Khasanah, M.S.I.</v>
      </c>
      <c r="E91" s="3" t="str">
        <f ca="1">IFERROR(__xludf.DUMMYFUNCTION("""COMPUTED_VALUE"""),"198712242018012002")</f>
        <v>198712242018012002</v>
      </c>
      <c r="F91" s="3" t="str">
        <f ca="1">IFERROR(__xludf.DUMMYFUNCTION("""COMPUTED_VALUE"""),"19871224 201801 2 002")</f>
        <v>19871224 201801 2 002</v>
      </c>
      <c r="G91" s="3">
        <f ca="1">IFERROR(__xludf.DUMMYFUNCTION("""COMPUTED_VALUE"""),2024128702)</f>
        <v>2024128702</v>
      </c>
      <c r="H91" s="6" t="str">
        <f ca="1">IFERROR(__xludf.DUMMYFUNCTION("""COMPUTED_VALUE"""),"4556765666230253")</f>
        <v>4556765666230253</v>
      </c>
      <c r="I91" s="3" t="str">
        <f ca="1">IFERROR(__xludf.DUMMYFUNCTION("""COMPUTED_VALUE"""),"PNS")</f>
        <v>PNS</v>
      </c>
      <c r="J91" s="3" t="str">
        <f ca="1">IFERROR(__xludf.DUMMYFUNCTION("""COMPUTED_VALUE"""),"Dosen PNS")</f>
        <v>Dosen PNS</v>
      </c>
      <c r="K91" s="5" t="str">
        <f ca="1">IFERROR(__xludf.DUMMYFUNCTION("""COMPUTED_VALUE"""),"P")</f>
        <v>P</v>
      </c>
      <c r="L91" s="3" t="str">
        <f ca="1">IFERROR(__xludf.DUMMYFUNCTION("""COMPUTED_VALUE"""),"Banyumas")</f>
        <v>Banyumas</v>
      </c>
      <c r="M91" s="9">
        <f ca="1">IFERROR(__xludf.DUMMYFUNCTION("""COMPUTED_VALUE"""),32135)</f>
        <v>32135</v>
      </c>
      <c r="N91" s="4" t="str">
        <f ca="1">IFERROR(__xludf.DUMMYFUNCTION("""COMPUTED_VALUE"""),"Penata Tk.I")</f>
        <v>Penata Tk.I</v>
      </c>
      <c r="O91" s="3" t="str">
        <f ca="1">IFERROR(__xludf.DUMMYFUNCTION("""COMPUTED_VALUE"""),"III/d")</f>
        <v>III/d</v>
      </c>
      <c r="P91" s="7">
        <f ca="1">IFERROR(__xludf.DUMMYFUNCTION("""COMPUTED_VALUE"""),45383)</f>
        <v>45383</v>
      </c>
      <c r="Q91" s="3"/>
      <c r="R91" s="3" t="str">
        <f ca="1">IFERROR(__xludf.DUMMYFUNCTION("""COMPUTED_VALUE"""),"Lektor")</f>
        <v>Lektor</v>
      </c>
      <c r="S91" s="3" t="str">
        <f ca="1">IFERROR(__xludf.DUMMYFUNCTION("""COMPUTED_VALUE"""),"Lektor")</f>
        <v>Lektor</v>
      </c>
      <c r="T91" s="7">
        <f ca="1">IFERROR(__xludf.DUMMYFUNCTION("""COMPUTED_VALUE"""),44593)</f>
        <v>44593</v>
      </c>
      <c r="U91" s="3"/>
      <c r="V91" s="3"/>
      <c r="W91" s="3">
        <f ca="1">IFERROR(__xludf.DUMMYFUNCTION("""COMPUTED_VALUE"""),11)</f>
        <v>11</v>
      </c>
      <c r="X91" s="3"/>
      <c r="Y91" s="3" t="str">
        <f ca="1">IFERROR(__xludf.DUMMYFUNCTION("""COMPUTED_VALUE"""),"S-3")</f>
        <v>S-3</v>
      </c>
      <c r="Z91" s="3" t="str">
        <f ca="1">IFERROR(__xludf.DUMMYFUNCTION("""COMPUTED_VALUE"""),"8 Tahun 0 Bulan 27 Hari")</f>
        <v>8 Tahun 0 Bulan 27 Hari</v>
      </c>
      <c r="AA91" s="8">
        <f ca="1">IFERROR(__xludf.DUMMYFUNCTION("""COMPUTED_VALUE"""),55885)</f>
        <v>55885</v>
      </c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4"/>
      <c r="AR91" s="3"/>
      <c r="AS91" s="4"/>
      <c r="AT91" s="3"/>
      <c r="AU91" s="3"/>
    </row>
    <row r="92" spans="1:47" x14ac:dyDescent="0.2">
      <c r="A92" s="12">
        <v>91</v>
      </c>
      <c r="B92" s="3" t="str">
        <f ca="1">IFERROR(__xludf.DUMMYFUNCTION("""COMPUTED_VALUE"""),"Khairunnisa Dwinalida")</f>
        <v>Khairunnisa Dwinalida</v>
      </c>
      <c r="C92" s="3" t="str">
        <f ca="1">IFERROR(__xludf.DUMMYFUNCTION("""COMPUTED_VALUE"""),"Khairunnisa Dwinalida, M.Pd.")</f>
        <v>Khairunnisa Dwinalida, M.Pd.</v>
      </c>
      <c r="D92" s="3" t="str">
        <f ca="1">IFERROR(__xludf.DUMMYFUNCTION("""COMPUTED_VALUE"""),"Khairunnisa Dwinalida, M.Pd.")</f>
        <v>Khairunnisa Dwinalida, M.Pd.</v>
      </c>
      <c r="E92" s="3" t="str">
        <f ca="1">IFERROR(__xludf.DUMMYFUNCTION("""COMPUTED_VALUE"""),"199211152019032034")</f>
        <v>199211152019032034</v>
      </c>
      <c r="F92" s="3" t="str">
        <f ca="1">IFERROR(__xludf.DUMMYFUNCTION("""COMPUTED_VALUE"""),"19921115 201903 2 034")</f>
        <v>19921115 201903 2 034</v>
      </c>
      <c r="G92" s="3">
        <f ca="1">IFERROR(__xludf.DUMMYFUNCTION("""COMPUTED_VALUE"""),2015119201)</f>
        <v>2015119201</v>
      </c>
      <c r="H92" s="6" t="str">
        <f ca="1">IFERROR(__xludf.DUMMYFUNCTION("""COMPUTED_VALUE"""),"0447770671230333")</f>
        <v>0447770671230333</v>
      </c>
      <c r="I92" s="3" t="str">
        <f ca="1">IFERROR(__xludf.DUMMYFUNCTION("""COMPUTED_VALUE"""),"PNS")</f>
        <v>PNS</v>
      </c>
      <c r="J92" s="3" t="str">
        <f ca="1">IFERROR(__xludf.DUMMYFUNCTION("""COMPUTED_VALUE"""),"Dosen PNS")</f>
        <v>Dosen PNS</v>
      </c>
      <c r="K92" s="5" t="str">
        <f ca="1">IFERROR(__xludf.DUMMYFUNCTION("""COMPUTED_VALUE"""),"P")</f>
        <v>P</v>
      </c>
      <c r="L92" s="3" t="str">
        <f ca="1">IFERROR(__xludf.DUMMYFUNCTION("""COMPUTED_VALUE"""),"Curup")</f>
        <v>Curup</v>
      </c>
      <c r="M92" s="9">
        <f ca="1">IFERROR(__xludf.DUMMYFUNCTION("""COMPUTED_VALUE"""),33923)</f>
        <v>33923</v>
      </c>
      <c r="N92" s="4" t="str">
        <f ca="1">IFERROR(__xludf.DUMMYFUNCTION("""COMPUTED_VALUE"""),"Penata")</f>
        <v>Penata</v>
      </c>
      <c r="O92" s="3" t="str">
        <f ca="1">IFERROR(__xludf.DUMMYFUNCTION("""COMPUTED_VALUE"""),"III/c")</f>
        <v>III/c</v>
      </c>
      <c r="P92" s="7">
        <f ca="1">IFERROR(__xludf.DUMMYFUNCTION("""COMPUTED_VALUE"""),45200)</f>
        <v>45200</v>
      </c>
      <c r="Q92" s="3" t="str">
        <f ca="1">IFERROR(__xludf.DUMMYFUNCTION("""COMPUTED_VALUE"""),"1106/Un.19/K.AUPK/KP.07.1/08/2023")</f>
        <v>1106/Un.19/K.AUPK/KP.07.1/08/2023</v>
      </c>
      <c r="R92" s="3" t="str">
        <f ca="1">IFERROR(__xludf.DUMMYFUNCTION("""COMPUTED_VALUE"""),"Lektor")</f>
        <v>Lektor</v>
      </c>
      <c r="S92" s="3" t="str">
        <f ca="1">IFERROR(__xludf.DUMMYFUNCTION("""COMPUTED_VALUE"""),"Lektor")</f>
        <v>Lektor</v>
      </c>
      <c r="T92" s="7">
        <f ca="1">IFERROR(__xludf.DUMMYFUNCTION("""COMPUTED_VALUE"""),43889)</f>
        <v>43889</v>
      </c>
      <c r="U92" s="3" t="str">
        <f ca="1">IFERROR(__xludf.DUMMYFUNCTION("""COMPUTED_VALUE"""),"1623/In.17/R/Kp.07.6/5/2021")</f>
        <v>1623/In.17/R/Kp.07.6/5/2021</v>
      </c>
      <c r="V92" s="7">
        <f ca="1">IFERROR(__xludf.DUMMYFUNCTION("""COMPUTED_VALUE"""),44317)</f>
        <v>44317</v>
      </c>
      <c r="W92" s="3">
        <f ca="1">IFERROR(__xludf.DUMMYFUNCTION("""COMPUTED_VALUE"""),11)</f>
        <v>11</v>
      </c>
      <c r="X92" s="3"/>
      <c r="Y92" s="3" t="str">
        <f ca="1">IFERROR(__xludf.DUMMYFUNCTION("""COMPUTED_VALUE"""),"S-2")</f>
        <v>S-2</v>
      </c>
      <c r="Z92" s="3" t="str">
        <f ca="1">IFERROR(__xludf.DUMMYFUNCTION("""COMPUTED_VALUE"""),"6 Tahun 10 Bulan 27 Hari")</f>
        <v>6 Tahun 10 Bulan 27 Hari</v>
      </c>
      <c r="AA92" s="8">
        <f ca="1">IFERROR(__xludf.DUMMYFUNCTION("""COMPUTED_VALUE"""),57680)</f>
        <v>57680</v>
      </c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4"/>
      <c r="AR92" s="3"/>
      <c r="AS92" s="4"/>
      <c r="AT92" s="3"/>
      <c r="AU92" s="3"/>
    </row>
    <row r="93" spans="1:47" x14ac:dyDescent="0.2">
      <c r="A93" s="12">
        <v>92</v>
      </c>
      <c r="B93" s="3" t="str">
        <f ca="1">IFERROR(__xludf.DUMMYFUNCTION("""COMPUTED_VALUE"""),"Khoirul Amru Harahap")</f>
        <v>Khoirul Amru Harahap</v>
      </c>
      <c r="C93" s="3" t="str">
        <f ca="1">IFERROR(__xludf.DUMMYFUNCTION("""COMPUTED_VALUE"""),"H. Khoirul Amru Harahap, Lc., M.H.I.")</f>
        <v>H. Khoirul Amru Harahap, Lc., M.H.I.</v>
      </c>
      <c r="D93" s="3" t="str">
        <f ca="1">IFERROR(__xludf.DUMMYFUNCTION("""COMPUTED_VALUE"""),"H. Khoirul Amru Harahap, Lc., M.H.I.")</f>
        <v>H. Khoirul Amru Harahap, Lc., M.H.I.</v>
      </c>
      <c r="E93" s="3" t="str">
        <f ca="1">IFERROR(__xludf.DUMMYFUNCTION("""COMPUTED_VALUE"""),"197604052005011015")</f>
        <v>197604052005011015</v>
      </c>
      <c r="F93" s="3" t="str">
        <f ca="1">IFERROR(__xludf.DUMMYFUNCTION("""COMPUTED_VALUE"""),"19760405 200501 1 015")</f>
        <v>19760405 200501 1 015</v>
      </c>
      <c r="G93" s="3">
        <f ca="1">IFERROR(__xludf.DUMMYFUNCTION("""COMPUTED_VALUE"""),2005047604)</f>
        <v>2005047604</v>
      </c>
      <c r="H93" s="6" t="str">
        <f ca="1">IFERROR(__xludf.DUMMYFUNCTION("""COMPUTED_VALUE"""),"4737754655130142")</f>
        <v>4737754655130142</v>
      </c>
      <c r="I93" s="3" t="str">
        <f ca="1">IFERROR(__xludf.DUMMYFUNCTION("""COMPUTED_VALUE"""),"PNS")</f>
        <v>PNS</v>
      </c>
      <c r="J93" s="3" t="str">
        <f ca="1">IFERROR(__xludf.DUMMYFUNCTION("""COMPUTED_VALUE"""),"Dosen PNS")</f>
        <v>Dosen PNS</v>
      </c>
      <c r="K93" s="5" t="str">
        <f ca="1">IFERROR(__xludf.DUMMYFUNCTION("""COMPUTED_VALUE"""),"L")</f>
        <v>L</v>
      </c>
      <c r="L93" s="3" t="str">
        <f ca="1">IFERROR(__xludf.DUMMYFUNCTION("""COMPUTED_VALUE"""),"Padang")</f>
        <v>Padang</v>
      </c>
      <c r="M93" s="7">
        <f ca="1">IFERROR(__xludf.DUMMYFUNCTION("""COMPUTED_VALUE"""),27855)</f>
        <v>27855</v>
      </c>
      <c r="N93" s="4" t="str">
        <f ca="1">IFERROR(__xludf.DUMMYFUNCTION("""COMPUTED_VALUE"""),"Penata Tk.I")</f>
        <v>Penata Tk.I</v>
      </c>
      <c r="O93" s="3" t="str">
        <f ca="1">IFERROR(__xludf.DUMMYFUNCTION("""COMPUTED_VALUE"""),"III/d")</f>
        <v>III/d</v>
      </c>
      <c r="P93" s="7">
        <f ca="1">IFERROR(__xludf.DUMMYFUNCTION("""COMPUTED_VALUE"""),40634)</f>
        <v>40634</v>
      </c>
      <c r="Q93" s="3" t="str">
        <f ca="1">IFERROR(__xludf.DUMMYFUNCTION("""COMPUTED_VALUE"""),"B.II/3/4171")</f>
        <v>B.II/3/4171</v>
      </c>
      <c r="R93" s="3" t="str">
        <f ca="1">IFERROR(__xludf.DUMMYFUNCTION("""COMPUTED_VALUE"""),"Lektor")</f>
        <v>Lektor</v>
      </c>
      <c r="S93" s="3" t="str">
        <f ca="1">IFERROR(__xludf.DUMMYFUNCTION("""COMPUTED_VALUE"""),"Lektor")</f>
        <v>Lektor</v>
      </c>
      <c r="T93" s="7">
        <f ca="1">IFERROR(__xludf.DUMMYFUNCTION("""COMPUTED_VALUE"""),39965)</f>
        <v>39965</v>
      </c>
      <c r="U93" s="3"/>
      <c r="V93" s="3"/>
      <c r="W93" s="3">
        <f ca="1">IFERROR(__xludf.DUMMYFUNCTION("""COMPUTED_VALUE"""),11)</f>
        <v>11</v>
      </c>
      <c r="X93" s="3"/>
      <c r="Y93" s="3" t="str">
        <f ca="1">IFERROR(__xludf.DUMMYFUNCTION("""COMPUTED_VALUE"""),"S-2")</f>
        <v>S-2</v>
      </c>
      <c r="Z93" s="3" t="str">
        <f ca="1">IFERROR(__xludf.DUMMYFUNCTION("""COMPUTED_VALUE"""),"21 Tahun 0 Bulan 27 Hari")</f>
        <v>21 Tahun 0 Bulan 27 Hari</v>
      </c>
      <c r="AA93" s="8">
        <f ca="1">IFERROR(__xludf.DUMMYFUNCTION("""COMPUTED_VALUE"""),51622)</f>
        <v>51622</v>
      </c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4"/>
      <c r="AR93" s="3"/>
      <c r="AS93" s="4"/>
      <c r="AT93" s="3"/>
      <c r="AU93" s="3"/>
    </row>
    <row r="94" spans="1:47" x14ac:dyDescent="0.2">
      <c r="A94" s="12">
        <v>93</v>
      </c>
      <c r="B94" s="3" t="str">
        <f ca="1">IFERROR(__xludf.DUMMYFUNCTION("""COMPUTED_VALUE"""),"Kholid Mawardi")</f>
        <v>Kholid Mawardi</v>
      </c>
      <c r="C94" s="3" t="str">
        <f ca="1">IFERROR(__xludf.DUMMYFUNCTION("""COMPUTED_VALUE"""),"Prof. Dr. Kholid Mawardi, S.Ag., M.Hum.")</f>
        <v>Prof. Dr. Kholid Mawardi, S.Ag., M.Hum.</v>
      </c>
      <c r="D94" s="3" t="str">
        <f ca="1">IFERROR(__xludf.DUMMYFUNCTION("""COMPUTED_VALUE"""),"Prof. Dr. Kholid Mawardi, S.Ag., M.Hum.")</f>
        <v>Prof. Dr. Kholid Mawardi, S.Ag., M.Hum.</v>
      </c>
      <c r="E94" s="3" t="str">
        <f ca="1">IFERROR(__xludf.DUMMYFUNCTION("""COMPUTED_VALUE"""),"197402281999031005")</f>
        <v>197402281999031005</v>
      </c>
      <c r="F94" s="3" t="str">
        <f ca="1">IFERROR(__xludf.DUMMYFUNCTION("""COMPUTED_VALUE"""),"19740228 199903 1 005")</f>
        <v>19740228 199903 1 005</v>
      </c>
      <c r="G94" s="3">
        <f ca="1">IFERROR(__xludf.DUMMYFUNCTION("""COMPUTED_VALUE"""),2028027404)</f>
        <v>2028027404</v>
      </c>
      <c r="H94" s="6" t="str">
        <f ca="1">IFERROR(__xludf.DUMMYFUNCTION("""COMPUTED_VALUE"""),"0560752653130092")</f>
        <v>0560752653130092</v>
      </c>
      <c r="I94" s="3" t="str">
        <f ca="1">IFERROR(__xludf.DUMMYFUNCTION("""COMPUTED_VALUE"""),"PNS")</f>
        <v>PNS</v>
      </c>
      <c r="J94" s="3" t="str">
        <f ca="1">IFERROR(__xludf.DUMMYFUNCTION("""COMPUTED_VALUE"""),"Dosen PNS")</f>
        <v>Dosen PNS</v>
      </c>
      <c r="K94" s="5" t="str">
        <f ca="1">IFERROR(__xludf.DUMMYFUNCTION("""COMPUTED_VALUE"""),"L")</f>
        <v>L</v>
      </c>
      <c r="L94" s="3" t="str">
        <f ca="1">IFERROR(__xludf.DUMMYFUNCTION("""COMPUTED_VALUE"""),"Sleman")</f>
        <v>Sleman</v>
      </c>
      <c r="M94" s="7">
        <f ca="1">IFERROR(__xludf.DUMMYFUNCTION("""COMPUTED_VALUE"""),27088)</f>
        <v>27088</v>
      </c>
      <c r="N94" s="4" t="str">
        <f ca="1">IFERROR(__xludf.DUMMYFUNCTION("""COMPUTED_VALUE"""),"Pembina Utama Madya")</f>
        <v>Pembina Utama Madya</v>
      </c>
      <c r="O94" s="3" t="str">
        <f ca="1">IFERROR(__xludf.DUMMYFUNCTION("""COMPUTED_VALUE"""),"IV/d")</f>
        <v>IV/d</v>
      </c>
      <c r="P94" s="7">
        <f ca="1">IFERROR(__xludf.DUMMYFUNCTION("""COMPUTED_VALUE"""),45931)</f>
        <v>45931</v>
      </c>
      <c r="Q94" s="3" t="str">
        <f ca="1">IFERROR(__xludf.DUMMYFUNCTION("""COMPUTED_VALUE"""),"00518/KEP/AA/15001/25")</f>
        <v>00518/KEP/AA/15001/25</v>
      </c>
      <c r="R94" s="3" t="str">
        <f ca="1">IFERROR(__xludf.DUMMYFUNCTION("""COMPUTED_VALUE"""),"Guru Besar")</f>
        <v>Guru Besar</v>
      </c>
      <c r="S94" s="3" t="str">
        <f ca="1">IFERROR(__xludf.DUMMYFUNCTION("""COMPUTED_VALUE"""),"Guru Besar")</f>
        <v>Guru Besar</v>
      </c>
      <c r="T94" s="7">
        <f ca="1">IFERROR(__xludf.DUMMYFUNCTION("""COMPUTED_VALUE"""),45017)</f>
        <v>45017</v>
      </c>
      <c r="U94" s="3" t="str">
        <f ca="1">IFERROR(__xludf.DUMMYFUNCTION("""COMPUTED_VALUE"""),"013724/B.II/3/2023")</f>
        <v>013724/B.II/3/2023</v>
      </c>
      <c r="V94" s="7">
        <f ca="1">IFERROR(__xludf.DUMMYFUNCTION("""COMPUTED_VALUE"""),45092)</f>
        <v>45092</v>
      </c>
      <c r="W94" s="3">
        <f ca="1">IFERROR(__xludf.DUMMYFUNCTION("""COMPUTED_VALUE"""),15)</f>
        <v>15</v>
      </c>
      <c r="X94" s="7" t="str">
        <f ca="1">IFERROR(__xludf.DUMMYFUNCTION("""COMPUTED_VALUE"""),"Wakil Dekan Bidang Akademik dan Kelembagaan Pada Fakultas Ushuluddin, Adab, dan Humaniora")</f>
        <v>Wakil Dekan Bidang Akademik dan Kelembagaan Pada Fakultas Ushuluddin, Adab, dan Humaniora</v>
      </c>
      <c r="Y94" s="3" t="str">
        <f ca="1">IFERROR(__xludf.DUMMYFUNCTION("""COMPUTED_VALUE"""),"S-3")</f>
        <v>S-3</v>
      </c>
      <c r="Z94" s="3" t="str">
        <f ca="1">IFERROR(__xludf.DUMMYFUNCTION("""COMPUTED_VALUE"""),"26 Tahun 10 Bulan 27 Hari")</f>
        <v>26 Tahun 10 Bulan 27 Hari</v>
      </c>
      <c r="AA94" s="8">
        <f ca="1">IFERROR(__xludf.DUMMYFUNCTION("""COMPUTED_VALUE"""),52657)</f>
        <v>52657</v>
      </c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4"/>
      <c r="AR94" s="3"/>
      <c r="AS94" s="4"/>
      <c r="AT94" s="3"/>
      <c r="AU94" s="3"/>
    </row>
    <row r="95" spans="1:47" x14ac:dyDescent="0.2">
      <c r="A95" s="12">
        <v>94</v>
      </c>
      <c r="B95" s="3" t="str">
        <f ca="1">IFERROR(__xludf.DUMMYFUNCTION("""COMPUTED_VALUE"""),"Kholil Lur Rochman")</f>
        <v>Kholil Lur Rochman</v>
      </c>
      <c r="C95" s="3" t="str">
        <f ca="1">IFERROR(__xludf.DUMMYFUNCTION("""COMPUTED_VALUE"""),"Dr. Kholil Lur Rochman, S.Ag., M.S.I.")</f>
        <v>Dr. Kholil Lur Rochman, S.Ag., M.S.I.</v>
      </c>
      <c r="D95" s="3" t="str">
        <f ca="1">IFERROR(__xludf.DUMMYFUNCTION("""COMPUTED_VALUE"""),"Dr. Kholil Lur Rochman, S.Ag., M.S.I.")</f>
        <v>Dr. Kholil Lur Rochman, S.Ag., M.S.I.</v>
      </c>
      <c r="E95" s="3" t="str">
        <f ca="1">IFERROR(__xludf.DUMMYFUNCTION("""COMPUTED_VALUE"""),"197910052009011013")</f>
        <v>197910052009011013</v>
      </c>
      <c r="F95" s="3" t="str">
        <f ca="1">IFERROR(__xludf.DUMMYFUNCTION("""COMPUTED_VALUE"""),"19791005 200901 1 013")</f>
        <v>19791005 200901 1 013</v>
      </c>
      <c r="G95" s="3">
        <f ca="1">IFERROR(__xludf.DUMMYFUNCTION("""COMPUTED_VALUE"""),2005107901)</f>
        <v>2005107901</v>
      </c>
      <c r="H95" s="6" t="str">
        <f ca="1">IFERROR(__xludf.DUMMYFUNCTION("""COMPUTED_VALUE"""),"8337757658130203")</f>
        <v>8337757658130203</v>
      </c>
      <c r="I95" s="3" t="str">
        <f ca="1">IFERROR(__xludf.DUMMYFUNCTION("""COMPUTED_VALUE"""),"PNS")</f>
        <v>PNS</v>
      </c>
      <c r="J95" s="3" t="str">
        <f ca="1">IFERROR(__xludf.DUMMYFUNCTION("""COMPUTED_VALUE"""),"Dosen PNS")</f>
        <v>Dosen PNS</v>
      </c>
      <c r="K95" s="5" t="str">
        <f ca="1">IFERROR(__xludf.DUMMYFUNCTION("""COMPUTED_VALUE"""),"L")</f>
        <v>L</v>
      </c>
      <c r="L95" s="3" t="str">
        <f ca="1">IFERROR(__xludf.DUMMYFUNCTION("""COMPUTED_VALUE"""),"Rembang")</f>
        <v>Rembang</v>
      </c>
      <c r="M95" s="7">
        <f ca="1">IFERROR(__xludf.DUMMYFUNCTION("""COMPUTED_VALUE"""),29133)</f>
        <v>29133</v>
      </c>
      <c r="N95" s="4" t="str">
        <f ca="1">IFERROR(__xludf.DUMMYFUNCTION("""COMPUTED_VALUE"""),"Penata Tk.I")</f>
        <v>Penata Tk.I</v>
      </c>
      <c r="O95" s="3" t="str">
        <f ca="1">IFERROR(__xludf.DUMMYFUNCTION("""COMPUTED_VALUE"""),"III/d")</f>
        <v>III/d</v>
      </c>
      <c r="P95" s="7">
        <f ca="1">IFERROR(__xludf.DUMMYFUNCTION("""COMPUTED_VALUE"""),42461)</f>
        <v>42461</v>
      </c>
      <c r="Q95" s="3"/>
      <c r="R95" s="3" t="str">
        <f ca="1">IFERROR(__xludf.DUMMYFUNCTION("""COMPUTED_VALUE"""),"Lektor")</f>
        <v>Lektor</v>
      </c>
      <c r="S95" s="3" t="str">
        <f ca="1">IFERROR(__xludf.DUMMYFUNCTION("""COMPUTED_VALUE"""),"Lektor")</f>
        <v>Lektor</v>
      </c>
      <c r="T95" s="7">
        <f ca="1">IFERROR(__xludf.DUMMYFUNCTION("""COMPUTED_VALUE"""),42339)</f>
        <v>42339</v>
      </c>
      <c r="U95" s="3" t="str">
        <f ca="1">IFERROR(__xludf.DUMMYFUNCTION("""COMPUTED_VALUE"""),"In.22/R/Kp.07.6/906/2015")</f>
        <v>In.22/R/Kp.07.6/906/2015</v>
      </c>
      <c r="V95" s="7">
        <f ca="1">IFERROR(__xludf.DUMMYFUNCTION("""COMPUTED_VALUE"""),42339)</f>
        <v>42339</v>
      </c>
      <c r="W95" s="3">
        <f ca="1">IFERROR(__xludf.DUMMYFUNCTION("""COMPUTED_VALUE"""),11)</f>
        <v>11</v>
      </c>
      <c r="X95" s="3"/>
      <c r="Y95" s="3" t="str">
        <f ca="1">IFERROR(__xludf.DUMMYFUNCTION("""COMPUTED_VALUE"""),"S-3")</f>
        <v>S-3</v>
      </c>
      <c r="Z95" s="3" t="str">
        <f ca="1">IFERROR(__xludf.DUMMYFUNCTION("""COMPUTED_VALUE"""),"17 Tahun 0 Bulan 27 Hari")</f>
        <v>17 Tahun 0 Bulan 27 Hari</v>
      </c>
      <c r="AA95" s="8">
        <f ca="1">IFERROR(__xludf.DUMMYFUNCTION("""COMPUTED_VALUE"""),52902)</f>
        <v>52902</v>
      </c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4"/>
      <c r="AR95" s="3"/>
      <c r="AS95" s="4"/>
      <c r="AT95" s="3"/>
      <c r="AU95" s="3"/>
    </row>
    <row r="96" spans="1:47" x14ac:dyDescent="0.2">
      <c r="A96" s="12">
        <v>95</v>
      </c>
      <c r="B96" s="3" t="str">
        <f ca="1">IFERROR(__xludf.DUMMYFUNCTION("""COMPUTED_VALUE"""),"Khusnul Khotimah")</f>
        <v>Khusnul Khotimah</v>
      </c>
      <c r="C96" s="3" t="str">
        <f ca="1">IFERROR(__xludf.DUMMYFUNCTION("""COMPUTED_VALUE"""),"Prof. Dr. Hj. Khusnul Khotimah, M.Ag.")</f>
        <v>Prof. Dr. Hj. Khusnul Khotimah, M.Ag.</v>
      </c>
      <c r="D96" s="3" t="str">
        <f ca="1">IFERROR(__xludf.DUMMYFUNCTION("""COMPUTED_VALUE"""),"Prof. Dr. Hj. Khusnul Khotimah, M.Ag.")</f>
        <v>Prof. Dr. Hj. Khusnul Khotimah, M.Ag.</v>
      </c>
      <c r="E96" s="3" t="str">
        <f ca="1">IFERROR(__xludf.DUMMYFUNCTION("""COMPUTED_VALUE"""),"197403101998032002")</f>
        <v>197403101998032002</v>
      </c>
      <c r="F96" s="3" t="str">
        <f ca="1">IFERROR(__xludf.DUMMYFUNCTION("""COMPUTED_VALUE"""),"19740310 199803 2 002")</f>
        <v>19740310 199803 2 002</v>
      </c>
      <c r="G96" s="3">
        <f ca="1">IFERROR(__xludf.DUMMYFUNCTION("""COMPUTED_VALUE"""),2010037401)</f>
        <v>2010037401</v>
      </c>
      <c r="H96" s="6" t="str">
        <f ca="1">IFERROR(__xludf.DUMMYFUNCTION("""COMPUTED_VALUE"""),"1642752653230142")</f>
        <v>1642752653230142</v>
      </c>
      <c r="I96" s="3" t="str">
        <f ca="1">IFERROR(__xludf.DUMMYFUNCTION("""COMPUTED_VALUE"""),"PNS")</f>
        <v>PNS</v>
      </c>
      <c r="J96" s="3" t="str">
        <f ca="1">IFERROR(__xludf.DUMMYFUNCTION("""COMPUTED_VALUE"""),"Dosen PNS")</f>
        <v>Dosen PNS</v>
      </c>
      <c r="K96" s="5" t="str">
        <f ca="1">IFERROR(__xludf.DUMMYFUNCTION("""COMPUTED_VALUE"""),"P")</f>
        <v>P</v>
      </c>
      <c r="L96" s="3" t="str">
        <f ca="1">IFERROR(__xludf.DUMMYFUNCTION("""COMPUTED_VALUE"""),"Cilacap")</f>
        <v>Cilacap</v>
      </c>
      <c r="M96" s="7">
        <f ca="1">IFERROR(__xludf.DUMMYFUNCTION("""COMPUTED_VALUE"""),27098)</f>
        <v>27098</v>
      </c>
      <c r="N96" s="4" t="str">
        <f ca="1">IFERROR(__xludf.DUMMYFUNCTION("""COMPUTED_VALUE"""),"Pembina Utama Madya")</f>
        <v>Pembina Utama Madya</v>
      </c>
      <c r="O96" s="3" t="str">
        <f ca="1">IFERROR(__xludf.DUMMYFUNCTION("""COMPUTED_VALUE"""),"IV/d")</f>
        <v>IV/d</v>
      </c>
      <c r="P96" s="7">
        <f ca="1">IFERROR(__xludf.DUMMYFUNCTION("""COMPUTED_VALUE"""),45200)</f>
        <v>45200</v>
      </c>
      <c r="Q96" s="3" t="str">
        <f ca="1">IFERROR(__xludf.DUMMYFUNCTION("""COMPUTED_VALUE"""),"00129/KEP/AA/15001/23")</f>
        <v>00129/KEP/AA/15001/23</v>
      </c>
      <c r="R96" s="3" t="str">
        <f ca="1">IFERROR(__xludf.DUMMYFUNCTION("""COMPUTED_VALUE"""),"Guru Besar")</f>
        <v>Guru Besar</v>
      </c>
      <c r="S96" s="3" t="str">
        <f ca="1">IFERROR(__xludf.DUMMYFUNCTION("""COMPUTED_VALUE"""),"Guru Besar")</f>
        <v>Guru Besar</v>
      </c>
      <c r="T96" s="7">
        <f ca="1">IFERROR(__xludf.DUMMYFUNCTION("""COMPUTED_VALUE"""),45078)</f>
        <v>45078</v>
      </c>
      <c r="U96" s="3" t="str">
        <f ca="1">IFERROR(__xludf.DUMMYFUNCTION("""COMPUTED_VALUE"""),"013742/B.II/2023")</f>
        <v>013742/B.II/2023</v>
      </c>
      <c r="V96" s="7">
        <f ca="1">IFERROR(__xludf.DUMMYFUNCTION("""COMPUTED_VALUE"""),45092)</f>
        <v>45092</v>
      </c>
      <c r="W96" s="3">
        <f ca="1">IFERROR(__xludf.DUMMYFUNCTION("""COMPUTED_VALUE"""),15)</f>
        <v>15</v>
      </c>
      <c r="X96" s="7" t="str">
        <f ca="1">IFERROR(__xludf.DUMMYFUNCTION("""COMPUTED_VALUE"""),"Ketua Program Studi S-2 Komunikasi Penyiaran Islam pada Pascasarjana")</f>
        <v>Ketua Program Studi S-2 Komunikasi Penyiaran Islam pada Pascasarjana</v>
      </c>
      <c r="Y96" s="3" t="str">
        <f ca="1">IFERROR(__xludf.DUMMYFUNCTION("""COMPUTED_VALUE"""),"S-3")</f>
        <v>S-3</v>
      </c>
      <c r="Z96" s="3" t="str">
        <f ca="1">IFERROR(__xludf.DUMMYFUNCTION("""COMPUTED_VALUE"""),"27 Tahun 10 Bulan 27 Hari")</f>
        <v>27 Tahun 10 Bulan 27 Hari</v>
      </c>
      <c r="AA96" s="8">
        <f ca="1">IFERROR(__xludf.DUMMYFUNCTION("""COMPUTED_VALUE"""),52688)</f>
        <v>52688</v>
      </c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4"/>
      <c r="AR96" s="3"/>
      <c r="AS96" s="4"/>
      <c r="AT96" s="3"/>
      <c r="AU96" s="3"/>
    </row>
    <row r="97" spans="1:47" x14ac:dyDescent="0.2">
      <c r="A97" s="12">
        <v>96</v>
      </c>
      <c r="B97" s="3" t="str">
        <f ca="1">IFERROR(__xludf.DUMMYFUNCTION("""COMPUTED_VALUE"""),"Kurnia Sari wiwaha")</f>
        <v>Kurnia Sari wiwaha</v>
      </c>
      <c r="C97" s="3" t="str">
        <f ca="1">IFERROR(__xludf.DUMMYFUNCTION("""COMPUTED_VALUE"""),"Kurnia Sari Wiwaha, M.Ag.")</f>
        <v>Kurnia Sari Wiwaha, M.Ag.</v>
      </c>
      <c r="D97" s="3" t="str">
        <f ca="1">IFERROR(__xludf.DUMMYFUNCTION("""COMPUTED_VALUE"""),"Kurnia Sari Wiwaha, M.Ag.")</f>
        <v>Kurnia Sari Wiwaha, M.Ag.</v>
      </c>
      <c r="E97" s="3" t="str">
        <f ca="1">IFERROR(__xludf.DUMMYFUNCTION("""COMPUTED_VALUE"""),"199407212020122018")</f>
        <v>199407212020122018</v>
      </c>
      <c r="F97" s="3" t="str">
        <f ca="1">IFERROR(__xludf.DUMMYFUNCTION("""COMPUTED_VALUE"""),"‌19940721 202012 2 018")</f>
        <v>‌19940721 202012 2 018</v>
      </c>
      <c r="G97" s="3">
        <f ca="1">IFERROR(__xludf.DUMMYFUNCTION("""COMPUTED_VALUE"""),2021079401)</f>
        <v>2021079401</v>
      </c>
      <c r="H97" s="6" t="str">
        <f ca="1">IFERROR(__xludf.DUMMYFUNCTION("""COMPUTED_VALUE"""),"3053772673230273")</f>
        <v>3053772673230273</v>
      </c>
      <c r="I97" s="3" t="str">
        <f ca="1">IFERROR(__xludf.DUMMYFUNCTION("""COMPUTED_VALUE"""),"PNS")</f>
        <v>PNS</v>
      </c>
      <c r="J97" s="3" t="str">
        <f ca="1">IFERROR(__xludf.DUMMYFUNCTION("""COMPUTED_VALUE"""),"Dosen PNS")</f>
        <v>Dosen PNS</v>
      </c>
      <c r="K97" s="5" t="str">
        <f ca="1">IFERROR(__xludf.DUMMYFUNCTION("""COMPUTED_VALUE"""),"P")</f>
        <v>P</v>
      </c>
      <c r="L97" s="3" t="str">
        <f ca="1">IFERROR(__xludf.DUMMYFUNCTION("""COMPUTED_VALUE"""),"Jayapura")</f>
        <v>Jayapura</v>
      </c>
      <c r="M97" s="7">
        <f ca="1">IFERROR(__xludf.DUMMYFUNCTION("""COMPUTED_VALUE"""),34536)</f>
        <v>34536</v>
      </c>
      <c r="N97" s="4" t="str">
        <f ca="1">IFERROR(__xludf.DUMMYFUNCTION("""COMPUTED_VALUE"""),"Penata")</f>
        <v>Penata</v>
      </c>
      <c r="O97" s="3" t="str">
        <f ca="1">IFERROR(__xludf.DUMMYFUNCTION("""COMPUTED_VALUE"""),"III/c")</f>
        <v>III/c</v>
      </c>
      <c r="P97" s="7">
        <f ca="1">IFERROR(__xludf.DUMMYFUNCTION("""COMPUTED_VALUE"""),45992)</f>
        <v>45992</v>
      </c>
      <c r="Q97" s="3" t="str">
        <f ca="1">IFERROR(__xludf.DUMMYFUNCTION("""COMPUTED_VALUE"""),"214547/B.II/KP.07.1/11/2025")</f>
        <v>214547/B.II/KP.07.1/11/2025</v>
      </c>
      <c r="R97" s="3" t="str">
        <f ca="1">IFERROR(__xludf.DUMMYFUNCTION("""COMPUTED_VALUE"""),"Lektor")</f>
        <v>Lektor</v>
      </c>
      <c r="S97" s="3" t="str">
        <f ca="1">IFERROR(__xludf.DUMMYFUNCTION("""COMPUTED_VALUE"""),"Lektor")</f>
        <v>Lektor</v>
      </c>
      <c r="T97" s="7">
        <f ca="1">IFERROR(__xludf.DUMMYFUNCTION("""COMPUTED_VALUE"""),45962)</f>
        <v>45962</v>
      </c>
      <c r="U97" s="3" t="str">
        <f ca="1">IFERROR(__xludf.DUMMYFUNCTION("""COMPUTED_VALUE"""),"208799/B.II/KP.07.6/10/2025")</f>
        <v>208799/B.II/KP.07.6/10/2025</v>
      </c>
      <c r="V97" s="7">
        <f ca="1">IFERROR(__xludf.DUMMYFUNCTION("""COMPUTED_VALUE"""),45936)</f>
        <v>45936</v>
      </c>
      <c r="W97" s="3">
        <f ca="1">IFERROR(__xludf.DUMMYFUNCTION("""COMPUTED_VALUE"""),11)</f>
        <v>11</v>
      </c>
      <c r="X97" s="3" t="str">
        <f ca="1">IFERROR(__xludf.DUMMYFUNCTION("""COMPUTED_VALUE"""),"Koordinator Program Studi S-1 Tasawuf dan Psikoterapi Pada Fakultas Ushuluddin, Adab, dan Humaniora")</f>
        <v>Koordinator Program Studi S-1 Tasawuf dan Psikoterapi Pada Fakultas Ushuluddin, Adab, dan Humaniora</v>
      </c>
      <c r="Y97" s="3" t="str">
        <f ca="1">IFERROR(__xludf.DUMMYFUNCTION("""COMPUTED_VALUE"""),"S-2")</f>
        <v>S-2</v>
      </c>
      <c r="Z97" s="3" t="str">
        <f ca="1">IFERROR(__xludf.DUMMYFUNCTION("""COMPUTED_VALUE"""),"5 Tahun 1 Bulan 27 Hari")</f>
        <v>5 Tahun 1 Bulan 27 Hari</v>
      </c>
      <c r="AA97" s="8">
        <f ca="1">IFERROR(__xludf.DUMMYFUNCTION("""COMPUTED_VALUE"""),58288)</f>
        <v>58288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4"/>
      <c r="AR97" s="3"/>
      <c r="AS97" s="4"/>
      <c r="AT97" s="3"/>
      <c r="AU97" s="3"/>
    </row>
    <row r="98" spans="1:47" x14ac:dyDescent="0.2">
      <c r="A98" s="12">
        <v>97</v>
      </c>
      <c r="B98" s="3" t="str">
        <f ca="1">IFERROR(__xludf.DUMMYFUNCTION("""COMPUTED_VALUE"""),"Laily Liddini")</f>
        <v>Laily Liddini</v>
      </c>
      <c r="C98" s="3" t="str">
        <f ca="1">IFERROR(__xludf.DUMMYFUNCTION("""COMPUTED_VALUE"""),"Hj. Laily Liddini, Lc., M.Hum.")</f>
        <v>Hj. Laily Liddini, Lc., M.Hum.</v>
      </c>
      <c r="D98" s="3" t="str">
        <f ca="1">IFERROR(__xludf.DUMMYFUNCTION("""COMPUTED_VALUE"""),"Hj. Laily Liddini, Lc., M.Hum.")</f>
        <v>Hj. Laily Liddini, Lc., M.Hum.</v>
      </c>
      <c r="E98" s="3" t="str">
        <f ca="1">IFERROR(__xludf.DUMMYFUNCTION("""COMPUTED_VALUE"""),"198604122019032014")</f>
        <v>198604122019032014</v>
      </c>
      <c r="F98" s="3" t="str">
        <f ca="1">IFERROR(__xludf.DUMMYFUNCTION("""COMPUTED_VALUE"""),"19860412 201903 2 014")</f>
        <v>19860412 201903 2 014</v>
      </c>
      <c r="G98" s="3">
        <f ca="1">IFERROR(__xludf.DUMMYFUNCTION("""COMPUTED_VALUE"""),2112048603)</f>
        <v>2112048603</v>
      </c>
      <c r="H98" s="6" t="str">
        <f ca="1">IFERROR(__xludf.DUMMYFUNCTION("""COMPUTED_VALUE"""),"9744764665237152")</f>
        <v>9744764665237152</v>
      </c>
      <c r="I98" s="3" t="str">
        <f ca="1">IFERROR(__xludf.DUMMYFUNCTION("""COMPUTED_VALUE"""),"PNS")</f>
        <v>PNS</v>
      </c>
      <c r="J98" s="3" t="str">
        <f ca="1">IFERROR(__xludf.DUMMYFUNCTION("""COMPUTED_VALUE"""),"Dosen PNS")</f>
        <v>Dosen PNS</v>
      </c>
      <c r="K98" s="5" t="str">
        <f ca="1">IFERROR(__xludf.DUMMYFUNCTION("""COMPUTED_VALUE"""),"P")</f>
        <v>P</v>
      </c>
      <c r="L98" s="3" t="str">
        <f ca="1">IFERROR(__xludf.DUMMYFUNCTION("""COMPUTED_VALUE"""),"Brebes")</f>
        <v>Brebes</v>
      </c>
      <c r="M98" s="7">
        <f ca="1">IFERROR(__xludf.DUMMYFUNCTION("""COMPUTED_VALUE"""),31514)</f>
        <v>31514</v>
      </c>
      <c r="N98" s="4" t="str">
        <f ca="1">IFERROR(__xludf.DUMMYFUNCTION("""COMPUTED_VALUE"""),"Penata Tk.I")</f>
        <v>Penata Tk.I</v>
      </c>
      <c r="O98" s="3" t="str">
        <f ca="1">IFERROR(__xludf.DUMMYFUNCTION("""COMPUTED_VALUE"""),"III/d")</f>
        <v>III/d</v>
      </c>
      <c r="P98" s="7">
        <f ca="1">IFERROR(__xludf.DUMMYFUNCTION("""COMPUTED_VALUE"""),45931)</f>
        <v>45931</v>
      </c>
      <c r="Q98" s="3" t="str">
        <f ca="1">IFERROR(__xludf.DUMMYFUNCTION("""COMPUTED_VALUE"""),"199575/B.II/KP.07.1/08/2025")</f>
        <v>199575/B.II/KP.07.1/08/2025</v>
      </c>
      <c r="R98" s="3" t="str">
        <f ca="1">IFERROR(__xludf.DUMMYFUNCTION("""COMPUTED_VALUE"""),"Lektor")</f>
        <v>Lektor</v>
      </c>
      <c r="S98" s="3" t="str">
        <f ca="1">IFERROR(__xludf.DUMMYFUNCTION("""COMPUTED_VALUE"""),"Lektor")</f>
        <v>Lektor</v>
      </c>
      <c r="T98" s="7">
        <f ca="1">IFERROR(__xludf.DUMMYFUNCTION("""COMPUTED_VALUE"""),44986)</f>
        <v>44986</v>
      </c>
      <c r="U98" s="3" t="str">
        <f ca="1">IFERROR(__xludf.DUMMYFUNCTION("""COMPUTED_VALUE"""),"482/Un.19/K.AUPK/Kp.07.6/3/2023")</f>
        <v>482/Un.19/K.AUPK/Kp.07.6/3/2023</v>
      </c>
      <c r="V98" s="7">
        <f ca="1">IFERROR(__xludf.DUMMYFUNCTION("""COMPUTED_VALUE"""),44986)</f>
        <v>44986</v>
      </c>
      <c r="W98" s="3">
        <f ca="1">IFERROR(__xludf.DUMMYFUNCTION("""COMPUTED_VALUE"""),11)</f>
        <v>11</v>
      </c>
      <c r="X98" s="3"/>
      <c r="Y98" s="3" t="str">
        <f ca="1">IFERROR(__xludf.DUMMYFUNCTION("""COMPUTED_VALUE"""),"S-2")</f>
        <v>S-2</v>
      </c>
      <c r="Z98" s="3" t="str">
        <f ca="1">IFERROR(__xludf.DUMMYFUNCTION("""COMPUTED_VALUE"""),"6 Tahun 10 Bulan 27 Hari")</f>
        <v>6 Tahun 10 Bulan 27 Hari</v>
      </c>
      <c r="AA98" s="8">
        <f ca="1">IFERROR(__xludf.DUMMYFUNCTION("""COMPUTED_VALUE"""),55274)</f>
        <v>55274</v>
      </c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4"/>
      <c r="AR98" s="3"/>
      <c r="AS98" s="4"/>
      <c r="AT98" s="3"/>
      <c r="AU98" s="3"/>
    </row>
    <row r="99" spans="1:47" x14ac:dyDescent="0.2">
      <c r="A99" s="12">
        <v>98</v>
      </c>
      <c r="B99" s="3" t="str">
        <f ca="1">IFERROR(__xludf.DUMMYFUNCTION("""COMPUTED_VALUE"""),"Luqman Rico Khashogi")</f>
        <v>Luqman Rico Khashogi</v>
      </c>
      <c r="C99" s="3" t="str">
        <f ca="1">IFERROR(__xludf.DUMMYFUNCTION("""COMPUTED_VALUE"""),"Luqman Rico Khashogi, S.H.I., M.S.I.")</f>
        <v>Luqman Rico Khashogi, S.H.I., M.S.I.</v>
      </c>
      <c r="D99" s="3" t="str">
        <f ca="1">IFERROR(__xludf.DUMMYFUNCTION("""COMPUTED_VALUE"""),"Luqman Rico Khashogi, S.H.I., M.S.I.")</f>
        <v>Luqman Rico Khashogi, S.H.I., M.S.I.</v>
      </c>
      <c r="E99" s="3" t="str">
        <f ca="1">IFERROR(__xludf.DUMMYFUNCTION("""COMPUTED_VALUE"""),"198611042019031008")</f>
        <v>198611042019031008</v>
      </c>
      <c r="F99" s="3" t="str">
        <f ca="1">IFERROR(__xludf.DUMMYFUNCTION("""COMPUTED_VALUE"""),"19861104 201903 1 008")</f>
        <v>19861104 201903 1 008</v>
      </c>
      <c r="G99" s="3">
        <f ca="1">IFERROR(__xludf.DUMMYFUNCTION("""COMPUTED_VALUE"""),2004118601)</f>
        <v>2004118601</v>
      </c>
      <c r="H99" s="6" t="str">
        <f ca="1">IFERROR(__xludf.DUMMYFUNCTION("""COMPUTED_VALUE"""),"8436764665130203")</f>
        <v>8436764665130203</v>
      </c>
      <c r="I99" s="3" t="str">
        <f ca="1">IFERROR(__xludf.DUMMYFUNCTION("""COMPUTED_VALUE"""),"PNS")</f>
        <v>PNS</v>
      </c>
      <c r="J99" s="3" t="str">
        <f ca="1">IFERROR(__xludf.DUMMYFUNCTION("""COMPUTED_VALUE"""),"Dosen PNS")</f>
        <v>Dosen PNS</v>
      </c>
      <c r="K99" s="5" t="str">
        <f ca="1">IFERROR(__xludf.DUMMYFUNCTION("""COMPUTED_VALUE"""),"L")</f>
        <v>L</v>
      </c>
      <c r="L99" s="3" t="str">
        <f ca="1">IFERROR(__xludf.DUMMYFUNCTION("""COMPUTED_VALUE"""),"Yogyakarta")</f>
        <v>Yogyakarta</v>
      </c>
      <c r="M99" s="7">
        <f ca="1">IFERROR(__xludf.DUMMYFUNCTION("""COMPUTED_VALUE"""),31720)</f>
        <v>31720</v>
      </c>
      <c r="N99" s="4" t="str">
        <f ca="1">IFERROR(__xludf.DUMMYFUNCTION("""COMPUTED_VALUE"""),"Penata Tk.I")</f>
        <v>Penata Tk.I</v>
      </c>
      <c r="O99" s="3" t="str">
        <f ca="1">IFERROR(__xludf.DUMMYFUNCTION("""COMPUTED_VALUE"""),"III/d")</f>
        <v>III/d</v>
      </c>
      <c r="P99" s="7">
        <f ca="1">IFERROR(__xludf.DUMMYFUNCTION("""COMPUTED_VALUE"""),46023)</f>
        <v>46023</v>
      </c>
      <c r="Q99" s="3" t="str">
        <f ca="1">IFERROR(__xludf.DUMMYFUNCTION("""COMPUTED_VALUE"""),"219691/B.II/KP.07.1/12/2025")</f>
        <v>219691/B.II/KP.07.1/12/2025</v>
      </c>
      <c r="R99" s="3" t="str">
        <f ca="1">IFERROR(__xludf.DUMMYFUNCTION("""COMPUTED_VALUE"""),"Lektor")</f>
        <v>Lektor</v>
      </c>
      <c r="S99" s="3" t="str">
        <f ca="1">IFERROR(__xludf.DUMMYFUNCTION("""COMPUTED_VALUE"""),"Lektor")</f>
        <v>Lektor</v>
      </c>
      <c r="T99" s="7">
        <f ca="1">IFERROR(__xludf.DUMMYFUNCTION("""COMPUTED_VALUE"""),43891)</f>
        <v>43891</v>
      </c>
      <c r="U99" s="3" t="str">
        <f ca="1">IFERROR(__xludf.DUMMYFUNCTION("""COMPUTED_VALUE"""),"613/In.17/R/Kp.07.6/3/2020")</f>
        <v>613/In.17/R/Kp.07.6/3/2020</v>
      </c>
      <c r="V99" s="7">
        <f ca="1">IFERROR(__xludf.DUMMYFUNCTION("""COMPUTED_VALUE"""),43891)</f>
        <v>43891</v>
      </c>
      <c r="W99" s="3">
        <f ca="1">IFERROR(__xludf.DUMMYFUNCTION("""COMPUTED_VALUE"""),11)</f>
        <v>11</v>
      </c>
      <c r="X99" s="7" t="str">
        <f ca="1">IFERROR(__xludf.DUMMYFUNCTION("""COMPUTED_VALUE"""),"Koordinator Program Studi S-1 Perbandingan Madzhab Pada Fakultas Syariah")</f>
        <v>Koordinator Program Studi S-1 Perbandingan Madzhab Pada Fakultas Syariah</v>
      </c>
      <c r="Y99" s="3" t="str">
        <f ca="1">IFERROR(__xludf.DUMMYFUNCTION("""COMPUTED_VALUE"""),"S-2")</f>
        <v>S-2</v>
      </c>
      <c r="Z99" s="3" t="str">
        <f ca="1">IFERROR(__xludf.DUMMYFUNCTION("""COMPUTED_VALUE"""),"6 Tahun 10 Bulan 27 Hari")</f>
        <v>6 Tahun 10 Bulan 27 Hari</v>
      </c>
      <c r="AA99" s="8">
        <f ca="1">IFERROR(__xludf.DUMMYFUNCTION("""COMPUTED_VALUE"""),55488)</f>
        <v>55488</v>
      </c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4"/>
      <c r="AR99" s="3"/>
      <c r="AS99" s="4"/>
      <c r="AT99" s="3"/>
      <c r="AU99" s="3"/>
    </row>
    <row r="100" spans="1:47" x14ac:dyDescent="0.2">
      <c r="A100" s="12">
        <v>99</v>
      </c>
      <c r="B100" s="3" t="str">
        <f ca="1">IFERROR(__xludf.DUMMYFUNCTION("""COMPUTED_VALUE"""),"Lutfi Faishol")</f>
        <v>Lutfi Faishol</v>
      </c>
      <c r="C100" s="3" t="str">
        <f ca="1">IFERROR(__xludf.DUMMYFUNCTION("""COMPUTED_VALUE"""),"Lutfi Faishol, S.Sos.I., M.Pd.")</f>
        <v>Lutfi Faishol, S.Sos.I., M.Pd.</v>
      </c>
      <c r="D100" s="3" t="str">
        <f ca="1">IFERROR(__xludf.DUMMYFUNCTION("""COMPUTED_VALUE"""),"Lutfi Faishol, S.Sos.I., M.Pd.")</f>
        <v>Lutfi Faishol, S.Sos.I., M.Pd.</v>
      </c>
      <c r="E100" s="3" t="str">
        <f ca="1">IFERROR(__xludf.DUMMYFUNCTION("""COMPUTED_VALUE"""),"199210282019031013")</f>
        <v>199210282019031013</v>
      </c>
      <c r="F100" s="3" t="str">
        <f ca="1">IFERROR(__xludf.DUMMYFUNCTION("""COMPUTED_VALUE"""),"19921028 201903 1 013")</f>
        <v>19921028 201903 1 013</v>
      </c>
      <c r="G100" s="3">
        <f ca="1">IFERROR(__xludf.DUMMYFUNCTION("""COMPUTED_VALUE"""),2128109201)</f>
        <v>2128109201</v>
      </c>
      <c r="H100" s="6" t="str">
        <f ca="1">IFERROR(__xludf.DUMMYFUNCTION("""COMPUTED_VALUE"""),"5360770671130303")</f>
        <v>5360770671130303</v>
      </c>
      <c r="I100" s="3" t="str">
        <f ca="1">IFERROR(__xludf.DUMMYFUNCTION("""COMPUTED_VALUE"""),"PNS")</f>
        <v>PNS</v>
      </c>
      <c r="J100" s="3" t="str">
        <f ca="1">IFERROR(__xludf.DUMMYFUNCTION("""COMPUTED_VALUE"""),"Dosen PNS")</f>
        <v>Dosen PNS</v>
      </c>
      <c r="K100" s="5" t="str">
        <f ca="1">IFERROR(__xludf.DUMMYFUNCTION("""COMPUTED_VALUE"""),"L")</f>
        <v>L</v>
      </c>
      <c r="L100" s="3" t="str">
        <f ca="1">IFERROR(__xludf.DUMMYFUNCTION("""COMPUTED_VALUE"""),"Cilacap")</f>
        <v>Cilacap</v>
      </c>
      <c r="M100" s="9">
        <f ca="1">IFERROR(__xludf.DUMMYFUNCTION("""COMPUTED_VALUE"""),33905)</f>
        <v>33905</v>
      </c>
      <c r="N100" s="4" t="str">
        <f ca="1">IFERROR(__xludf.DUMMYFUNCTION("""COMPUTED_VALUE"""),"Penata Tk.I")</f>
        <v>Penata Tk.I</v>
      </c>
      <c r="O100" s="3" t="str">
        <f ca="1">IFERROR(__xludf.DUMMYFUNCTION("""COMPUTED_VALUE"""),"III/d")</f>
        <v>III/d</v>
      </c>
      <c r="P100" s="7">
        <f ca="1">IFERROR(__xludf.DUMMYFUNCTION("""COMPUTED_VALUE"""),46023)</f>
        <v>46023</v>
      </c>
      <c r="Q100" s="3" t="str">
        <f ca="1">IFERROR(__xludf.DUMMYFUNCTION("""COMPUTED_VALUE"""),"219694/B.II/KP.07.1/12/2025")</f>
        <v>219694/B.II/KP.07.1/12/2025</v>
      </c>
      <c r="R100" s="3" t="str">
        <f ca="1">IFERROR(__xludf.DUMMYFUNCTION("""COMPUTED_VALUE"""),"Lektor")</f>
        <v>Lektor</v>
      </c>
      <c r="S100" s="3" t="str">
        <f ca="1">IFERROR(__xludf.DUMMYFUNCTION("""COMPUTED_VALUE"""),"Lektor")</f>
        <v>Lektor</v>
      </c>
      <c r="T100" s="7">
        <f ca="1">IFERROR(__xludf.DUMMYFUNCTION("""COMPUTED_VALUE"""),44986)</f>
        <v>44986</v>
      </c>
      <c r="U100" s="3" t="str">
        <f ca="1">IFERROR(__xludf.DUMMYFUNCTION("""COMPUTED_VALUE"""),"483/Un.19/K.AUPK/Kp.07.6/3/2023")</f>
        <v>483/Un.19/K.AUPK/Kp.07.6/3/2023</v>
      </c>
      <c r="V100" s="7">
        <f ca="1">IFERROR(__xludf.DUMMYFUNCTION("""COMPUTED_VALUE"""),44986)</f>
        <v>44986</v>
      </c>
      <c r="W100" s="3">
        <f ca="1">IFERROR(__xludf.DUMMYFUNCTION("""COMPUTED_VALUE"""),11)</f>
        <v>11</v>
      </c>
      <c r="X100" s="7" t="str">
        <f ca="1">IFERROR(__xludf.DUMMYFUNCTION("""COMPUTED_VALUE"""),"Koordinator Program Studi S-1 Bimbingan Konseling Islam Pada Fakultas Dakwah")</f>
        <v>Koordinator Program Studi S-1 Bimbingan Konseling Islam Pada Fakultas Dakwah</v>
      </c>
      <c r="Y100" s="3" t="str">
        <f ca="1">IFERROR(__xludf.DUMMYFUNCTION("""COMPUTED_VALUE"""),"S-2")</f>
        <v>S-2</v>
      </c>
      <c r="Z100" s="3" t="str">
        <f ca="1">IFERROR(__xludf.DUMMYFUNCTION("""COMPUTED_VALUE"""),"6 Tahun 10 Bulan 27 Hari")</f>
        <v>6 Tahun 10 Bulan 27 Hari</v>
      </c>
      <c r="AA100" s="8">
        <f ca="1">IFERROR(__xludf.DUMMYFUNCTION("""COMPUTED_VALUE"""),57650)</f>
        <v>57650</v>
      </c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4"/>
      <c r="AR100" s="3"/>
      <c r="AS100" s="4"/>
      <c r="AT100" s="3"/>
      <c r="AU100" s="3"/>
    </row>
    <row r="101" spans="1:47" x14ac:dyDescent="0.2">
      <c r="A101" s="12">
        <v>100</v>
      </c>
      <c r="B101" s="3" t="str">
        <f ca="1">IFERROR(__xludf.DUMMYFUNCTION("""COMPUTED_VALUE"""),"M. Rifqi Atsani")</f>
        <v>M. Rifqi Atsani</v>
      </c>
      <c r="C101" s="3" t="str">
        <f ca="1">IFERROR(__xludf.DUMMYFUNCTION("""COMPUTED_VALUE"""),"M. Rifqi Atsani, M.Kom.")</f>
        <v>M. Rifqi Atsani, M.Kom.</v>
      </c>
      <c r="D101" s="3" t="str">
        <f ca="1">IFERROR(__xludf.DUMMYFUNCTION("""COMPUTED_VALUE"""),"M. Rifqi Atsani, M.Kom.")</f>
        <v>M. Rifqi Atsani, M.Kom.</v>
      </c>
      <c r="E101" s="3" t="str">
        <f ca="1">IFERROR(__xludf.DUMMYFUNCTION("""COMPUTED_VALUE"""),"199112222022031002")</f>
        <v>199112222022031002</v>
      </c>
      <c r="F101" s="3" t="str">
        <f ca="1">IFERROR(__xludf.DUMMYFUNCTION("""COMPUTED_VALUE"""),"19911222 202203 1 002")</f>
        <v>19911222 202203 1 002</v>
      </c>
      <c r="G101" s="3">
        <f ca="1">IFERROR(__xludf.DUMMYFUNCTION("""COMPUTED_VALUE"""),2022129104)</f>
        <v>2022129104</v>
      </c>
      <c r="H101" s="6" t="str">
        <f ca="1">IFERROR(__xludf.DUMMYFUNCTION("""COMPUTED_VALUE"""),"4554769670130243")</f>
        <v>4554769670130243</v>
      </c>
      <c r="I101" s="3" t="str">
        <f ca="1">IFERROR(__xludf.DUMMYFUNCTION("""COMPUTED_VALUE"""),"PNS")</f>
        <v>PNS</v>
      </c>
      <c r="J101" s="3" t="str">
        <f ca="1">IFERROR(__xludf.DUMMYFUNCTION("""COMPUTED_VALUE"""),"Dosen PNS")</f>
        <v>Dosen PNS</v>
      </c>
      <c r="K101" s="5" t="str">
        <f ca="1">IFERROR(__xludf.DUMMYFUNCTION("""COMPUTED_VALUE"""),"L")</f>
        <v>L</v>
      </c>
      <c r="L101" s="3" t="str">
        <f ca="1">IFERROR(__xludf.DUMMYFUNCTION("""COMPUTED_VALUE"""),"Banyumas")</f>
        <v>Banyumas</v>
      </c>
      <c r="M101" s="7">
        <f ca="1">IFERROR(__xludf.DUMMYFUNCTION("""COMPUTED_VALUE"""),33594)</f>
        <v>33594</v>
      </c>
      <c r="N101" s="4" t="str">
        <f ca="1">IFERROR(__xludf.DUMMYFUNCTION("""COMPUTED_VALUE"""),"Penata Muda Tk.I")</f>
        <v>Penata Muda Tk.I</v>
      </c>
      <c r="O101" s="3" t="str">
        <f ca="1">IFERROR(__xludf.DUMMYFUNCTION("""COMPUTED_VALUE"""),"III/b")</f>
        <v>III/b</v>
      </c>
      <c r="P101" s="7">
        <f ca="1">IFERROR(__xludf.DUMMYFUNCTION("""COMPUTED_VALUE"""),44986)</f>
        <v>44986</v>
      </c>
      <c r="Q101" s="3" t="str">
        <f ca="1">IFERROR(__xludf.DUMMYFUNCTION("""COMPUTED_VALUE"""),"329/Un.19/K.AUPK/KP.00.3/2/2023")</f>
        <v>329/Un.19/K.AUPK/KP.00.3/2/2023</v>
      </c>
      <c r="R101" s="3" t="str">
        <f ca="1">IFERROR(__xludf.DUMMYFUNCTION("""COMPUTED_VALUE"""),"Asisten Ahli")</f>
        <v>Asisten Ahli</v>
      </c>
      <c r="S101" s="3" t="str">
        <f ca="1">IFERROR(__xludf.DUMMYFUNCTION("""COMPUTED_VALUE"""),"Asisten Ahli")</f>
        <v>Asisten Ahli</v>
      </c>
      <c r="T101" s="7">
        <f ca="1">IFERROR(__xludf.DUMMYFUNCTION("""COMPUTED_VALUE"""),45047)</f>
        <v>45047</v>
      </c>
      <c r="U101" s="3" t="str">
        <f ca="1">IFERROR(__xludf.DUMMYFUNCTION("""COMPUTED_VALUE"""),"013483/B.II/3/2023")</f>
        <v>013483/B.II/3/2023</v>
      </c>
      <c r="V101" s="7">
        <f ca="1">IFERROR(__xludf.DUMMYFUNCTION("""COMPUTED_VALUE"""),45090)</f>
        <v>45090</v>
      </c>
      <c r="W101" s="3">
        <f ca="1">IFERROR(__xludf.DUMMYFUNCTION("""COMPUTED_VALUE"""),9)</f>
        <v>9</v>
      </c>
      <c r="X101" s="3"/>
      <c r="Y101" s="3" t="str">
        <f ca="1">IFERROR(__xludf.DUMMYFUNCTION("""COMPUTED_VALUE"""),"S-2")</f>
        <v>S-2</v>
      </c>
      <c r="Z101" s="3" t="str">
        <f ca="1">IFERROR(__xludf.DUMMYFUNCTION("""COMPUTED_VALUE"""),"3 Tahun 10 Bulan 27 Hari")</f>
        <v>3 Tahun 10 Bulan 27 Hari</v>
      </c>
      <c r="AA101" s="8">
        <f ca="1">IFERROR(__xludf.DUMMYFUNCTION("""COMPUTED_VALUE"""),57346)</f>
        <v>57346</v>
      </c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4"/>
      <c r="AR101" s="3"/>
      <c r="AS101" s="4"/>
      <c r="AT101" s="3"/>
      <c r="AU101" s="3"/>
    </row>
    <row r="102" spans="1:47" x14ac:dyDescent="0.2">
      <c r="A102" s="12">
        <v>101</v>
      </c>
      <c r="B102" s="3" t="str">
        <f ca="1">IFERROR(__xludf.DUMMYFUNCTION("""COMPUTED_VALUE"""),"M. A. Hermawan")</f>
        <v>M. A. Hermawan</v>
      </c>
      <c r="C102" s="3" t="str">
        <f ca="1">IFERROR(__xludf.DUMMYFUNCTION("""COMPUTED_VALUE"""),"M. A. Hermawan, M.S.I.")</f>
        <v>M. A. Hermawan, M.S.I.</v>
      </c>
      <c r="D102" s="3" t="str">
        <f ca="1">IFERROR(__xludf.DUMMYFUNCTION("""COMPUTED_VALUE"""),"M. A. Hermawan, M.S.I.")</f>
        <v>M. A. Hermawan, M.S.I.</v>
      </c>
      <c r="E102" s="3" t="str">
        <f ca="1">IFERROR(__xludf.DUMMYFUNCTION("""COMPUTED_VALUE"""),"197712142011011003")</f>
        <v>197712142011011003</v>
      </c>
      <c r="F102" s="3" t="str">
        <f ca="1">IFERROR(__xludf.DUMMYFUNCTION("""COMPUTED_VALUE"""),"19771214 201101 1 003")</f>
        <v>19771214 201101 1 003</v>
      </c>
      <c r="G102" s="3">
        <f ca="1">IFERROR(__xludf.DUMMYFUNCTION("""COMPUTED_VALUE"""),2014127701)</f>
        <v>2014127701</v>
      </c>
      <c r="H102" s="6" t="str">
        <f ca="1">IFERROR(__xludf.DUMMYFUNCTION("""COMPUTED_VALUE"""),"3546755656130113")</f>
        <v>3546755656130113</v>
      </c>
      <c r="I102" s="3" t="str">
        <f ca="1">IFERROR(__xludf.DUMMYFUNCTION("""COMPUTED_VALUE"""),"PNS")</f>
        <v>PNS</v>
      </c>
      <c r="J102" s="3" t="str">
        <f ca="1">IFERROR(__xludf.DUMMYFUNCTION("""COMPUTED_VALUE"""),"Dosen PNS")</f>
        <v>Dosen PNS</v>
      </c>
      <c r="K102" s="5" t="str">
        <f ca="1">IFERROR(__xludf.DUMMYFUNCTION("""COMPUTED_VALUE"""),"L")</f>
        <v>L</v>
      </c>
      <c r="L102" s="3" t="str">
        <f ca="1">IFERROR(__xludf.DUMMYFUNCTION("""COMPUTED_VALUE"""),"Wonosobo")</f>
        <v>Wonosobo</v>
      </c>
      <c r="M102" s="9">
        <f ca="1">IFERROR(__xludf.DUMMYFUNCTION("""COMPUTED_VALUE"""),28473)</f>
        <v>28473</v>
      </c>
      <c r="N102" s="4" t="str">
        <f ca="1">IFERROR(__xludf.DUMMYFUNCTION("""COMPUTED_VALUE"""),"Penata Tk.I")</f>
        <v>Penata Tk.I</v>
      </c>
      <c r="O102" s="3" t="str">
        <f ca="1">IFERROR(__xludf.DUMMYFUNCTION("""COMPUTED_VALUE"""),"III/d")</f>
        <v>III/d</v>
      </c>
      <c r="P102" s="7">
        <f ca="1">IFERROR(__xludf.DUMMYFUNCTION("""COMPUTED_VALUE"""),45200)</f>
        <v>45200</v>
      </c>
      <c r="Q102" s="3" t="str">
        <f ca="1">IFERROR(__xludf.DUMMYFUNCTION("""COMPUTED_VALUE"""),"1118/Un.19/K.AUPK/KP.07.1/08/2023")</f>
        <v>1118/Un.19/K.AUPK/KP.07.1/08/2023</v>
      </c>
      <c r="R102" s="3" t="str">
        <f ca="1">IFERROR(__xludf.DUMMYFUNCTION("""COMPUTED_VALUE"""),"Lektor")</f>
        <v>Lektor</v>
      </c>
      <c r="S102" s="3" t="str">
        <f ca="1">IFERROR(__xludf.DUMMYFUNCTION("""COMPUTED_VALUE"""),"Lektor")</f>
        <v>Lektor</v>
      </c>
      <c r="T102" s="7">
        <f ca="1">IFERROR(__xludf.DUMMYFUNCTION("""COMPUTED_VALUE"""),42552)</f>
        <v>42552</v>
      </c>
      <c r="U102" s="3"/>
      <c r="V102" s="3"/>
      <c r="W102" s="3">
        <f ca="1">IFERROR(__xludf.DUMMYFUNCTION("""COMPUTED_VALUE"""),11)</f>
        <v>11</v>
      </c>
      <c r="X102" s="7" t="str">
        <f ca="1">IFERROR(__xludf.DUMMYFUNCTION("""COMPUTED_VALUE"""),"Kepala Pusat Penelitian Pada Lembaga Penelitian dan Pengabdian Kepada Masyarakat")</f>
        <v>Kepala Pusat Penelitian Pada Lembaga Penelitian dan Pengabdian Kepada Masyarakat</v>
      </c>
      <c r="Y102" s="3" t="str">
        <f ca="1">IFERROR(__xludf.DUMMYFUNCTION("""COMPUTED_VALUE"""),"S-2")</f>
        <v>S-2</v>
      </c>
      <c r="Z102" s="3" t="str">
        <f ca="1">IFERROR(__xludf.DUMMYFUNCTION("""COMPUTED_VALUE"""),"15 Tahun 0 Bulan 27 Hari")</f>
        <v>15 Tahun 0 Bulan 27 Hari</v>
      </c>
      <c r="AA102" s="8">
        <f ca="1">IFERROR(__xludf.DUMMYFUNCTION("""COMPUTED_VALUE"""),52232)</f>
        <v>52232</v>
      </c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4"/>
      <c r="AR102" s="3"/>
      <c r="AS102" s="4"/>
      <c r="AT102" s="3"/>
      <c r="AU102" s="3"/>
    </row>
    <row r="103" spans="1:47" x14ac:dyDescent="0.2">
      <c r="A103" s="12">
        <v>102</v>
      </c>
      <c r="B103" s="3" t="str">
        <f ca="1">IFERROR(__xludf.DUMMYFUNCTION("""COMPUTED_VALUE"""),"M. Misbah")</f>
        <v>M. Misbah</v>
      </c>
      <c r="C103" s="3" t="str">
        <f ca="1">IFERROR(__xludf.DUMMYFUNCTION("""COMPUTED_VALUE"""),"Dr. H. M. Misbah, M.Ag.")</f>
        <v>Dr. H. M. Misbah, M.Ag.</v>
      </c>
      <c r="D103" s="3" t="str">
        <f ca="1">IFERROR(__xludf.DUMMYFUNCTION("""COMPUTED_VALUE"""),"Dr. H. M. Misbah, M.Ag.")</f>
        <v>Dr. H. M. Misbah, M.Ag.</v>
      </c>
      <c r="E103" s="3" t="str">
        <f ca="1">IFERROR(__xludf.DUMMYFUNCTION("""COMPUTED_VALUE"""),"197411162003121001")</f>
        <v>197411162003121001</v>
      </c>
      <c r="F103" s="3" t="str">
        <f ca="1">IFERROR(__xludf.DUMMYFUNCTION("""COMPUTED_VALUE"""),"19741116 200312 1 001")</f>
        <v>19741116 200312 1 001</v>
      </c>
      <c r="G103" s="3">
        <f ca="1">IFERROR(__xludf.DUMMYFUNCTION("""COMPUTED_VALUE"""),2016117401)</f>
        <v>2016117401</v>
      </c>
      <c r="H103" s="6" t="str">
        <f ca="1">IFERROR(__xludf.DUMMYFUNCTION("""COMPUTED_VALUE"""),"2448752653130093")</f>
        <v>2448752653130093</v>
      </c>
      <c r="I103" s="3" t="str">
        <f ca="1">IFERROR(__xludf.DUMMYFUNCTION("""COMPUTED_VALUE"""),"PNS")</f>
        <v>PNS</v>
      </c>
      <c r="J103" s="3" t="str">
        <f ca="1">IFERROR(__xludf.DUMMYFUNCTION("""COMPUTED_VALUE"""),"Dosen PNS")</f>
        <v>Dosen PNS</v>
      </c>
      <c r="K103" s="5" t="str">
        <f ca="1">IFERROR(__xludf.DUMMYFUNCTION("""COMPUTED_VALUE"""),"L")</f>
        <v>L</v>
      </c>
      <c r="L103" s="3" t="str">
        <f ca="1">IFERROR(__xludf.DUMMYFUNCTION("""COMPUTED_VALUE"""),"Tegal")</f>
        <v>Tegal</v>
      </c>
      <c r="M103" s="9">
        <f ca="1">IFERROR(__xludf.DUMMYFUNCTION("""COMPUTED_VALUE"""),27349)</f>
        <v>27349</v>
      </c>
      <c r="N103" s="4" t="str">
        <f ca="1">IFERROR(__xludf.DUMMYFUNCTION("""COMPUTED_VALUE"""),"Pembina Utama Muda")</f>
        <v>Pembina Utama Muda</v>
      </c>
      <c r="O103" s="3" t="str">
        <f ca="1">IFERROR(__xludf.DUMMYFUNCTION("""COMPUTED_VALUE"""),"IV/c")</f>
        <v>IV/c</v>
      </c>
      <c r="P103" s="7">
        <f ca="1">IFERROR(__xludf.DUMMYFUNCTION("""COMPUTED_VALUE"""),45931)</f>
        <v>45931</v>
      </c>
      <c r="Q103" s="3" t="str">
        <f ca="1">IFERROR(__xludf.DUMMYFUNCTION("""COMPUTED_VALUE"""),"00502/KEP/AA/15001/25")</f>
        <v>00502/KEP/AA/15001/25</v>
      </c>
      <c r="R103" s="3" t="str">
        <f ca="1">IFERROR(__xludf.DUMMYFUNCTION("""COMPUTED_VALUE"""),"Lektor Kepala")</f>
        <v>Lektor Kepala</v>
      </c>
      <c r="S103" s="3" t="str">
        <f ca="1">IFERROR(__xludf.DUMMYFUNCTION("""COMPUTED_VALUE"""),"Lektor Kepala")</f>
        <v>Lektor Kepala</v>
      </c>
      <c r="T103" s="7">
        <f ca="1">IFERROR(__xludf.DUMMYFUNCTION("""COMPUTED_VALUE"""),42278)</f>
        <v>42278</v>
      </c>
      <c r="U103" s="3" t="str">
        <f ca="1">IFERROR(__xludf.DUMMYFUNCTION("""COMPUTED_VALUE"""),"B.III/3/06022")</f>
        <v>B.III/3/06022</v>
      </c>
      <c r="V103" s="7">
        <f ca="1">IFERROR(__xludf.DUMMYFUNCTION("""COMPUTED_VALUE"""),42461)</f>
        <v>42461</v>
      </c>
      <c r="W103" s="3">
        <f ca="1">IFERROR(__xludf.DUMMYFUNCTION("""COMPUTED_VALUE"""),13)</f>
        <v>13</v>
      </c>
      <c r="X103" s="7" t="str">
        <f ca="1">IFERROR(__xludf.DUMMYFUNCTION("""COMPUTED_VALUE"""),"Ketua Jurusan Pendidikan Islam Pada Fakultas Tarbiyah dan Ilmu Keguruan")</f>
        <v>Ketua Jurusan Pendidikan Islam Pada Fakultas Tarbiyah dan Ilmu Keguruan</v>
      </c>
      <c r="Y103" s="3" t="str">
        <f ca="1">IFERROR(__xludf.DUMMYFUNCTION("""COMPUTED_VALUE"""),"S-3")</f>
        <v>S-3</v>
      </c>
      <c r="Z103" s="3" t="str">
        <f ca="1">IFERROR(__xludf.DUMMYFUNCTION("""COMPUTED_VALUE"""),"22 Tahun 1 Bulan 27 Hari")</f>
        <v>22 Tahun 1 Bulan 27 Hari</v>
      </c>
      <c r="AA103" s="8">
        <f ca="1">IFERROR(__xludf.DUMMYFUNCTION("""COMPUTED_VALUE"""),51105)</f>
        <v>51105</v>
      </c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4"/>
      <c r="AR103" s="3"/>
      <c r="AS103" s="4"/>
      <c r="AT103" s="3"/>
      <c r="AU103" s="3"/>
    </row>
    <row r="104" spans="1:47" x14ac:dyDescent="0.2">
      <c r="A104" s="12">
        <v>103</v>
      </c>
      <c r="B104" s="3" t="str">
        <f ca="1">IFERROR(__xludf.DUMMYFUNCTION("""COMPUTED_VALUE"""),"Mohammad Safwan Mabrur Abdul Halim")</f>
        <v>Mohammad Safwan Mabrur Abdul Halim</v>
      </c>
      <c r="C104" s="3" t="str">
        <f ca="1">IFERROR(__xludf.DUMMYFUNCTION("""COMPUTED_VALUE"""),"Dr. H. Mohammad Safwan Mabrur Abdul Halim, M.A.")</f>
        <v>Dr. H. Mohammad Safwan Mabrur Abdul Halim, M.A.</v>
      </c>
      <c r="D104" s="3" t="str">
        <f ca="1">IFERROR(__xludf.DUMMYFUNCTION("""COMPUTED_VALUE"""),"Dr. H. Mohammad Safwan Mabrur Abdul Halim, M.A.")</f>
        <v>Dr. H. Mohammad Safwan Mabrur Abdul Halim, M.A.</v>
      </c>
      <c r="E104" s="3" t="str">
        <f ca="1">IFERROR(__xludf.DUMMYFUNCTION("""COMPUTED_VALUE"""),"197303062008011026")</f>
        <v>197303062008011026</v>
      </c>
      <c r="F104" s="3" t="str">
        <f ca="1">IFERROR(__xludf.DUMMYFUNCTION("""COMPUTED_VALUE"""),"19730306 200801 1 026")</f>
        <v>19730306 200801 1 026</v>
      </c>
      <c r="G104" s="3">
        <f ca="1">IFERROR(__xludf.DUMMYFUNCTION("""COMPUTED_VALUE"""),2006037304)</f>
        <v>2006037304</v>
      </c>
      <c r="H104" s="6" t="str">
        <f ca="1">IFERROR(__xludf.DUMMYFUNCTION("""COMPUTED_VALUE"""),"9638751652130122")</f>
        <v>9638751652130122</v>
      </c>
      <c r="I104" s="3" t="str">
        <f ca="1">IFERROR(__xludf.DUMMYFUNCTION("""COMPUTED_VALUE"""),"PNS")</f>
        <v>PNS</v>
      </c>
      <c r="J104" s="3" t="str">
        <f ca="1">IFERROR(__xludf.DUMMYFUNCTION("""COMPUTED_VALUE"""),"Dosen PNS")</f>
        <v>Dosen PNS</v>
      </c>
      <c r="K104" s="5" t="str">
        <f ca="1">IFERROR(__xludf.DUMMYFUNCTION("""COMPUTED_VALUE"""),"L")</f>
        <v>L</v>
      </c>
      <c r="L104" s="3" t="str">
        <f ca="1">IFERROR(__xludf.DUMMYFUNCTION("""COMPUTED_VALUE"""),"Cilacap")</f>
        <v>Cilacap</v>
      </c>
      <c r="M104" s="7">
        <f ca="1">IFERROR(__xludf.DUMMYFUNCTION("""COMPUTED_VALUE"""),26729)</f>
        <v>26729</v>
      </c>
      <c r="N104" s="4" t="str">
        <f ca="1">IFERROR(__xludf.DUMMYFUNCTION("""COMPUTED_VALUE"""),"Penata Tk.I")</f>
        <v>Penata Tk.I</v>
      </c>
      <c r="O104" s="3" t="str">
        <f ca="1">IFERROR(__xludf.DUMMYFUNCTION("""COMPUTED_VALUE"""),"III/d")</f>
        <v>III/d</v>
      </c>
      <c r="P104" s="7">
        <f ca="1">IFERROR(__xludf.DUMMYFUNCTION("""COMPUTED_VALUE"""),45200)</f>
        <v>45200</v>
      </c>
      <c r="Q104" s="3" t="str">
        <f ca="1">IFERROR(__xludf.DUMMYFUNCTION("""COMPUTED_VALUE"""),"1092/Un.19/K.AUPK/KP.07.1/08/2023")</f>
        <v>1092/Un.19/K.AUPK/KP.07.1/08/2023</v>
      </c>
      <c r="R104" s="3" t="str">
        <f ca="1">IFERROR(__xludf.DUMMYFUNCTION("""COMPUTED_VALUE"""),"Lektor")</f>
        <v>Lektor</v>
      </c>
      <c r="S104" s="3" t="str">
        <f ca="1">IFERROR(__xludf.DUMMYFUNCTION("""COMPUTED_VALUE"""),"Lektor")</f>
        <v>Lektor</v>
      </c>
      <c r="T104" s="7">
        <f ca="1">IFERROR(__xludf.DUMMYFUNCTION("""COMPUTED_VALUE"""),42887)</f>
        <v>42887</v>
      </c>
      <c r="U104" s="3"/>
      <c r="V104" s="3"/>
      <c r="W104" s="3">
        <f ca="1">IFERROR(__xludf.DUMMYFUNCTION("""COMPUTED_VALUE"""),11)</f>
        <v>11</v>
      </c>
      <c r="X104" s="3"/>
      <c r="Y104" s="3" t="str">
        <f ca="1">IFERROR(__xludf.DUMMYFUNCTION("""COMPUTED_VALUE"""),"S-3")</f>
        <v>S-3</v>
      </c>
      <c r="Z104" s="3" t="str">
        <f ca="1">IFERROR(__xludf.DUMMYFUNCTION("""COMPUTED_VALUE"""),"18 Tahun 0 Bulan 27 Hari")</f>
        <v>18 Tahun 0 Bulan 27 Hari</v>
      </c>
      <c r="AA104" s="8">
        <f ca="1">IFERROR(__xludf.DUMMYFUNCTION("""COMPUTED_VALUE"""),50496)</f>
        <v>50496</v>
      </c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4"/>
      <c r="AR104" s="3"/>
      <c r="AS104" s="4"/>
      <c r="AT104" s="3"/>
      <c r="AU104" s="3"/>
    </row>
    <row r="105" spans="1:47" x14ac:dyDescent="0.2">
      <c r="A105" s="12">
        <v>104</v>
      </c>
      <c r="B105" s="3" t="str">
        <f ca="1">IFERROR(__xludf.DUMMYFUNCTION("""COMPUTED_VALUE"""),"M. Wildan Humaidi")</f>
        <v>M. Wildan Humaidi</v>
      </c>
      <c r="C105" s="3" t="str">
        <f ca="1">IFERROR(__xludf.DUMMYFUNCTION("""COMPUTED_VALUE"""),"M. Wildan Humaidi, S.H.I., M.H.")</f>
        <v>M. Wildan Humaidi, S.H.I., M.H.</v>
      </c>
      <c r="D105" s="3" t="str">
        <f ca="1">IFERROR(__xludf.DUMMYFUNCTION("""COMPUTED_VALUE"""),"M. Wildan Humaidi, S.H.I., M.H.")</f>
        <v>M. Wildan Humaidi, S.H.I., M.H.</v>
      </c>
      <c r="E105" s="3" t="str">
        <f ca="1">IFERROR(__xludf.DUMMYFUNCTION("""COMPUTED_VALUE"""),"198909292019031021")</f>
        <v>198909292019031021</v>
      </c>
      <c r="F105" s="3" t="str">
        <f ca="1">IFERROR(__xludf.DUMMYFUNCTION("""COMPUTED_VALUE"""),"19890929 201903 1 021")</f>
        <v>19890929 201903 1 021</v>
      </c>
      <c r="G105" s="3">
        <f ca="1">IFERROR(__xludf.DUMMYFUNCTION("""COMPUTED_VALUE"""),2021088901)</f>
        <v>2021088901</v>
      </c>
      <c r="H105" s="6" t="str">
        <f ca="1">IFERROR(__xludf.DUMMYFUNCTION("""COMPUTED_VALUE"""),"2261767668130413")</f>
        <v>2261767668130413</v>
      </c>
      <c r="I105" s="3" t="str">
        <f ca="1">IFERROR(__xludf.DUMMYFUNCTION("""COMPUTED_VALUE"""),"PNS")</f>
        <v>PNS</v>
      </c>
      <c r="J105" s="3" t="str">
        <f ca="1">IFERROR(__xludf.DUMMYFUNCTION("""COMPUTED_VALUE"""),"Dosen PNS")</f>
        <v>Dosen PNS</v>
      </c>
      <c r="K105" s="5" t="str">
        <f ca="1">IFERROR(__xludf.DUMMYFUNCTION("""COMPUTED_VALUE"""),"L")</f>
        <v>L</v>
      </c>
      <c r="L105" s="3" t="str">
        <f ca="1">IFERROR(__xludf.DUMMYFUNCTION("""COMPUTED_VALUE"""),"Kediri")</f>
        <v>Kediri</v>
      </c>
      <c r="M105" s="7">
        <f ca="1">IFERROR(__xludf.DUMMYFUNCTION("""COMPUTED_VALUE"""),32780)</f>
        <v>32780</v>
      </c>
      <c r="N105" s="4" t="str">
        <f ca="1">IFERROR(__xludf.DUMMYFUNCTION("""COMPUTED_VALUE"""),"Penata Tk.I")</f>
        <v>Penata Tk.I</v>
      </c>
      <c r="O105" s="3" t="str">
        <f ca="1">IFERROR(__xludf.DUMMYFUNCTION("""COMPUTED_VALUE"""),"III/d")</f>
        <v>III/d</v>
      </c>
      <c r="P105" s="7">
        <f ca="1">IFERROR(__xludf.DUMMYFUNCTION("""COMPUTED_VALUE"""),45992)</f>
        <v>45992</v>
      </c>
      <c r="Q105" s="3" t="str">
        <f ca="1">IFERROR(__xludf.DUMMYFUNCTION("""COMPUTED_VALUE"""),"214550/B.II/KP.07.1/11/2025")</f>
        <v>214550/B.II/KP.07.1/11/2025</v>
      </c>
      <c r="R105" s="3" t="str">
        <f ca="1">IFERROR(__xludf.DUMMYFUNCTION("""COMPUTED_VALUE"""),"Lektor")</f>
        <v>Lektor</v>
      </c>
      <c r="S105" s="3" t="str">
        <f ca="1">IFERROR(__xludf.DUMMYFUNCTION("""COMPUTED_VALUE"""),"Lektor")</f>
        <v>Lektor</v>
      </c>
      <c r="T105" s="7">
        <f ca="1">IFERROR(__xludf.DUMMYFUNCTION("""COMPUTED_VALUE"""),43891)</f>
        <v>43891</v>
      </c>
      <c r="U105" s="3" t="str">
        <f ca="1">IFERROR(__xludf.DUMMYFUNCTION("""COMPUTED_VALUE"""),"614/In.17/R/Kp.07.6/3/2020")</f>
        <v>614/In.17/R/Kp.07.6/3/2020</v>
      </c>
      <c r="V105" s="7">
        <f ca="1">IFERROR(__xludf.DUMMYFUNCTION("""COMPUTED_VALUE"""),43891)</f>
        <v>43891</v>
      </c>
      <c r="W105" s="3">
        <f ca="1">IFERROR(__xludf.DUMMYFUNCTION("""COMPUTED_VALUE"""),11)</f>
        <v>11</v>
      </c>
      <c r="X105" s="7" t="str">
        <f ca="1">IFERROR(__xludf.DUMMYFUNCTION("""COMPUTED_VALUE"""),"Ketua Jurusan Hukum Ekonomi dan Tata Negara Pada Fakultas Syariah")</f>
        <v>Ketua Jurusan Hukum Ekonomi dan Tata Negara Pada Fakultas Syariah</v>
      </c>
      <c r="Y105" s="3" t="str">
        <f ca="1">IFERROR(__xludf.DUMMYFUNCTION("""COMPUTED_VALUE"""),"S-2")</f>
        <v>S-2</v>
      </c>
      <c r="Z105" s="3" t="str">
        <f ca="1">IFERROR(__xludf.DUMMYFUNCTION("""COMPUTED_VALUE"""),"6 Tahun 10 Bulan 27 Hari")</f>
        <v>6 Tahun 10 Bulan 27 Hari</v>
      </c>
      <c r="AA105" s="8">
        <f ca="1">IFERROR(__xludf.DUMMYFUNCTION("""COMPUTED_VALUE"""),56523)</f>
        <v>56523</v>
      </c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4"/>
      <c r="AR105" s="3"/>
      <c r="AS105" s="4"/>
      <c r="AT105" s="3"/>
      <c r="AU105" s="3"/>
    </row>
    <row r="106" spans="1:47" x14ac:dyDescent="0.2">
      <c r="A106" s="12">
        <v>105</v>
      </c>
      <c r="B106" s="3" t="str">
        <f ca="1">IFERROR(__xludf.DUMMYFUNCTION("""COMPUTED_VALUE"""),"Ma'ruf Hidayat")</f>
        <v>Ma'ruf Hidayat</v>
      </c>
      <c r="C106" s="3" t="str">
        <f ca="1">IFERROR(__xludf.DUMMYFUNCTION("""COMPUTED_VALUE"""),"Ma'ruf Hidayat, M.H.")</f>
        <v>Ma'ruf Hidayat, M.H.</v>
      </c>
      <c r="D106" s="3" t="str">
        <f ca="1">IFERROR(__xludf.DUMMYFUNCTION("""COMPUTED_VALUE"""),"Ma'ruf Hidayat, M.H.")</f>
        <v>Ma'ruf Hidayat, M.H.</v>
      </c>
      <c r="E106" s="3" t="str">
        <f ca="1">IFERROR(__xludf.DUMMYFUNCTION("""COMPUTED_VALUE"""),"199406042019031012")</f>
        <v>199406042019031012</v>
      </c>
      <c r="F106" s="3" t="str">
        <f ca="1">IFERROR(__xludf.DUMMYFUNCTION("""COMPUTED_VALUE"""),"19940604 201903 1 012")</f>
        <v>19940604 201903 1 012</v>
      </c>
      <c r="G106" s="3">
        <f ca="1">IFERROR(__xludf.DUMMYFUNCTION("""COMPUTED_VALUE"""),2004069402)</f>
        <v>2004069402</v>
      </c>
      <c r="H106" s="6" t="str">
        <f ca="1">IFERROR(__xludf.DUMMYFUNCTION("""COMPUTED_VALUE"""),"8936772673130272")</f>
        <v>8936772673130272</v>
      </c>
      <c r="I106" s="3" t="str">
        <f ca="1">IFERROR(__xludf.DUMMYFUNCTION("""COMPUTED_VALUE"""),"PNS")</f>
        <v>PNS</v>
      </c>
      <c r="J106" s="3" t="str">
        <f ca="1">IFERROR(__xludf.DUMMYFUNCTION("""COMPUTED_VALUE"""),"Dosen PNS")</f>
        <v>Dosen PNS</v>
      </c>
      <c r="K106" s="5" t="str">
        <f ca="1">IFERROR(__xludf.DUMMYFUNCTION("""COMPUTED_VALUE"""),"L")</f>
        <v>L</v>
      </c>
      <c r="L106" s="3" t="str">
        <f ca="1">IFERROR(__xludf.DUMMYFUNCTION("""COMPUTED_VALUE"""),"Ciamis")</f>
        <v>Ciamis</v>
      </c>
      <c r="M106" s="7">
        <f ca="1">IFERROR(__xludf.DUMMYFUNCTION("""COMPUTED_VALUE"""),34489)</f>
        <v>34489</v>
      </c>
      <c r="N106" s="4" t="str">
        <f ca="1">IFERROR(__xludf.DUMMYFUNCTION("""COMPUTED_VALUE"""),"Penata")</f>
        <v>Penata</v>
      </c>
      <c r="O106" s="3" t="str">
        <f ca="1">IFERROR(__xludf.DUMMYFUNCTION("""COMPUTED_VALUE"""),"III/c")</f>
        <v>III/c</v>
      </c>
      <c r="P106" s="7">
        <f ca="1">IFERROR(__xludf.DUMMYFUNCTION("""COMPUTED_VALUE"""),45809)</f>
        <v>45809</v>
      </c>
      <c r="Q106" s="3" t="str">
        <f ca="1">IFERROR(__xludf.DUMMYFUNCTION("""COMPUTED_VALUE"""),"186497/B.II/KP.07.1/05/2025")</f>
        <v>186497/B.II/KP.07.1/05/2025</v>
      </c>
      <c r="R106" s="3" t="str">
        <f ca="1">IFERROR(__xludf.DUMMYFUNCTION("""COMPUTED_VALUE"""),"Lektor")</f>
        <v>Lektor</v>
      </c>
      <c r="S106" s="3" t="str">
        <f ca="1">IFERROR(__xludf.DUMMYFUNCTION("""COMPUTED_VALUE"""),"Lektor")</f>
        <v>Lektor</v>
      </c>
      <c r="T106" s="7">
        <f ca="1">IFERROR(__xludf.DUMMYFUNCTION("""COMPUTED_VALUE"""),45717)</f>
        <v>45717</v>
      </c>
      <c r="U106" s="3" t="str">
        <f ca="1">IFERROR(__xludf.DUMMYFUNCTION("""COMPUTED_VALUE"""),"310/Un.19/R/KP.08.1/3/2025")</f>
        <v>310/Un.19/R/KP.08.1/3/2025</v>
      </c>
      <c r="V106" s="7">
        <f ca="1">IFERROR(__xludf.DUMMYFUNCTION("""COMPUTED_VALUE"""),45741)</f>
        <v>45741</v>
      </c>
      <c r="W106" s="3">
        <f ca="1">IFERROR(__xludf.DUMMYFUNCTION("""COMPUTED_VALUE"""),11)</f>
        <v>11</v>
      </c>
      <c r="X106" s="3"/>
      <c r="Y106" s="3" t="str">
        <f ca="1">IFERROR(__xludf.DUMMYFUNCTION("""COMPUTED_VALUE"""),"S-2")</f>
        <v>S-2</v>
      </c>
      <c r="Z106" s="3" t="str">
        <f ca="1">IFERROR(__xludf.DUMMYFUNCTION("""COMPUTED_VALUE"""),"6 Tahun 10 Bulan 27 Hari")</f>
        <v>6 Tahun 10 Bulan 27 Hari</v>
      </c>
      <c r="AA106" s="8">
        <f ca="1">IFERROR(__xludf.DUMMYFUNCTION("""COMPUTED_VALUE"""),58257)</f>
        <v>58257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4"/>
      <c r="AR106" s="3"/>
      <c r="AS106" s="4"/>
      <c r="AT106" s="3"/>
      <c r="AU106" s="3"/>
    </row>
    <row r="107" spans="1:47" x14ac:dyDescent="0.2">
      <c r="A107" s="12">
        <v>106</v>
      </c>
      <c r="B107" s="3" t="str">
        <f ca="1">IFERROR(__xludf.DUMMYFUNCTION("""COMPUTED_VALUE"""),"Maghfira Febriana")</f>
        <v>Maghfira Febriana</v>
      </c>
      <c r="C107" s="3" t="str">
        <f ca="1">IFERROR(__xludf.DUMMYFUNCTION("""COMPUTED_VALUE"""),"Maghfira Febriana, M.Pd.")</f>
        <v>Maghfira Febriana, M.Pd.</v>
      </c>
      <c r="D107" s="3" t="str">
        <f ca="1">IFERROR(__xludf.DUMMYFUNCTION("""COMPUTED_VALUE"""),"Maghfira Febriana, M.Pd.")</f>
        <v>Maghfira Febriana, M.Pd.</v>
      </c>
      <c r="E107" s="3" t="str">
        <f ca="1">IFERROR(__xludf.DUMMYFUNCTION("""COMPUTED_VALUE"""),"199402192020122017")</f>
        <v>199402192020122017</v>
      </c>
      <c r="F107" s="3" t="str">
        <f ca="1">IFERROR(__xludf.DUMMYFUNCTION("""COMPUTED_VALUE"""),"‌19940219 202012 2 017")</f>
        <v>‌19940219 202012 2 017</v>
      </c>
      <c r="G107" s="3">
        <f ca="1">IFERROR(__xludf.DUMMYFUNCTION("""COMPUTED_VALUE"""),2013029403)</f>
        <v>2013029403</v>
      </c>
      <c r="H107" s="6" t="str">
        <f ca="1">IFERROR(__xludf.DUMMYFUNCTION("""COMPUTED_VALUE"""),"1551772673130072")</f>
        <v>1551772673130072</v>
      </c>
      <c r="I107" s="3" t="str">
        <f ca="1">IFERROR(__xludf.DUMMYFUNCTION("""COMPUTED_VALUE"""),"PNS")</f>
        <v>PNS</v>
      </c>
      <c r="J107" s="3" t="str">
        <f ca="1">IFERROR(__xludf.DUMMYFUNCTION("""COMPUTED_VALUE"""),"Dosen PNS")</f>
        <v>Dosen PNS</v>
      </c>
      <c r="K107" s="5" t="str">
        <f ca="1">IFERROR(__xludf.DUMMYFUNCTION("""COMPUTED_VALUE"""),"P")</f>
        <v>P</v>
      </c>
      <c r="L107" s="3" t="str">
        <f ca="1">IFERROR(__xludf.DUMMYFUNCTION("""COMPUTED_VALUE"""),"Temanggung")</f>
        <v>Temanggung</v>
      </c>
      <c r="M107" s="7">
        <f ca="1">IFERROR(__xludf.DUMMYFUNCTION("""COMPUTED_VALUE"""),34384)</f>
        <v>34384</v>
      </c>
      <c r="N107" s="4" t="str">
        <f ca="1">IFERROR(__xludf.DUMMYFUNCTION("""COMPUTED_VALUE"""),"Penata Muda Tk.I")</f>
        <v>Penata Muda Tk.I</v>
      </c>
      <c r="O107" s="3" t="str">
        <f ca="1">IFERROR(__xludf.DUMMYFUNCTION("""COMPUTED_VALUE"""),"III/b")</f>
        <v>III/b</v>
      </c>
      <c r="P107" s="7">
        <f ca="1">IFERROR(__xludf.DUMMYFUNCTION("""COMPUTED_VALUE"""),44562)</f>
        <v>44562</v>
      </c>
      <c r="Q107" s="3" t="str">
        <f ca="1">IFERROR(__xludf.DUMMYFUNCTION("""COMPUTED_VALUE"""),"3583/Un.19/R/KP.00.3/12/2021")</f>
        <v>3583/Un.19/R/KP.00.3/12/2021</v>
      </c>
      <c r="R107" s="3" t="str">
        <f ca="1">IFERROR(__xludf.DUMMYFUNCTION("""COMPUTED_VALUE"""),"Asisten Ahli")</f>
        <v>Asisten Ahli</v>
      </c>
      <c r="S107" s="3" t="str">
        <f ca="1">IFERROR(__xludf.DUMMYFUNCTION("""COMPUTED_VALUE"""),"Asisten Ahli")</f>
        <v>Asisten Ahli</v>
      </c>
      <c r="T107" s="7">
        <f ca="1">IFERROR(__xludf.DUMMYFUNCTION("""COMPUTED_VALUE"""),44805)</f>
        <v>44805</v>
      </c>
      <c r="U107" s="3" t="str">
        <f ca="1">IFERROR(__xludf.DUMMYFUNCTION("""COMPUTED_VALUE"""),"039209/B.II/3/2022")</f>
        <v>039209/B.II/3/2022</v>
      </c>
      <c r="V107" s="7">
        <f ca="1">IFERROR(__xludf.DUMMYFUNCTION("""COMPUTED_VALUE"""),44804)</f>
        <v>44804</v>
      </c>
      <c r="W107" s="3">
        <f ca="1">IFERROR(__xludf.DUMMYFUNCTION("""COMPUTED_VALUE"""),9)</f>
        <v>9</v>
      </c>
      <c r="X107" s="3"/>
      <c r="Y107" s="3" t="str">
        <f ca="1">IFERROR(__xludf.DUMMYFUNCTION("""COMPUTED_VALUE"""),"S-2")</f>
        <v>S-2</v>
      </c>
      <c r="Z107" s="3" t="str">
        <f ca="1">IFERROR(__xludf.DUMMYFUNCTION("""COMPUTED_VALUE"""),"5 Tahun 1 Bulan 27 Hari")</f>
        <v>5 Tahun 1 Bulan 27 Hari</v>
      </c>
      <c r="AA107" s="8">
        <f ca="1">IFERROR(__xludf.DUMMYFUNCTION("""COMPUTED_VALUE"""),58135)</f>
        <v>58135</v>
      </c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4"/>
      <c r="AR107" s="3"/>
      <c r="AS107" s="4"/>
      <c r="AT107" s="3"/>
      <c r="AU107" s="3"/>
    </row>
    <row r="108" spans="1:47" x14ac:dyDescent="0.2">
      <c r="A108" s="12">
        <v>107</v>
      </c>
      <c r="B108" s="3" t="str">
        <f ca="1">IFERROR(__xludf.DUMMYFUNCTION("""COMPUTED_VALUE"""),"Malia Fransisca")</f>
        <v>Malia Fransisca</v>
      </c>
      <c r="C108" s="3" t="str">
        <f ca="1">IFERROR(__xludf.DUMMYFUNCTION("""COMPUTED_VALUE"""),"Malia Fransisca, S.Hum., M.Pd.I.")</f>
        <v>Malia Fransisca, S.Hum., M.Pd.I.</v>
      </c>
      <c r="D108" s="3" t="str">
        <f ca="1">IFERROR(__xludf.DUMMYFUNCTION("""COMPUTED_VALUE"""),"Malia Fransisca, S.Hum., M.Pd.I.")</f>
        <v>Malia Fransisca, S.Hum., M.Pd.I.</v>
      </c>
      <c r="E108" s="3" t="str">
        <f ca="1">IFERROR(__xludf.DUMMYFUNCTION("""COMPUTED_VALUE"""),"199005202020122007")</f>
        <v>199005202020122007</v>
      </c>
      <c r="F108" s="3" t="str">
        <f ca="1">IFERROR(__xludf.DUMMYFUNCTION("""COMPUTED_VALUE"""),"‌19900520 202012 2 007")</f>
        <v>‌19900520 202012 2 007</v>
      </c>
      <c r="G108" s="3">
        <f ca="1">IFERROR(__xludf.DUMMYFUNCTION("""COMPUTED_VALUE"""),2120059004)</f>
        <v>2120059004</v>
      </c>
      <c r="H108" s="6" t="str">
        <f ca="1">IFERROR(__xludf.DUMMYFUNCTION("""COMPUTED_VALUE"""),"8852768669230372")</f>
        <v>8852768669230372</v>
      </c>
      <c r="I108" s="3" t="str">
        <f ca="1">IFERROR(__xludf.DUMMYFUNCTION("""COMPUTED_VALUE"""),"PNS")</f>
        <v>PNS</v>
      </c>
      <c r="J108" s="3" t="str">
        <f ca="1">IFERROR(__xludf.DUMMYFUNCTION("""COMPUTED_VALUE"""),"Dosen PNS")</f>
        <v>Dosen PNS</v>
      </c>
      <c r="K108" s="5" t="str">
        <f ca="1">IFERROR(__xludf.DUMMYFUNCTION("""COMPUTED_VALUE"""),"P")</f>
        <v>P</v>
      </c>
      <c r="L108" s="3" t="str">
        <f ca="1">IFERROR(__xludf.DUMMYFUNCTION("""COMPUTED_VALUE"""),"Sidoarjo")</f>
        <v>Sidoarjo</v>
      </c>
      <c r="M108" s="7">
        <f ca="1">IFERROR(__xludf.DUMMYFUNCTION("""COMPUTED_VALUE"""),33013)</f>
        <v>33013</v>
      </c>
      <c r="N108" s="4" t="str">
        <f ca="1">IFERROR(__xludf.DUMMYFUNCTION("""COMPUTED_VALUE"""),"Penata Muda Tk.I")</f>
        <v>Penata Muda Tk.I</v>
      </c>
      <c r="O108" s="3" t="str">
        <f ca="1">IFERROR(__xludf.DUMMYFUNCTION("""COMPUTED_VALUE"""),"III/b")</f>
        <v>III/b</v>
      </c>
      <c r="P108" s="7">
        <f ca="1">IFERROR(__xludf.DUMMYFUNCTION("""COMPUTED_VALUE"""),44166)</f>
        <v>44166</v>
      </c>
      <c r="Q108" s="3" t="str">
        <f ca="1">IFERROR(__xludf.DUMMYFUNCTION("""COMPUTED_VALUE"""),"2590/In.17/R/KP.00.3/12/2020")</f>
        <v>2590/In.17/R/KP.00.3/12/2020</v>
      </c>
      <c r="R108" s="3" t="str">
        <f ca="1">IFERROR(__xludf.DUMMYFUNCTION("""COMPUTED_VALUE"""),"Asisten Ahli")</f>
        <v>Asisten Ahli</v>
      </c>
      <c r="S108" s="3" t="str">
        <f ca="1">IFERROR(__xludf.DUMMYFUNCTION("""COMPUTED_VALUE"""),"Asisten Ahli")</f>
        <v>Asisten Ahli</v>
      </c>
      <c r="T108" s="7">
        <f ca="1">IFERROR(__xludf.DUMMYFUNCTION("""COMPUTED_VALUE"""),44713)</f>
        <v>44713</v>
      </c>
      <c r="U108" s="3"/>
      <c r="V108" s="3"/>
      <c r="W108" s="3">
        <f ca="1">IFERROR(__xludf.DUMMYFUNCTION("""COMPUTED_VALUE"""),9)</f>
        <v>9</v>
      </c>
      <c r="X108" s="3"/>
      <c r="Y108" s="3" t="str">
        <f ca="1">IFERROR(__xludf.DUMMYFUNCTION("""COMPUTED_VALUE"""),"S-2")</f>
        <v>S-2</v>
      </c>
      <c r="Z108" s="3" t="str">
        <f ca="1">IFERROR(__xludf.DUMMYFUNCTION("""COMPUTED_VALUE"""),"5 Tahun 1 Bulan 27 Hari")</f>
        <v>5 Tahun 1 Bulan 27 Hari</v>
      </c>
      <c r="AA108" s="8">
        <f ca="1">IFERROR(__xludf.DUMMYFUNCTION("""COMPUTED_VALUE"""),56766)</f>
        <v>56766</v>
      </c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4"/>
      <c r="AR108" s="3"/>
      <c r="AS108" s="4"/>
      <c r="AT108" s="3"/>
      <c r="AU108" s="3"/>
    </row>
    <row r="109" spans="1:47" x14ac:dyDescent="0.2">
      <c r="A109" s="12">
        <v>108</v>
      </c>
      <c r="B109" s="3" t="str">
        <f ca="1">IFERROR(__xludf.DUMMYFUNCTION("""COMPUTED_VALUE"""),"Maria Ulpah")</f>
        <v>Maria Ulpah</v>
      </c>
      <c r="C109" s="3" t="str">
        <f ca="1">IFERROR(__xludf.DUMMYFUNCTION("""COMPUTED_VALUE"""),"Dr. Maria Ulpah, S.Si., M.Si.")</f>
        <v>Dr. Maria Ulpah, S.Si., M.Si.</v>
      </c>
      <c r="D109" s="3" t="str">
        <f ca="1">IFERROR(__xludf.DUMMYFUNCTION("""COMPUTED_VALUE"""),"Dr. Maria Ulpah, S.Si., M.Si.")</f>
        <v>Dr. Maria Ulpah, S.Si., M.Si.</v>
      </c>
      <c r="E109" s="3" t="str">
        <f ca="1">IFERROR(__xludf.DUMMYFUNCTION("""COMPUTED_VALUE"""),"198011152005012004")</f>
        <v>198011152005012004</v>
      </c>
      <c r="F109" s="3" t="str">
        <f ca="1">IFERROR(__xludf.DUMMYFUNCTION("""COMPUTED_VALUE"""),"19801115 200501 2 004")</f>
        <v>19801115 200501 2 004</v>
      </c>
      <c r="G109" s="3">
        <f ca="1">IFERROR(__xludf.DUMMYFUNCTION("""COMPUTED_VALUE"""),2015118001)</f>
        <v>2015118001</v>
      </c>
      <c r="H109" s="6" t="str">
        <f ca="1">IFERROR(__xludf.DUMMYFUNCTION("""COMPUTED_VALUE"""),"7447758659230173")</f>
        <v>7447758659230173</v>
      </c>
      <c r="I109" s="3" t="str">
        <f ca="1">IFERROR(__xludf.DUMMYFUNCTION("""COMPUTED_VALUE"""),"PNS")</f>
        <v>PNS</v>
      </c>
      <c r="J109" s="3" t="str">
        <f ca="1">IFERROR(__xludf.DUMMYFUNCTION("""COMPUTED_VALUE"""),"Dosen PNS")</f>
        <v>Dosen PNS</v>
      </c>
      <c r="K109" s="5" t="str">
        <f ca="1">IFERROR(__xludf.DUMMYFUNCTION("""COMPUTED_VALUE"""),"P")</f>
        <v>P</v>
      </c>
      <c r="L109" s="3" t="str">
        <f ca="1">IFERROR(__xludf.DUMMYFUNCTION("""COMPUTED_VALUE"""),"Sumedang")</f>
        <v>Sumedang</v>
      </c>
      <c r="M109" s="9">
        <f ca="1">IFERROR(__xludf.DUMMYFUNCTION("""COMPUTED_VALUE"""),29540)</f>
        <v>29540</v>
      </c>
      <c r="N109" s="4" t="str">
        <f ca="1">IFERROR(__xludf.DUMMYFUNCTION("""COMPUTED_VALUE"""),"Pembina Tk.I")</f>
        <v>Pembina Tk.I</v>
      </c>
      <c r="O109" s="3" t="str">
        <f ca="1">IFERROR(__xludf.DUMMYFUNCTION("""COMPUTED_VALUE"""),"IV/b")</f>
        <v>IV/b</v>
      </c>
      <c r="P109" s="7">
        <f ca="1">IFERROR(__xludf.DUMMYFUNCTION("""COMPUTED_VALUE"""),45383)</f>
        <v>45383</v>
      </c>
      <c r="Q109" s="3" t="str">
        <f ca="1">IFERROR(__xludf.DUMMYFUNCTION("""COMPUTED_VALUE"""),"013160/B.II/3/2024")</f>
        <v>013160/B.II/3/2024</v>
      </c>
      <c r="R109" s="3" t="str">
        <f ca="1">IFERROR(__xludf.DUMMYFUNCTION("""COMPUTED_VALUE"""),"Lektor Kepala")</f>
        <v>Lektor Kepala</v>
      </c>
      <c r="S109" s="3" t="str">
        <f ca="1">IFERROR(__xludf.DUMMYFUNCTION("""COMPUTED_VALUE"""),"Lektor Kepala")</f>
        <v>Lektor Kepala</v>
      </c>
      <c r="T109" s="7">
        <f ca="1">IFERROR(__xludf.DUMMYFUNCTION("""COMPUTED_VALUE"""),44409)</f>
        <v>44409</v>
      </c>
      <c r="U109" s="3" t="str">
        <f ca="1">IFERROR(__xludf.DUMMYFUNCTION("""COMPUTED_VALUE"""),"2274/In.17/R/Kp.07.6/8/2021")</f>
        <v>2274/In.17/R/Kp.07.6/8/2021</v>
      </c>
      <c r="V109" s="7">
        <f ca="1">IFERROR(__xludf.DUMMYFUNCTION("""COMPUTED_VALUE"""),44409)</f>
        <v>44409</v>
      </c>
      <c r="W109" s="3">
        <f ca="1">IFERROR(__xludf.DUMMYFUNCTION("""COMPUTED_VALUE"""),13)</f>
        <v>13</v>
      </c>
      <c r="X109" s="7" t="str">
        <f ca="1">IFERROR(__xludf.DUMMYFUNCTION("""COMPUTED_VALUE"""),"Ketua Jurusan Tadris Pada Fakultas Tarbiyah dan Ilmu Keguruan")</f>
        <v>Ketua Jurusan Tadris Pada Fakultas Tarbiyah dan Ilmu Keguruan</v>
      </c>
      <c r="Y109" s="3" t="str">
        <f ca="1">IFERROR(__xludf.DUMMYFUNCTION("""COMPUTED_VALUE"""),"S-3")</f>
        <v>S-3</v>
      </c>
      <c r="Z109" s="3" t="str">
        <f ca="1">IFERROR(__xludf.DUMMYFUNCTION("""COMPUTED_VALUE"""),"21 Tahun 0 Bulan 27 Hari")</f>
        <v>21 Tahun 0 Bulan 27 Hari</v>
      </c>
      <c r="AA109" s="8">
        <f ca="1">IFERROR(__xludf.DUMMYFUNCTION("""COMPUTED_VALUE"""),53297)</f>
        <v>53297</v>
      </c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4"/>
      <c r="AR109" s="3"/>
      <c r="AS109" s="4"/>
      <c r="AT109" s="3"/>
      <c r="AU109" s="3"/>
    </row>
    <row r="110" spans="1:47" x14ac:dyDescent="0.2">
      <c r="A110" s="12">
        <v>109</v>
      </c>
      <c r="B110" s="3" t="str">
        <f ca="1">IFERROR(__xludf.DUMMYFUNCTION("""COMPUTED_VALUE"""),"Marwadi")</f>
        <v>Marwadi</v>
      </c>
      <c r="C110" s="3" t="str">
        <f ca="1">IFERROR(__xludf.DUMMYFUNCTION("""COMPUTED_VALUE"""),"Dr. Marwadi, M.Ag.")</f>
        <v>Dr. Marwadi, M.Ag.</v>
      </c>
      <c r="D110" s="3" t="str">
        <f ca="1">IFERROR(__xludf.DUMMYFUNCTION("""COMPUTED_VALUE"""),"Dr. Marwadi, M.Ag.")</f>
        <v>Dr. Marwadi, M.Ag.</v>
      </c>
      <c r="E110" s="3" t="str">
        <f ca="1">IFERROR(__xludf.DUMMYFUNCTION("""COMPUTED_VALUE"""),"197512242005011001")</f>
        <v>197512242005011001</v>
      </c>
      <c r="F110" s="3" t="str">
        <f ca="1">IFERROR(__xludf.DUMMYFUNCTION("""COMPUTED_VALUE"""),"19751224 200501 1 001")</f>
        <v>19751224 200501 1 001</v>
      </c>
      <c r="G110" s="3">
        <f ca="1">IFERROR(__xludf.DUMMYFUNCTION("""COMPUTED_VALUE"""),2024127501)</f>
        <v>2024127501</v>
      </c>
      <c r="H110" s="6" t="str">
        <f ca="1">IFERROR(__xludf.DUMMYFUNCTION("""COMPUTED_VALUE"""),"4556753654130103")</f>
        <v>4556753654130103</v>
      </c>
      <c r="I110" s="3" t="str">
        <f ca="1">IFERROR(__xludf.DUMMYFUNCTION("""COMPUTED_VALUE"""),"PNS")</f>
        <v>PNS</v>
      </c>
      <c r="J110" s="3" t="str">
        <f ca="1">IFERROR(__xludf.DUMMYFUNCTION("""COMPUTED_VALUE"""),"Dosen PNS")</f>
        <v>Dosen PNS</v>
      </c>
      <c r="K110" s="5" t="str">
        <f ca="1">IFERROR(__xludf.DUMMYFUNCTION("""COMPUTED_VALUE"""),"L")</f>
        <v>L</v>
      </c>
      <c r="L110" s="3" t="str">
        <f ca="1">IFERROR(__xludf.DUMMYFUNCTION("""COMPUTED_VALUE"""),"Brebes")</f>
        <v>Brebes</v>
      </c>
      <c r="M110" s="9">
        <f ca="1">IFERROR(__xludf.DUMMYFUNCTION("""COMPUTED_VALUE"""),27752)</f>
        <v>27752</v>
      </c>
      <c r="N110" s="4" t="str">
        <f ca="1">IFERROR(__xludf.DUMMYFUNCTION("""COMPUTED_VALUE"""),"Pembina")</f>
        <v>Pembina</v>
      </c>
      <c r="O110" s="3" t="str">
        <f ca="1">IFERROR(__xludf.DUMMYFUNCTION("""COMPUTED_VALUE"""),"IV/a")</f>
        <v>IV/a</v>
      </c>
      <c r="P110" s="7">
        <f ca="1">IFERROR(__xludf.DUMMYFUNCTION("""COMPUTED_VALUE"""),45383)</f>
        <v>45383</v>
      </c>
      <c r="Q110" s="3" t="str">
        <f ca="1">IFERROR(__xludf.DUMMYFUNCTION("""COMPUTED_VALUE"""),"015403/B.II/3/2024")</f>
        <v>015403/B.II/3/2024</v>
      </c>
      <c r="R110" s="3" t="str">
        <f ca="1">IFERROR(__xludf.DUMMYFUNCTION("""COMPUTED_VALUE"""),"Lektor Kepala")</f>
        <v>Lektor Kepala</v>
      </c>
      <c r="S110" s="3" t="str">
        <f ca="1">IFERROR(__xludf.DUMMYFUNCTION("""COMPUTED_VALUE"""),"Lektor Kepala")</f>
        <v>Lektor Kepala</v>
      </c>
      <c r="T110" s="7">
        <f ca="1">IFERROR(__xludf.DUMMYFUNCTION("""COMPUTED_VALUE"""),45170)</f>
        <v>45170</v>
      </c>
      <c r="U110" s="3" t="str">
        <f ca="1">IFERROR(__xludf.DUMMYFUNCTION("""COMPUTED_VALUE"""),"127225/B.II/3/2023")</f>
        <v>127225/B.II/3/2023</v>
      </c>
      <c r="V110" s="7">
        <f ca="1">IFERROR(__xludf.DUMMYFUNCTION("""COMPUTED_VALUE"""),45289)</f>
        <v>45289</v>
      </c>
      <c r="W110" s="3">
        <f ca="1">IFERROR(__xludf.DUMMYFUNCTION("""COMPUTED_VALUE"""),13)</f>
        <v>13</v>
      </c>
      <c r="X110" s="7" t="str">
        <f ca="1">IFERROR(__xludf.DUMMYFUNCTION("""COMPUTED_VALUE"""),"Wakil Dekan Bidang Administrasi Umum, Perencanaan dan Keuangan Pada Fakultas Syariah")</f>
        <v>Wakil Dekan Bidang Administrasi Umum, Perencanaan dan Keuangan Pada Fakultas Syariah</v>
      </c>
      <c r="Y110" s="3" t="str">
        <f ca="1">IFERROR(__xludf.DUMMYFUNCTION("""COMPUTED_VALUE"""),"S-3")</f>
        <v>S-3</v>
      </c>
      <c r="Z110" s="3" t="str">
        <f ca="1">IFERROR(__xludf.DUMMYFUNCTION("""COMPUTED_VALUE"""),"21 Tahun 0 Bulan 27 Hari")</f>
        <v>21 Tahun 0 Bulan 27 Hari</v>
      </c>
      <c r="AA110" s="8">
        <f ca="1">IFERROR(__xludf.DUMMYFUNCTION("""COMPUTED_VALUE"""),51502)</f>
        <v>51502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4"/>
      <c r="AR110" s="3"/>
      <c r="AS110" s="4"/>
      <c r="AT110" s="3"/>
      <c r="AU110" s="3"/>
    </row>
    <row r="111" spans="1:47" x14ac:dyDescent="0.2">
      <c r="A111" s="12">
        <v>110</v>
      </c>
      <c r="B111" s="3" t="str">
        <f ca="1">IFERROR(__xludf.DUMMYFUNCTION("""COMPUTED_VALUE"""),"Mawi Khusni Albar")</f>
        <v>Mawi Khusni Albar</v>
      </c>
      <c r="C111" s="3" t="str">
        <f ca="1">IFERROR(__xludf.DUMMYFUNCTION("""COMPUTED_VALUE"""),"Mawi Khusni Albar, M.Pd.I.")</f>
        <v>Mawi Khusni Albar, M.Pd.I.</v>
      </c>
      <c r="D111" s="3" t="str">
        <f ca="1">IFERROR(__xludf.DUMMYFUNCTION("""COMPUTED_VALUE"""),"Mawi Khusni Albar, M.Pd.I.")</f>
        <v>Mawi Khusni Albar, M.Pd.I.</v>
      </c>
      <c r="E111" s="3" t="str">
        <f ca="1">IFERROR(__xludf.DUMMYFUNCTION("""COMPUTED_VALUE"""),"198302082015031001")</f>
        <v>198302082015031001</v>
      </c>
      <c r="F111" s="3" t="str">
        <f ca="1">IFERROR(__xludf.DUMMYFUNCTION("""COMPUTED_VALUE"""),"19830208 201503 1 001")</f>
        <v>19830208 201503 1 001</v>
      </c>
      <c r="G111" s="3">
        <f ca="1">IFERROR(__xludf.DUMMYFUNCTION("""COMPUTED_VALUE"""),2108028301)</f>
        <v>2108028301</v>
      </c>
      <c r="H111" s="6" t="str">
        <f ca="1">IFERROR(__xludf.DUMMYFUNCTION("""COMPUTED_VALUE"""),"6540761662130192")</f>
        <v>6540761662130192</v>
      </c>
      <c r="I111" s="3" t="str">
        <f ca="1">IFERROR(__xludf.DUMMYFUNCTION("""COMPUTED_VALUE"""),"PNS")</f>
        <v>PNS</v>
      </c>
      <c r="J111" s="3" t="str">
        <f ca="1">IFERROR(__xludf.DUMMYFUNCTION("""COMPUTED_VALUE"""),"Dosen PNS")</f>
        <v>Dosen PNS</v>
      </c>
      <c r="K111" s="5" t="str">
        <f ca="1">IFERROR(__xludf.DUMMYFUNCTION("""COMPUTED_VALUE"""),"L")</f>
        <v>L</v>
      </c>
      <c r="L111" s="3" t="str">
        <f ca="1">IFERROR(__xludf.DUMMYFUNCTION("""COMPUTED_VALUE"""),"Cilacap")</f>
        <v>Cilacap</v>
      </c>
      <c r="M111" s="7">
        <f ca="1">IFERROR(__xludf.DUMMYFUNCTION("""COMPUTED_VALUE"""),30355)</f>
        <v>30355</v>
      </c>
      <c r="N111" s="4" t="str">
        <f ca="1">IFERROR(__xludf.DUMMYFUNCTION("""COMPUTED_VALUE"""),"Pembina")</f>
        <v>Pembina</v>
      </c>
      <c r="O111" s="3" t="str">
        <f ca="1">IFERROR(__xludf.DUMMYFUNCTION("""COMPUTED_VALUE"""),"IV/a")</f>
        <v>IV/a</v>
      </c>
      <c r="P111" s="7">
        <f ca="1">IFERROR(__xludf.DUMMYFUNCTION("""COMPUTED_VALUE"""),45383)</f>
        <v>45383</v>
      </c>
      <c r="Q111" s="3" t="str">
        <f ca="1">IFERROR(__xludf.DUMMYFUNCTION("""COMPUTED_VALUE"""),"012603/B.II/3/2024")</f>
        <v>012603/B.II/3/2024</v>
      </c>
      <c r="R111" s="3" t="str">
        <f ca="1">IFERROR(__xludf.DUMMYFUNCTION("""COMPUTED_VALUE"""),"Lektor Kepala")</f>
        <v>Lektor Kepala</v>
      </c>
      <c r="S111" s="3" t="str">
        <f ca="1">IFERROR(__xludf.DUMMYFUNCTION("""COMPUTED_VALUE"""),"Lektor Kepala")</f>
        <v>Lektor Kepala</v>
      </c>
      <c r="T111" s="7">
        <f ca="1">IFERROR(__xludf.DUMMYFUNCTION("""COMPUTED_VALUE"""),45139)</f>
        <v>45139</v>
      </c>
      <c r="U111" s="3" t="str">
        <f ca="1">IFERROR(__xludf.DUMMYFUNCTION("""COMPUTED_VALUE"""),"126984/B.II/3/2023")</f>
        <v>126984/B.II/3/2023</v>
      </c>
      <c r="V111" s="7">
        <f ca="1">IFERROR(__xludf.DUMMYFUNCTION("""COMPUTED_VALUE"""),45289)</f>
        <v>45289</v>
      </c>
      <c r="W111" s="3">
        <f ca="1">IFERROR(__xludf.DUMMYFUNCTION("""COMPUTED_VALUE"""),13)</f>
        <v>13</v>
      </c>
      <c r="X111" s="7" t="str">
        <f ca="1">IFERROR(__xludf.DUMMYFUNCTION("""COMPUTED_VALUE"""),"Kepala Pusat Pengabdian Kepada Masyarakat Pada Lembaga Penelitian dan Pengabdian Kepada Masyarakat")</f>
        <v>Kepala Pusat Pengabdian Kepada Masyarakat Pada Lembaga Penelitian dan Pengabdian Kepada Masyarakat</v>
      </c>
      <c r="Y111" s="3" t="str">
        <f ca="1">IFERROR(__xludf.DUMMYFUNCTION("""COMPUTED_VALUE"""),"S-2")</f>
        <v>S-2</v>
      </c>
      <c r="Z111" s="3" t="str">
        <f ca="1">IFERROR(__xludf.DUMMYFUNCTION("""COMPUTED_VALUE"""),"10 Tahun 10 Bulan 27 Hari")</f>
        <v>10 Tahun 10 Bulan 27 Hari</v>
      </c>
      <c r="AA111" s="8">
        <f ca="1">IFERROR(__xludf.DUMMYFUNCTION("""COMPUTED_VALUE"""),54118)</f>
        <v>54118</v>
      </c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4"/>
      <c r="AR111" s="3"/>
      <c r="AS111" s="4"/>
      <c r="AT111" s="3"/>
      <c r="AU111" s="3"/>
    </row>
    <row r="112" spans="1:47" x14ac:dyDescent="0.2">
      <c r="A112" s="12">
        <v>111</v>
      </c>
      <c r="B112" s="3" t="str">
        <f ca="1">IFERROR(__xludf.DUMMYFUNCTION("""COMPUTED_VALUE"""),"Miftaakhul Amri")</f>
        <v>Miftaakhul Amri</v>
      </c>
      <c r="C112" s="3" t="str">
        <f ca="1">IFERROR(__xludf.DUMMYFUNCTION("""COMPUTED_VALUE"""),"Miftaakhul Amri, S.Sy., M.H.")</f>
        <v>Miftaakhul Amri, S.Sy., M.H.</v>
      </c>
      <c r="D112" s="3" t="str">
        <f ca="1">IFERROR(__xludf.DUMMYFUNCTION("""COMPUTED_VALUE"""),"Miftaakhul Amri, S.Sy., M.H.")</f>
        <v>Miftaakhul Amri, S.Sy., M.H.</v>
      </c>
      <c r="E112" s="3" t="str">
        <f ca="1">IFERROR(__xludf.DUMMYFUNCTION("""COMPUTED_VALUE"""),"199209122020121012")</f>
        <v>199209122020121012</v>
      </c>
      <c r="F112" s="3" t="str">
        <f ca="1">IFERROR(__xludf.DUMMYFUNCTION("""COMPUTED_VALUE"""),"19920912 202012 1 012")</f>
        <v>19920912 202012 1 012</v>
      </c>
      <c r="G112" s="3">
        <f ca="1">IFERROR(__xludf.DUMMYFUNCTION("""COMPUTED_VALUE"""),2012099204)</f>
        <v>2012099204</v>
      </c>
      <c r="H112" s="6" t="str">
        <f ca="1">IFERROR(__xludf.DUMMYFUNCTION("""COMPUTED_VALUE"""),"8244770671130333")</f>
        <v>8244770671130333</v>
      </c>
      <c r="I112" s="3" t="str">
        <f ca="1">IFERROR(__xludf.DUMMYFUNCTION("""COMPUTED_VALUE"""),"PNS")</f>
        <v>PNS</v>
      </c>
      <c r="J112" s="3" t="str">
        <f ca="1">IFERROR(__xludf.DUMMYFUNCTION("""COMPUTED_VALUE"""),"Dosen PNS")</f>
        <v>Dosen PNS</v>
      </c>
      <c r="K112" s="5" t="str">
        <f ca="1">IFERROR(__xludf.DUMMYFUNCTION("""COMPUTED_VALUE"""),"L")</f>
        <v>L</v>
      </c>
      <c r="L112" s="3" t="str">
        <f ca="1">IFERROR(__xludf.DUMMYFUNCTION("""COMPUTED_VALUE"""),"Banyumas")</f>
        <v>Banyumas</v>
      </c>
      <c r="M112" s="7">
        <f ca="1">IFERROR(__xludf.DUMMYFUNCTION("""COMPUTED_VALUE"""),33859)</f>
        <v>33859</v>
      </c>
      <c r="N112" s="4" t="str">
        <f ca="1">IFERROR(__xludf.DUMMYFUNCTION("""COMPUTED_VALUE"""),"Penata Muda Tk.I")</f>
        <v>Penata Muda Tk.I</v>
      </c>
      <c r="O112" s="3" t="str">
        <f ca="1">IFERROR(__xludf.DUMMYFUNCTION("""COMPUTED_VALUE"""),"III/b")</f>
        <v>III/b</v>
      </c>
      <c r="P112" s="7">
        <f ca="1">IFERROR(__xludf.DUMMYFUNCTION("""COMPUTED_VALUE"""),44166)</f>
        <v>44166</v>
      </c>
      <c r="Q112" s="3" t="str">
        <f ca="1">IFERROR(__xludf.DUMMYFUNCTION("""COMPUTED_VALUE"""),"2601/In.17/R/KP.00.3/12/2020")</f>
        <v>2601/In.17/R/KP.00.3/12/2020</v>
      </c>
      <c r="R112" s="3" t="str">
        <f ca="1">IFERROR(__xludf.DUMMYFUNCTION("""COMPUTED_VALUE"""),"Asisten Ahli")</f>
        <v>Asisten Ahli</v>
      </c>
      <c r="S112" s="3" t="str">
        <f ca="1">IFERROR(__xludf.DUMMYFUNCTION("""COMPUTED_VALUE"""),"Asisten Ahli")</f>
        <v>Asisten Ahli</v>
      </c>
      <c r="T112" s="7">
        <f ca="1">IFERROR(__xludf.DUMMYFUNCTION("""COMPUTED_VALUE"""),44805)</f>
        <v>44805</v>
      </c>
      <c r="U112" s="3" t="str">
        <f ca="1">IFERROR(__xludf.DUMMYFUNCTION("""COMPUTED_VALUE"""),"039205/B.II/3/2022")</f>
        <v>039205/B.II/3/2022</v>
      </c>
      <c r="V112" s="7">
        <f ca="1">IFERROR(__xludf.DUMMYFUNCTION("""COMPUTED_VALUE"""),44804)</f>
        <v>44804</v>
      </c>
      <c r="W112" s="3">
        <f ca="1">IFERROR(__xludf.DUMMYFUNCTION("""COMPUTED_VALUE"""),9)</f>
        <v>9</v>
      </c>
      <c r="X112" s="3"/>
      <c r="Y112" s="3" t="str">
        <f ca="1">IFERROR(__xludf.DUMMYFUNCTION("""COMPUTED_VALUE"""),"S-2")</f>
        <v>S-2</v>
      </c>
      <c r="Z112" s="3" t="str">
        <f ca="1">IFERROR(__xludf.DUMMYFUNCTION("""COMPUTED_VALUE"""),"5 Tahun 1 Bulan 27 Hari")</f>
        <v>5 Tahun 1 Bulan 27 Hari</v>
      </c>
      <c r="AA112" s="8">
        <f ca="1">IFERROR(__xludf.DUMMYFUNCTION("""COMPUTED_VALUE"""),57619)</f>
        <v>57619</v>
      </c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4"/>
      <c r="AR112" s="3"/>
      <c r="AS112" s="4"/>
      <c r="AT112" s="3"/>
      <c r="AU112" s="3"/>
    </row>
    <row r="113" spans="1:47" x14ac:dyDescent="0.2">
      <c r="A113" s="12">
        <v>112</v>
      </c>
      <c r="B113" s="3" t="str">
        <f ca="1">IFERROR(__xludf.DUMMYFUNCTION("""COMPUTED_VALUE"""),"Moh. Roqib")</f>
        <v>Moh. Roqib</v>
      </c>
      <c r="C113" s="3" t="str">
        <f ca="1">IFERROR(__xludf.DUMMYFUNCTION("""COMPUTED_VALUE"""),"Prof. Dr. H. Moh. Roqib, M.Ag.")</f>
        <v>Prof. Dr. H. Moh. Roqib, M.Ag.</v>
      </c>
      <c r="D113" s="3" t="str">
        <f ca="1">IFERROR(__xludf.DUMMYFUNCTION("""COMPUTED_VALUE"""),"Prof. Dr. H. Moh. Roqib, M.Ag.")</f>
        <v>Prof. Dr. H. Moh. Roqib, M.Ag.</v>
      </c>
      <c r="E113" s="3" t="str">
        <f ca="1">IFERROR(__xludf.DUMMYFUNCTION("""COMPUTED_VALUE"""),"196808161994031004")</f>
        <v>196808161994031004</v>
      </c>
      <c r="F113" s="3" t="str">
        <f ca="1">IFERROR(__xludf.DUMMYFUNCTION("""COMPUTED_VALUE"""),"19680816 199403 1 004")</f>
        <v>19680816 199403 1 004</v>
      </c>
      <c r="G113" s="3">
        <f ca="1">IFERROR(__xludf.DUMMYFUNCTION("""COMPUTED_VALUE"""),2016086802)</f>
        <v>2016086802</v>
      </c>
      <c r="H113" s="6" t="str">
        <f ca="1">IFERROR(__xludf.DUMMYFUNCTION("""COMPUTED_VALUE"""),"6148746647130153")</f>
        <v>6148746647130153</v>
      </c>
      <c r="I113" s="3" t="str">
        <f ca="1">IFERROR(__xludf.DUMMYFUNCTION("""COMPUTED_VALUE"""),"PNS")</f>
        <v>PNS</v>
      </c>
      <c r="J113" s="3" t="str">
        <f ca="1">IFERROR(__xludf.DUMMYFUNCTION("""COMPUTED_VALUE"""),"Dosen PNS")</f>
        <v>Dosen PNS</v>
      </c>
      <c r="K113" s="5" t="str">
        <f ca="1">IFERROR(__xludf.DUMMYFUNCTION("""COMPUTED_VALUE"""),"L")</f>
        <v>L</v>
      </c>
      <c r="L113" s="3" t="str">
        <f ca="1">IFERROR(__xludf.DUMMYFUNCTION("""COMPUTED_VALUE"""),"Lamongan")</f>
        <v>Lamongan</v>
      </c>
      <c r="M113" s="7">
        <f ca="1">IFERROR(__xludf.DUMMYFUNCTION("""COMPUTED_VALUE"""),25066)</f>
        <v>25066</v>
      </c>
      <c r="N113" s="4" t="str">
        <f ca="1">IFERROR(__xludf.DUMMYFUNCTION("""COMPUTED_VALUE"""),"Pembina Utama")</f>
        <v>Pembina Utama</v>
      </c>
      <c r="O113" s="3" t="str">
        <f ca="1">IFERROR(__xludf.DUMMYFUNCTION("""COMPUTED_VALUE"""),"IV/e")</f>
        <v>IV/e</v>
      </c>
      <c r="P113" s="7">
        <f ca="1">IFERROR(__xludf.DUMMYFUNCTION("""COMPUTED_VALUE"""),45566)</f>
        <v>45566</v>
      </c>
      <c r="Q113" s="3" t="str">
        <f ca="1">IFERROR(__xludf.DUMMYFUNCTION("""COMPUTED_VALUE"""),"00340/KEP/AA/15001/24")</f>
        <v>00340/KEP/AA/15001/24</v>
      </c>
      <c r="R113" s="3" t="str">
        <f ca="1">IFERROR(__xludf.DUMMYFUNCTION("""COMPUTED_VALUE"""),"Guru Besar")</f>
        <v>Guru Besar</v>
      </c>
      <c r="S113" s="3" t="str">
        <f ca="1">IFERROR(__xludf.DUMMYFUNCTION("""COMPUTED_VALUE"""),"Guru Besar")</f>
        <v>Guru Besar</v>
      </c>
      <c r="T113" s="7">
        <f ca="1">IFERROR(__xludf.DUMMYFUNCTION("""COMPUTED_VALUE"""),44621)</f>
        <v>44621</v>
      </c>
      <c r="U113" s="3" t="str">
        <f ca="1">IFERROR(__xludf.DUMMYFUNCTION("""COMPUTED_VALUE"""),"020895/B.II/3/2022")</f>
        <v>020895/B.II/3/2022</v>
      </c>
      <c r="V113" s="7">
        <f ca="1">IFERROR(__xludf.DUMMYFUNCTION("""COMPUTED_VALUE"""),44705)</f>
        <v>44705</v>
      </c>
      <c r="W113" s="3">
        <f ca="1">IFERROR(__xludf.DUMMYFUNCTION("""COMPUTED_VALUE"""),15)</f>
        <v>15</v>
      </c>
      <c r="X113" s="7" t="str">
        <f ca="1">IFERROR(__xludf.DUMMYFUNCTION("""COMPUTED_VALUE"""),"Direktur Pascasarjana")</f>
        <v>Direktur Pascasarjana</v>
      </c>
      <c r="Y113" s="3" t="str">
        <f ca="1">IFERROR(__xludf.DUMMYFUNCTION("""COMPUTED_VALUE"""),"S-3")</f>
        <v>S-3</v>
      </c>
      <c r="Z113" s="3" t="str">
        <f ca="1">IFERROR(__xludf.DUMMYFUNCTION("""COMPUTED_VALUE"""),"31 Tahun 10 Bulan 27 Hari")</f>
        <v>31 Tahun 10 Bulan 27 Hari</v>
      </c>
      <c r="AA113" s="8">
        <f ca="1">IFERROR(__xludf.DUMMYFUNCTION("""COMPUTED_VALUE"""),50649)</f>
        <v>50649</v>
      </c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4"/>
      <c r="AR113" s="3"/>
      <c r="AS113" s="4"/>
      <c r="AT113" s="3"/>
      <c r="AU113" s="3"/>
    </row>
    <row r="114" spans="1:47" x14ac:dyDescent="0.2">
      <c r="A114" s="12">
        <v>113</v>
      </c>
      <c r="B114" s="3" t="str">
        <f ca="1">IFERROR(__xludf.DUMMYFUNCTION("""COMPUTED_VALUE"""),"Mohamad Nur Kholis Setiawan")</f>
        <v>Mohamad Nur Kholis Setiawan</v>
      </c>
      <c r="C114" s="3" t="str">
        <f ca="1">IFERROR(__xludf.DUMMYFUNCTION("""COMPUTED_VALUE"""),"Prof. Dr. Phil. H. Mohamad Nur Kholis Setiawan, M.A.")</f>
        <v>Prof. Dr. Phil. H. Mohamad Nur Kholis Setiawan, M.A.</v>
      </c>
      <c r="D114" s="3" t="str">
        <f ca="1">IFERROR(__xludf.DUMMYFUNCTION("""COMPUTED_VALUE"""),"Prof. Dr. Phil. H. Mohamad Nur Kholis Setiawan, M.A.")</f>
        <v>Prof. Dr. Phil. H. Mohamad Nur Kholis Setiawan, M.A.</v>
      </c>
      <c r="E114" s="3" t="str">
        <f ca="1">IFERROR(__xludf.DUMMYFUNCTION("""COMPUTED_VALUE"""),"196911101994031005")</f>
        <v>196911101994031005</v>
      </c>
      <c r="F114" s="3" t="str">
        <f ca="1">IFERROR(__xludf.DUMMYFUNCTION("""COMPUTED_VALUE"""),"19691110 199403 1 005")</f>
        <v>19691110 199403 1 005</v>
      </c>
      <c r="G114" s="3">
        <f ca="1">IFERROR(__xludf.DUMMYFUNCTION("""COMPUTED_VALUE"""),2010116901)</f>
        <v>2010116901</v>
      </c>
      <c r="H114" s="6" t="str">
        <f ca="1">IFERROR(__xludf.DUMMYFUNCTION("""COMPUTED_VALUE"""),"1442747648130203")</f>
        <v>1442747648130203</v>
      </c>
      <c r="I114" s="3" t="str">
        <f ca="1">IFERROR(__xludf.DUMMYFUNCTION("""COMPUTED_VALUE"""),"PNS")</f>
        <v>PNS</v>
      </c>
      <c r="J114" s="3" t="str">
        <f ca="1">IFERROR(__xludf.DUMMYFUNCTION("""COMPUTED_VALUE"""),"Dosen PNS")</f>
        <v>Dosen PNS</v>
      </c>
      <c r="K114" s="5" t="str">
        <f ca="1">IFERROR(__xludf.DUMMYFUNCTION("""COMPUTED_VALUE"""),"L")</f>
        <v>L</v>
      </c>
      <c r="L114" s="3" t="str">
        <f ca="1">IFERROR(__xludf.DUMMYFUNCTION("""COMPUTED_VALUE"""),"Kebumen")</f>
        <v>Kebumen</v>
      </c>
      <c r="M114" s="9">
        <f ca="1">IFERROR(__xludf.DUMMYFUNCTION("""COMPUTED_VALUE"""),25517)</f>
        <v>25517</v>
      </c>
      <c r="N114" s="4" t="str">
        <f ca="1">IFERROR(__xludf.DUMMYFUNCTION("""COMPUTED_VALUE"""),"Pembina Utama")</f>
        <v>Pembina Utama</v>
      </c>
      <c r="O114" s="3" t="str">
        <f ca="1">IFERROR(__xludf.DUMMYFUNCTION("""COMPUTED_VALUE"""),"IV/e")</f>
        <v>IV/e</v>
      </c>
      <c r="P114" s="7">
        <f ca="1">IFERROR(__xludf.DUMMYFUNCTION("""COMPUTED_VALUE"""),45200)</f>
        <v>45200</v>
      </c>
      <c r="Q114" s="3" t="str">
        <f ca="1">IFERROR(__xludf.DUMMYFUNCTION("""COMPUTED_VALUE"""),"00170/KEP/AA/15001/23")</f>
        <v>00170/KEP/AA/15001/23</v>
      </c>
      <c r="R114" s="3" t="str">
        <f ca="1">IFERROR(__xludf.DUMMYFUNCTION("""COMPUTED_VALUE"""),"Guru Besar")</f>
        <v>Guru Besar</v>
      </c>
      <c r="S114" s="3" t="str">
        <f ca="1">IFERROR(__xludf.DUMMYFUNCTION("""COMPUTED_VALUE"""),"Guru Besar")</f>
        <v>Guru Besar</v>
      </c>
      <c r="T114" s="7">
        <f ca="1">IFERROR(__xludf.DUMMYFUNCTION("""COMPUTED_VALUE"""),39965)</f>
        <v>39965</v>
      </c>
      <c r="U114" s="3" t="str">
        <f ca="1">IFERROR(__xludf.DUMMYFUNCTION("""COMPUTED_VALUE"""),"015908/B.II/3/2020")</f>
        <v>015908/B.II/3/2020</v>
      </c>
      <c r="V114" s="7">
        <f ca="1">IFERROR(__xludf.DUMMYFUNCTION("""COMPUTED_VALUE"""),43911)</f>
        <v>43911</v>
      </c>
      <c r="W114" s="3">
        <f ca="1">IFERROR(__xludf.DUMMYFUNCTION("""COMPUTED_VALUE"""),15)</f>
        <v>15</v>
      </c>
      <c r="X114" s="3"/>
      <c r="Y114" s="3" t="str">
        <f ca="1">IFERROR(__xludf.DUMMYFUNCTION("""COMPUTED_VALUE"""),"S-3")</f>
        <v>S-3</v>
      </c>
      <c r="Z114" s="3" t="str">
        <f ca="1">IFERROR(__xludf.DUMMYFUNCTION("""COMPUTED_VALUE"""),"31 Tahun 10 Bulan 27 Hari")</f>
        <v>31 Tahun 10 Bulan 27 Hari</v>
      </c>
      <c r="AA114" s="8">
        <f ca="1">IFERROR(__xludf.DUMMYFUNCTION("""COMPUTED_VALUE"""),51105)</f>
        <v>51105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4"/>
      <c r="AR114" s="3"/>
      <c r="AS114" s="4"/>
      <c r="AT114" s="3"/>
      <c r="AU114" s="3"/>
    </row>
    <row r="115" spans="1:47" x14ac:dyDescent="0.2">
      <c r="A115" s="12">
        <v>114</v>
      </c>
      <c r="B115" s="3" t="str">
        <f ca="1">IFERROR(__xludf.DUMMYFUNCTION("""COMPUTED_VALUE"""),"Mohamad Sobirin")</f>
        <v>Mohamad Sobirin</v>
      </c>
      <c r="C115" s="3" t="str">
        <f ca="1">IFERROR(__xludf.DUMMYFUNCTION("""COMPUTED_VALUE"""),"Dr. Mohamad Sobirin, S.Th.I., M.Hum.")</f>
        <v>Dr. Mohamad Sobirin, S.Th.I., M.Hum.</v>
      </c>
      <c r="D115" s="3" t="str">
        <f ca="1">IFERROR(__xludf.DUMMYFUNCTION("""COMPUTED_VALUE"""),"Dr. Mohamad Sobirin, S.Th.I., M.Hum.")</f>
        <v>Dr. Mohamad Sobirin, S.Th.I., M.Hum.</v>
      </c>
      <c r="E115" s="3" t="str">
        <f ca="1">IFERROR(__xludf.DUMMYFUNCTION("""COMPUTED_VALUE"""),"198711072020121006")</f>
        <v>198711072020121006</v>
      </c>
      <c r="F115" s="3" t="str">
        <f ca="1">IFERROR(__xludf.DUMMYFUNCTION("""COMPUTED_VALUE"""),"‌19871107 202012 1 006")</f>
        <v>‌19871107 202012 1 006</v>
      </c>
      <c r="G115" s="3">
        <f ca="1">IFERROR(__xludf.DUMMYFUNCTION("""COMPUTED_VALUE"""),2007118701)</f>
        <v>2007118701</v>
      </c>
      <c r="H115" s="6" t="str">
        <f ca="1">IFERROR(__xludf.DUMMYFUNCTION("""COMPUTED_VALUE"""),"8439765666130233")</f>
        <v>8439765666130233</v>
      </c>
      <c r="I115" s="3" t="str">
        <f ca="1">IFERROR(__xludf.DUMMYFUNCTION("""COMPUTED_VALUE"""),"PNS")</f>
        <v>PNS</v>
      </c>
      <c r="J115" s="3" t="str">
        <f ca="1">IFERROR(__xludf.DUMMYFUNCTION("""COMPUTED_VALUE"""),"Dosen PNS")</f>
        <v>Dosen PNS</v>
      </c>
      <c r="K115" s="5" t="str">
        <f ca="1">IFERROR(__xludf.DUMMYFUNCTION("""COMPUTED_VALUE"""),"L")</f>
        <v>L</v>
      </c>
      <c r="L115" s="3" t="str">
        <f ca="1">IFERROR(__xludf.DUMMYFUNCTION("""COMPUTED_VALUE"""),"Rembang")</f>
        <v>Rembang</v>
      </c>
      <c r="M115" s="7">
        <f ca="1">IFERROR(__xludf.DUMMYFUNCTION("""COMPUTED_VALUE"""),32088)</f>
        <v>32088</v>
      </c>
      <c r="N115" s="4" t="str">
        <f ca="1">IFERROR(__xludf.DUMMYFUNCTION("""COMPUTED_VALUE"""),"Penata Tk.I")</f>
        <v>Penata Tk.I</v>
      </c>
      <c r="O115" s="3" t="str">
        <f ca="1">IFERROR(__xludf.DUMMYFUNCTION("""COMPUTED_VALUE"""),"III/d")</f>
        <v>III/d</v>
      </c>
      <c r="P115" s="7">
        <f ca="1">IFERROR(__xludf.DUMMYFUNCTION("""COMPUTED_VALUE"""),45383)</f>
        <v>45383</v>
      </c>
      <c r="Q115" s="3" t="str">
        <f ca="1">IFERROR(__xludf.DUMMYFUNCTION("""COMPUTED_VALUE"""),"513/Un.19/K.AUPK/KP.07.1/03/2024")</f>
        <v>513/Un.19/K.AUPK/KP.07.1/03/2024</v>
      </c>
      <c r="R115" s="3" t="str">
        <f ca="1">IFERROR(__xludf.DUMMYFUNCTION("""COMPUTED_VALUE"""),"Lektor")</f>
        <v>Lektor</v>
      </c>
      <c r="S115" s="3" t="str">
        <f ca="1">IFERROR(__xludf.DUMMYFUNCTION("""COMPUTED_VALUE"""),"Lektor")</f>
        <v>Lektor</v>
      </c>
      <c r="T115" s="7">
        <f ca="1">IFERROR(__xludf.DUMMYFUNCTION("""COMPUTED_VALUE"""),44562)</f>
        <v>44562</v>
      </c>
      <c r="U115" s="3"/>
      <c r="V115" s="3"/>
      <c r="W115" s="3">
        <f ca="1">IFERROR(__xludf.DUMMYFUNCTION("""COMPUTED_VALUE"""),11)</f>
        <v>11</v>
      </c>
      <c r="X115" s="7" t="str">
        <f ca="1">IFERROR(__xludf.DUMMYFUNCTION("""COMPUTED_VALUE"""),"Kepala Pusat Kajian dan Hubungan Internasional")</f>
        <v>Kepala Pusat Kajian dan Hubungan Internasional</v>
      </c>
      <c r="Y115" s="3" t="str">
        <f ca="1">IFERROR(__xludf.DUMMYFUNCTION("""COMPUTED_VALUE"""),"S-3")</f>
        <v>S-3</v>
      </c>
      <c r="Z115" s="3" t="str">
        <f ca="1">IFERROR(__xludf.DUMMYFUNCTION("""COMPUTED_VALUE"""),"5 Tahun 1 Bulan 27 Hari")</f>
        <v>5 Tahun 1 Bulan 27 Hari</v>
      </c>
      <c r="AA115" s="8">
        <f ca="1">IFERROR(__xludf.DUMMYFUNCTION("""COMPUTED_VALUE"""),55854)</f>
        <v>55854</v>
      </c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4"/>
      <c r="AR115" s="3"/>
      <c r="AS115" s="4"/>
      <c r="AT115" s="3"/>
      <c r="AU115" s="3"/>
    </row>
    <row r="116" spans="1:47" x14ac:dyDescent="0.2">
      <c r="A116" s="12">
        <v>115</v>
      </c>
      <c r="B116" s="3" t="str">
        <f ca="1">IFERROR(__xludf.DUMMYFUNCTION("""COMPUTED_VALUE"""),"Mokhamad Sukron")</f>
        <v>Mokhamad Sukron</v>
      </c>
      <c r="C116" s="3" t="str">
        <f ca="1">IFERROR(__xludf.DUMMYFUNCTION("""COMPUTED_VALUE"""),"Mokhamad Sukron, Lc., M.Hum.")</f>
        <v>Mokhamad Sukron, Lc., M.Hum.</v>
      </c>
      <c r="D116" s="3" t="str">
        <f ca="1">IFERROR(__xludf.DUMMYFUNCTION("""COMPUTED_VALUE"""),"Dr. Mokhamad Sukron, Lc., M.Hum.")</f>
        <v>Dr. Mokhamad Sukron, Lc., M.Hum.</v>
      </c>
      <c r="E116" s="3" t="str">
        <f ca="1">IFERROR(__xludf.DUMMYFUNCTION("""COMPUTED_VALUE"""),"198601182020121005")</f>
        <v>198601182020121005</v>
      </c>
      <c r="F116" s="3" t="str">
        <f ca="1">IFERROR(__xludf.DUMMYFUNCTION("""COMPUTED_VALUE"""),"‌19860118 202012 1 005")</f>
        <v>‌19860118 202012 1 005</v>
      </c>
      <c r="G116" s="3">
        <f ca="1">IFERROR(__xludf.DUMMYFUNCTION("""COMPUTED_VALUE"""),2118018601)</f>
        <v>2118018601</v>
      </c>
      <c r="H116" s="6" t="str">
        <f ca="1">IFERROR(__xludf.DUMMYFUNCTION("""COMPUTED_VALUE"""),"7450764665130262")</f>
        <v>7450764665130262</v>
      </c>
      <c r="I116" s="3" t="str">
        <f ca="1">IFERROR(__xludf.DUMMYFUNCTION("""COMPUTED_VALUE"""),"PNS")</f>
        <v>PNS</v>
      </c>
      <c r="J116" s="3" t="str">
        <f ca="1">IFERROR(__xludf.DUMMYFUNCTION("""COMPUTED_VALUE"""),"Dosen PNS")</f>
        <v>Dosen PNS</v>
      </c>
      <c r="K116" s="5" t="str">
        <f ca="1">IFERROR(__xludf.DUMMYFUNCTION("""COMPUTED_VALUE"""),"P")</f>
        <v>P</v>
      </c>
      <c r="L116" s="3" t="str">
        <f ca="1">IFERROR(__xludf.DUMMYFUNCTION("""COMPUTED_VALUE"""),"Banyumas")</f>
        <v>Banyumas</v>
      </c>
      <c r="M116" s="7">
        <f ca="1">IFERROR(__xludf.DUMMYFUNCTION("""COMPUTED_VALUE"""),31430)</f>
        <v>31430</v>
      </c>
      <c r="N116" s="4" t="str">
        <f ca="1">IFERROR(__xludf.DUMMYFUNCTION("""COMPUTED_VALUE"""),"Penata")</f>
        <v>Penata</v>
      </c>
      <c r="O116" s="3" t="str">
        <f ca="1">IFERROR(__xludf.DUMMYFUNCTION("""COMPUTED_VALUE"""),"III/c")</f>
        <v>III/c</v>
      </c>
      <c r="P116" s="7">
        <f ca="1">IFERROR(__xludf.DUMMYFUNCTION("""COMPUTED_VALUE"""),45992)</f>
        <v>45992</v>
      </c>
      <c r="Q116" s="3" t="str">
        <f ca="1">IFERROR(__xludf.DUMMYFUNCTION("""COMPUTED_VALUE"""),"214546/B.II/KP.07.1/11/2025")</f>
        <v>214546/B.II/KP.07.1/11/2025</v>
      </c>
      <c r="R116" s="3" t="str">
        <f ca="1">IFERROR(__xludf.DUMMYFUNCTION("""COMPUTED_VALUE"""),"Lektor")</f>
        <v>Lektor</v>
      </c>
      <c r="S116" s="3" t="str">
        <f ca="1">IFERROR(__xludf.DUMMYFUNCTION("""COMPUTED_VALUE"""),"Lektor")</f>
        <v>Lektor</v>
      </c>
      <c r="T116" s="7">
        <f ca="1">IFERROR(__xludf.DUMMYFUNCTION("""COMPUTED_VALUE"""),45962)</f>
        <v>45962</v>
      </c>
      <c r="U116" s="3" t="str">
        <f ca="1">IFERROR(__xludf.DUMMYFUNCTION("""COMPUTED_VALUE"""),"208793/B.II/KP.07.6/10/2025")</f>
        <v>208793/B.II/KP.07.6/10/2025</v>
      </c>
      <c r="V116" s="7">
        <f ca="1">IFERROR(__xludf.DUMMYFUNCTION("""COMPUTED_VALUE"""),45936)</f>
        <v>45936</v>
      </c>
      <c r="W116" s="3">
        <f ca="1">IFERROR(__xludf.DUMMYFUNCTION("""COMPUTED_VALUE"""),11)</f>
        <v>11</v>
      </c>
      <c r="X116" s="7" t="str">
        <f ca="1">IFERROR(__xludf.DUMMYFUNCTION("""COMPUTED_VALUE"""),"Sekretaris Jurusan Hukum Ekonomi dan Tata Negara Pada Fakultas Syariah")</f>
        <v>Sekretaris Jurusan Hukum Ekonomi dan Tata Negara Pada Fakultas Syariah</v>
      </c>
      <c r="Y116" s="3" t="str">
        <f ca="1">IFERROR(__xludf.DUMMYFUNCTION("""COMPUTED_VALUE"""),"S-3")</f>
        <v>S-3</v>
      </c>
      <c r="Z116" s="3" t="str">
        <f ca="1">IFERROR(__xludf.DUMMYFUNCTION("""COMPUTED_VALUE"""),"5 Tahun 1 Bulan 27 Hari")</f>
        <v>5 Tahun 1 Bulan 27 Hari</v>
      </c>
      <c r="AA116" s="8">
        <f ca="1">IFERROR(__xludf.DUMMYFUNCTION("""COMPUTED_VALUE"""),55185)</f>
        <v>55185</v>
      </c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4"/>
      <c r="AR116" s="3"/>
      <c r="AS116" s="4"/>
      <c r="AT116" s="3"/>
      <c r="AU116" s="3"/>
    </row>
    <row r="117" spans="1:47" x14ac:dyDescent="0.2">
      <c r="A117" s="12">
        <v>116</v>
      </c>
      <c r="B117" s="3" t="str">
        <f ca="1">IFERROR(__xludf.DUMMYFUNCTION("""COMPUTED_VALUE"""),"Muchamad Toif Chasani")</f>
        <v>Muchamad Toif Chasani</v>
      </c>
      <c r="C117" s="3" t="str">
        <f ca="1">IFERROR(__xludf.DUMMYFUNCTION("""COMPUTED_VALUE"""),"Muchamad Toif Chasani, M.A.")</f>
        <v>Muchamad Toif Chasani, M.A.</v>
      </c>
      <c r="D117" s="3" t="str">
        <f ca="1">IFERROR(__xludf.DUMMYFUNCTION("""COMPUTED_VALUE"""),"Muchamad Toif Chasani, M.A.")</f>
        <v>Muchamad Toif Chasani, M.A.</v>
      </c>
      <c r="E117" s="3" t="str">
        <f ca="1">IFERROR(__xludf.DUMMYFUNCTION("""COMPUTED_VALUE"""),"197903032014031002")</f>
        <v>197903032014031002</v>
      </c>
      <c r="F117" s="3" t="str">
        <f ca="1">IFERROR(__xludf.DUMMYFUNCTION("""COMPUTED_VALUE"""),"19790303 201403 1 002")</f>
        <v>19790303 201403 1 002</v>
      </c>
      <c r="G117" s="3">
        <f ca="1">IFERROR(__xludf.DUMMYFUNCTION("""COMPUTED_VALUE"""),2003037901)</f>
        <v>2003037901</v>
      </c>
      <c r="H117" s="6" t="str">
        <f ca="1">IFERROR(__xludf.DUMMYFUNCTION("""COMPUTED_VALUE"""),"8635757658130182")</f>
        <v>8635757658130182</v>
      </c>
      <c r="I117" s="3" t="str">
        <f ca="1">IFERROR(__xludf.DUMMYFUNCTION("""COMPUTED_VALUE"""),"PNS")</f>
        <v>PNS</v>
      </c>
      <c r="J117" s="3" t="str">
        <f ca="1">IFERROR(__xludf.DUMMYFUNCTION("""COMPUTED_VALUE"""),"Dosen PNS")</f>
        <v>Dosen PNS</v>
      </c>
      <c r="K117" s="5" t="str">
        <f ca="1">IFERROR(__xludf.DUMMYFUNCTION("""COMPUTED_VALUE"""),"L")</f>
        <v>L</v>
      </c>
      <c r="L117" s="3" t="str">
        <f ca="1">IFERROR(__xludf.DUMMYFUNCTION("""COMPUTED_VALUE"""),"Jakarta")</f>
        <v>Jakarta</v>
      </c>
      <c r="M117" s="7">
        <f ca="1">IFERROR(__xludf.DUMMYFUNCTION("""COMPUTED_VALUE"""),28917)</f>
        <v>28917</v>
      </c>
      <c r="N117" s="4" t="str">
        <f ca="1">IFERROR(__xludf.DUMMYFUNCTION("""COMPUTED_VALUE"""),"Penata")</f>
        <v>Penata</v>
      </c>
      <c r="O117" s="3" t="str">
        <f ca="1">IFERROR(__xludf.DUMMYFUNCTION("""COMPUTED_VALUE"""),"III/c")</f>
        <v>III/c</v>
      </c>
      <c r="P117" s="7">
        <f ca="1">IFERROR(__xludf.DUMMYFUNCTION("""COMPUTED_VALUE"""),45505)</f>
        <v>45505</v>
      </c>
      <c r="Q117" s="3" t="str">
        <f ca="1">IFERROR(__xludf.DUMMYFUNCTION("""COMPUTED_VALUE"""),"In.42-0614/B.1.b.1/07/2024")</f>
        <v>In.42-0614/B.1.b.1/07/2024</v>
      </c>
      <c r="R117" s="3" t="str">
        <f ca="1">IFERROR(__xludf.DUMMYFUNCTION("""COMPUTED_VALUE"""),"Lektor")</f>
        <v>Lektor</v>
      </c>
      <c r="S117" s="3" t="str">
        <f ca="1">IFERROR(__xludf.DUMMYFUNCTION("""COMPUTED_VALUE"""),"Lektor")</f>
        <v>Lektor</v>
      </c>
      <c r="T117" s="7">
        <f ca="1">IFERROR(__xludf.DUMMYFUNCTION("""COMPUTED_VALUE"""),44921)</f>
        <v>44921</v>
      </c>
      <c r="U117" s="3" t="str">
        <f ca="1">IFERROR(__xludf.DUMMYFUNCTION("""COMPUTED_VALUE"""),"In.42-0680/A.1.b.1/08/2023")</f>
        <v>In.42-0680/A.1.b.1/08/2023</v>
      </c>
      <c r="V117" s="7">
        <f ca="1">IFERROR(__xludf.DUMMYFUNCTION("""COMPUTED_VALUE"""),45142)</f>
        <v>45142</v>
      </c>
      <c r="W117" s="3">
        <f ca="1">IFERROR(__xludf.DUMMYFUNCTION("""COMPUTED_VALUE"""),11)</f>
        <v>11</v>
      </c>
      <c r="X117" s="3"/>
      <c r="Y117" s="3" t="str">
        <f ca="1">IFERROR(__xludf.DUMMYFUNCTION("""COMPUTED_VALUE"""),"S-2")</f>
        <v>S-2</v>
      </c>
      <c r="Z117" s="3" t="str">
        <f ca="1">IFERROR(__xludf.DUMMYFUNCTION("""COMPUTED_VALUE"""),"11 Tahun 10 Bulan 27 Hari")</f>
        <v>11 Tahun 10 Bulan 27 Hari</v>
      </c>
      <c r="AA117" s="8">
        <f ca="1">IFERROR(__xludf.DUMMYFUNCTION("""COMPUTED_VALUE"""),52688)</f>
        <v>52688</v>
      </c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4"/>
      <c r="AR117" s="3"/>
      <c r="AS117" s="4"/>
      <c r="AT117" s="3"/>
      <c r="AU117" s="3"/>
    </row>
    <row r="118" spans="1:47" x14ac:dyDescent="0.2">
      <c r="A118" s="12">
        <v>117</v>
      </c>
      <c r="B118" s="3" t="str">
        <f ca="1">IFERROR(__xludf.DUMMYFUNCTION("""COMPUTED_VALUE"""),"Muflihah")</f>
        <v>Muflihah</v>
      </c>
      <c r="C118" s="3" t="str">
        <f ca="1">IFERROR(__xludf.DUMMYFUNCTION("""COMPUTED_VALUE"""),"Muflihah, S.S. M.Pd.")</f>
        <v>Muflihah, S.S. M.Pd.</v>
      </c>
      <c r="D118" s="3" t="str">
        <f ca="1">IFERROR(__xludf.DUMMYFUNCTION("""COMPUTED_VALUE"""),"Muflihah, S.S. M.Pd.")</f>
        <v>Muflihah, S.S. M.Pd.</v>
      </c>
      <c r="E118" s="3" t="str">
        <f ca="1">IFERROR(__xludf.DUMMYFUNCTION("""COMPUTED_VALUE"""),"197209232000032001")</f>
        <v>197209232000032001</v>
      </c>
      <c r="F118" s="3" t="str">
        <f ca="1">IFERROR(__xludf.DUMMYFUNCTION("""COMPUTED_VALUE"""),"19720923 200003 2 001")</f>
        <v>19720923 200003 2 001</v>
      </c>
      <c r="G118" s="3">
        <f ca="1">IFERROR(__xludf.DUMMYFUNCTION("""COMPUTED_VALUE"""),2023097201)</f>
        <v>2023097201</v>
      </c>
      <c r="H118" s="6" t="str">
        <f ca="1">IFERROR(__xludf.DUMMYFUNCTION("""COMPUTED_VALUE"""),"7255750651230093")</f>
        <v>7255750651230093</v>
      </c>
      <c r="I118" s="3" t="str">
        <f ca="1">IFERROR(__xludf.DUMMYFUNCTION("""COMPUTED_VALUE"""),"PNS")</f>
        <v>PNS</v>
      </c>
      <c r="J118" s="3" t="str">
        <f ca="1">IFERROR(__xludf.DUMMYFUNCTION("""COMPUTED_VALUE"""),"Dosen PNS")</f>
        <v>Dosen PNS</v>
      </c>
      <c r="K118" s="5" t="str">
        <f ca="1">IFERROR(__xludf.DUMMYFUNCTION("""COMPUTED_VALUE"""),"P")</f>
        <v>P</v>
      </c>
      <c r="L118" s="3" t="str">
        <f ca="1">IFERROR(__xludf.DUMMYFUNCTION("""COMPUTED_VALUE"""),"Banyumas")</f>
        <v>Banyumas</v>
      </c>
      <c r="M118" s="7">
        <f ca="1">IFERROR(__xludf.DUMMYFUNCTION("""COMPUTED_VALUE"""),26565)</f>
        <v>26565</v>
      </c>
      <c r="N118" s="4" t="str">
        <f ca="1">IFERROR(__xludf.DUMMYFUNCTION("""COMPUTED_VALUE"""),"Penata Tk.I")</f>
        <v>Penata Tk.I</v>
      </c>
      <c r="O118" s="3" t="str">
        <f ca="1">IFERROR(__xludf.DUMMYFUNCTION("""COMPUTED_VALUE"""),"III/d")</f>
        <v>III/d</v>
      </c>
      <c r="P118" s="7">
        <f ca="1">IFERROR(__xludf.DUMMYFUNCTION("""COMPUTED_VALUE"""),43922)</f>
        <v>43922</v>
      </c>
      <c r="Q118" s="3" t="str">
        <f ca="1">IFERROR(__xludf.DUMMYFUNCTION("""COMPUTED_VALUE"""),"13684/B.II/3/2020")</f>
        <v>13684/B.II/3/2020</v>
      </c>
      <c r="R118" s="3" t="str">
        <f ca="1">IFERROR(__xludf.DUMMYFUNCTION("""COMPUTED_VALUE"""),"Lektor")</f>
        <v>Lektor</v>
      </c>
      <c r="S118" s="3" t="str">
        <f ca="1">IFERROR(__xludf.DUMMYFUNCTION("""COMPUTED_VALUE"""),"Lektor")</f>
        <v>Lektor</v>
      </c>
      <c r="T118" s="7">
        <f ca="1">IFERROR(__xludf.DUMMYFUNCTION("""COMPUTED_VALUE"""),43800)</f>
        <v>43800</v>
      </c>
      <c r="U118" s="3" t="str">
        <f ca="1">IFERROR(__xludf.DUMMYFUNCTION("""COMPUTED_VALUE"""),"1625/In.17/R/Kp.07.6/12/2019")</f>
        <v>1625/In.17/R/Kp.07.6/12/2019</v>
      </c>
      <c r="V118" s="7">
        <f ca="1">IFERROR(__xludf.DUMMYFUNCTION("""COMPUTED_VALUE"""),43800)</f>
        <v>43800</v>
      </c>
      <c r="W118" s="3">
        <f ca="1">IFERROR(__xludf.DUMMYFUNCTION("""COMPUTED_VALUE"""),11)</f>
        <v>11</v>
      </c>
      <c r="X118" s="7" t="str">
        <f ca="1">IFERROR(__xludf.DUMMYFUNCTION("""COMPUTED_VALUE"""),"Kepala Unit Pelaksana Teknis Bahasa")</f>
        <v>Kepala Unit Pelaksana Teknis Bahasa</v>
      </c>
      <c r="Y118" s="3" t="str">
        <f ca="1">IFERROR(__xludf.DUMMYFUNCTION("""COMPUTED_VALUE"""),"S-2")</f>
        <v>S-2</v>
      </c>
      <c r="Z118" s="3" t="str">
        <f ca="1">IFERROR(__xludf.DUMMYFUNCTION("""COMPUTED_VALUE"""),"25 Tahun 10 Bulan 27 Hari")</f>
        <v>25 Tahun 10 Bulan 27 Hari</v>
      </c>
      <c r="AA118" s="8">
        <f ca="1">IFERROR(__xludf.DUMMYFUNCTION("""COMPUTED_VALUE"""),50314)</f>
        <v>50314</v>
      </c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4"/>
      <c r="AR118" s="3"/>
      <c r="AS118" s="4"/>
      <c r="AT118" s="3"/>
      <c r="AU118" s="3"/>
    </row>
    <row r="119" spans="1:47" x14ac:dyDescent="0.2">
      <c r="A119" s="12">
        <v>118</v>
      </c>
      <c r="B119" s="3" t="str">
        <f ca="1">IFERROR(__xludf.DUMMYFUNCTION("""COMPUTED_VALUE"""),"Mughni Labib")</f>
        <v>Mughni Labib</v>
      </c>
      <c r="C119" s="3" t="str">
        <f ca="1">IFERROR(__xludf.DUMMYFUNCTION("""COMPUTED_VALUE"""),"Drs. H. Mughni Labib, M.Si.")</f>
        <v>Drs. H. Mughni Labib, M.Si.</v>
      </c>
      <c r="D119" s="3" t="str">
        <f ca="1">IFERROR(__xludf.DUMMYFUNCTION("""COMPUTED_VALUE"""),"Drs. H. Mughni Labib, M.Si.")</f>
        <v>Drs. H. Mughni Labib, M.Si.</v>
      </c>
      <c r="E119" s="3" t="str">
        <f ca="1">IFERROR(__xludf.DUMMYFUNCTION("""COMPUTED_VALUE"""),"196211151992031001")</f>
        <v>196211151992031001</v>
      </c>
      <c r="F119" s="3" t="str">
        <f ca="1">IFERROR(__xludf.DUMMYFUNCTION("""COMPUTED_VALUE"""),"19621115 199203 1 001")</f>
        <v>19621115 199203 1 001</v>
      </c>
      <c r="G119" s="3">
        <f ca="1">IFERROR(__xludf.DUMMYFUNCTION("""COMPUTED_VALUE"""),2015116202)</f>
        <v>2015116202</v>
      </c>
      <c r="H119" s="6" t="str">
        <f ca="1">IFERROR(__xludf.DUMMYFUNCTION("""COMPUTED_VALUE"""),"8447740641130073")</f>
        <v>8447740641130073</v>
      </c>
      <c r="I119" s="3" t="str">
        <f ca="1">IFERROR(__xludf.DUMMYFUNCTION("""COMPUTED_VALUE"""),"PNS")</f>
        <v>PNS</v>
      </c>
      <c r="J119" s="3" t="str">
        <f ca="1">IFERROR(__xludf.DUMMYFUNCTION("""COMPUTED_VALUE"""),"Dosen PNS")</f>
        <v>Dosen PNS</v>
      </c>
      <c r="K119" s="5" t="str">
        <f ca="1">IFERROR(__xludf.DUMMYFUNCTION("""COMPUTED_VALUE"""),"L")</f>
        <v>L</v>
      </c>
      <c r="L119" s="3" t="str">
        <f ca="1">IFERROR(__xludf.DUMMYFUNCTION("""COMPUTED_VALUE"""),"Banyumas")</f>
        <v>Banyumas</v>
      </c>
      <c r="M119" s="9">
        <f ca="1">IFERROR(__xludf.DUMMYFUNCTION("""COMPUTED_VALUE"""),22965)</f>
        <v>22965</v>
      </c>
      <c r="N119" s="4" t="str">
        <f ca="1">IFERROR(__xludf.DUMMYFUNCTION("""COMPUTED_VALUE"""),"Pembina Tk.I")</f>
        <v>Pembina Tk.I</v>
      </c>
      <c r="O119" s="3" t="str">
        <f ca="1">IFERROR(__xludf.DUMMYFUNCTION("""COMPUTED_VALUE"""),"IV/b")</f>
        <v>IV/b</v>
      </c>
      <c r="P119" s="7">
        <f ca="1">IFERROR(__xludf.DUMMYFUNCTION("""COMPUTED_VALUE"""),40817)</f>
        <v>40817</v>
      </c>
      <c r="Q119" s="3" t="str">
        <f ca="1">IFERROR(__xludf.DUMMYFUNCTION("""COMPUTED_VALUE"""),"B.II/3/09537")</f>
        <v>B.II/3/09537</v>
      </c>
      <c r="R119" s="3" t="str">
        <f ca="1">IFERROR(__xludf.DUMMYFUNCTION("""COMPUTED_VALUE"""),"Lektor")</f>
        <v>Lektor</v>
      </c>
      <c r="S119" s="3" t="str">
        <f ca="1">IFERROR(__xludf.DUMMYFUNCTION("""COMPUTED_VALUE"""),"Lektor")</f>
        <v>Lektor</v>
      </c>
      <c r="T119" s="7">
        <f ca="1">IFERROR(__xludf.DUMMYFUNCTION("""COMPUTED_VALUE"""),42522)</f>
        <v>42522</v>
      </c>
      <c r="U119" s="3" t="str">
        <f ca="1">IFERROR(__xludf.DUMMYFUNCTION("""COMPUTED_VALUE"""),"In.17/R/Kp.07.6/488/2016")</f>
        <v>In.17/R/Kp.07.6/488/2016</v>
      </c>
      <c r="V119" s="7">
        <f ca="1">IFERROR(__xludf.DUMMYFUNCTION("""COMPUTED_VALUE"""),42522)</f>
        <v>42522</v>
      </c>
      <c r="W119" s="3">
        <f ca="1">IFERROR(__xludf.DUMMYFUNCTION("""COMPUTED_VALUE"""),11)</f>
        <v>11</v>
      </c>
      <c r="X119" s="3"/>
      <c r="Y119" s="3" t="str">
        <f ca="1">IFERROR(__xludf.DUMMYFUNCTION("""COMPUTED_VALUE"""),"S-2")</f>
        <v>S-2</v>
      </c>
      <c r="Z119" s="3" t="str">
        <f ca="1">IFERROR(__xludf.DUMMYFUNCTION("""COMPUTED_VALUE"""),"33 Tahun 10 Bulan 27 Hari")</f>
        <v>33 Tahun 10 Bulan 27 Hari</v>
      </c>
      <c r="AA119" s="8">
        <f ca="1">IFERROR(__xludf.DUMMYFUNCTION("""COMPUTED_VALUE"""),46722)</f>
        <v>46722</v>
      </c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4"/>
      <c r="AR119" s="3"/>
      <c r="AS119" s="4"/>
      <c r="AT119" s="3"/>
      <c r="AU119" s="3"/>
    </row>
    <row r="120" spans="1:47" x14ac:dyDescent="0.2">
      <c r="A120" s="12">
        <v>119</v>
      </c>
      <c r="B120" s="3" t="str">
        <f ca="1">IFERROR(__xludf.DUMMYFUNCTION("""COMPUTED_VALUE"""),"Muh. Bachrul Ulum")</f>
        <v>Muh. Bachrul Ulum</v>
      </c>
      <c r="C120" s="3" t="str">
        <f ca="1">IFERROR(__xludf.DUMMYFUNCTION("""COMPUTED_VALUE"""),"Muh. Bachrul Ulum, M.H.")</f>
        <v>Muh. Bachrul Ulum, M.H.</v>
      </c>
      <c r="D120" s="3" t="str">
        <f ca="1">IFERROR(__xludf.DUMMYFUNCTION("""COMPUTED_VALUE"""),"Muh. Bachrul Ulum, M.H.")</f>
        <v>Muh. Bachrul Ulum, M.H.</v>
      </c>
      <c r="E120" s="3" t="str">
        <f ca="1">IFERROR(__xludf.DUMMYFUNCTION("""COMPUTED_VALUE"""),"197209062000031002")</f>
        <v>197209062000031002</v>
      </c>
      <c r="F120" s="3" t="str">
        <f ca="1">IFERROR(__xludf.DUMMYFUNCTION("""COMPUTED_VALUE"""),"19720906 200003 1 002")</f>
        <v>19720906 200003 1 002</v>
      </c>
      <c r="G120" s="3">
        <f ca="1">IFERROR(__xludf.DUMMYFUNCTION("""COMPUTED_VALUE"""),2006097204)</f>
        <v>2006097204</v>
      </c>
      <c r="H120" s="6" t="str">
        <f ca="1">IFERROR(__xludf.DUMMYFUNCTION("""COMPUTED_VALUE"""),"9238750651130113")</f>
        <v>9238750651130113</v>
      </c>
      <c r="I120" s="3" t="str">
        <f ca="1">IFERROR(__xludf.DUMMYFUNCTION("""COMPUTED_VALUE"""),"PNS")</f>
        <v>PNS</v>
      </c>
      <c r="J120" s="3" t="str">
        <f ca="1">IFERROR(__xludf.DUMMYFUNCTION("""COMPUTED_VALUE"""),"Dosen PNS")</f>
        <v>Dosen PNS</v>
      </c>
      <c r="K120" s="5" t="str">
        <f ca="1">IFERROR(__xludf.DUMMYFUNCTION("""COMPUTED_VALUE"""),"L")</f>
        <v>L</v>
      </c>
      <c r="L120" s="3" t="str">
        <f ca="1">IFERROR(__xludf.DUMMYFUNCTION("""COMPUTED_VALUE"""),"Cilacap")</f>
        <v>Cilacap</v>
      </c>
      <c r="M120" s="7">
        <f ca="1">IFERROR(__xludf.DUMMYFUNCTION("""COMPUTED_VALUE"""),26548)</f>
        <v>26548</v>
      </c>
      <c r="N120" s="4" t="str">
        <f ca="1">IFERROR(__xludf.DUMMYFUNCTION("""COMPUTED_VALUE"""),"Penata Tk.I")</f>
        <v>Penata Tk.I</v>
      </c>
      <c r="O120" s="3" t="str">
        <f ca="1">IFERROR(__xludf.DUMMYFUNCTION("""COMPUTED_VALUE"""),"III/d")</f>
        <v>III/d</v>
      </c>
      <c r="P120" s="7">
        <f ca="1">IFERROR(__xludf.DUMMYFUNCTION("""COMPUTED_VALUE"""),45444)</f>
        <v>45444</v>
      </c>
      <c r="Q120" s="3" t="str">
        <f ca="1">IFERROR(__xludf.DUMMYFUNCTION("""COMPUTED_VALUE"""),"633/Un.19/K.AUPK/KP.07.1/04/2024")</f>
        <v>633/Un.19/K.AUPK/KP.07.1/04/2024</v>
      </c>
      <c r="R120" s="3" t="str">
        <f ca="1">IFERROR(__xludf.DUMMYFUNCTION("""COMPUTED_VALUE"""),"Lektor")</f>
        <v>Lektor</v>
      </c>
      <c r="S120" s="3" t="str">
        <f ca="1">IFERROR(__xludf.DUMMYFUNCTION("""COMPUTED_VALUE"""),"Lektor")</f>
        <v>Lektor</v>
      </c>
      <c r="T120" s="7">
        <f ca="1">IFERROR(__xludf.DUMMYFUNCTION("""COMPUTED_VALUE"""),40238)</f>
        <v>40238</v>
      </c>
      <c r="U120" s="3"/>
      <c r="V120" s="3"/>
      <c r="W120" s="3">
        <f ca="1">IFERROR(__xludf.DUMMYFUNCTION("""COMPUTED_VALUE"""),11)</f>
        <v>11</v>
      </c>
      <c r="X120" s="7" t="str">
        <f ca="1">IFERROR(__xludf.DUMMYFUNCTION("""COMPUTED_VALUE"""),"Ketua Jurusan Ilmu-Ilmu Syariah Pada Fakultas Syariah")</f>
        <v>Ketua Jurusan Ilmu-Ilmu Syariah Pada Fakultas Syariah</v>
      </c>
      <c r="Y120" s="3" t="str">
        <f ca="1">IFERROR(__xludf.DUMMYFUNCTION("""COMPUTED_VALUE"""),"S-2")</f>
        <v>S-2</v>
      </c>
      <c r="Z120" s="3" t="str">
        <f ca="1">IFERROR(__xludf.DUMMYFUNCTION("""COMPUTED_VALUE"""),"25 Tahun 10 Bulan 27 Hari")</f>
        <v>25 Tahun 10 Bulan 27 Hari</v>
      </c>
      <c r="AA120" s="8">
        <f ca="1">IFERROR(__xludf.DUMMYFUNCTION("""COMPUTED_VALUE"""),50314)</f>
        <v>50314</v>
      </c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4"/>
      <c r="AR120" s="3"/>
      <c r="AS120" s="4"/>
      <c r="AT120" s="3"/>
      <c r="AU120" s="3"/>
    </row>
    <row r="121" spans="1:47" x14ac:dyDescent="0.2">
      <c r="A121" s="12">
        <v>120</v>
      </c>
      <c r="B121" s="3" t="str">
        <f ca="1">IFERROR(__xludf.DUMMYFUNCTION("""COMPUTED_VALUE"""),"Muh. Hanif")</f>
        <v>Muh. Hanif</v>
      </c>
      <c r="C121" s="3" t="str">
        <f ca="1">IFERROR(__xludf.DUMMYFUNCTION("""COMPUTED_VALUE"""),"Dr. Muh. Hanif, S.Ag., M.Ag., M.A.")</f>
        <v>Dr. Muh. Hanif, S.Ag., M.Ag., M.A.</v>
      </c>
      <c r="D121" s="3" t="str">
        <f ca="1">IFERROR(__xludf.DUMMYFUNCTION("""COMPUTED_VALUE"""),"Dr. Muh. Hanif, S.Ag., M.Ag., M.A.")</f>
        <v>Dr. Muh. Hanif, S.Ag., M.Ag., M.A.</v>
      </c>
      <c r="E121" s="3" t="str">
        <f ca="1">IFERROR(__xludf.DUMMYFUNCTION("""COMPUTED_VALUE"""),"197306052008011017")</f>
        <v>197306052008011017</v>
      </c>
      <c r="F121" s="3" t="str">
        <f ca="1">IFERROR(__xludf.DUMMYFUNCTION("""COMPUTED_VALUE"""),"19730605 200801 1 017")</f>
        <v>19730605 200801 1 017</v>
      </c>
      <c r="G121" s="3">
        <f ca="1">IFERROR(__xludf.DUMMYFUNCTION("""COMPUTED_VALUE"""),2005067303)</f>
        <v>2005067303</v>
      </c>
      <c r="H121" s="6" t="str">
        <f ca="1">IFERROR(__xludf.DUMMYFUNCTION("""COMPUTED_VALUE"""),"1937751652130212")</f>
        <v>1937751652130212</v>
      </c>
      <c r="I121" s="3" t="str">
        <f ca="1">IFERROR(__xludf.DUMMYFUNCTION("""COMPUTED_VALUE"""),"PNS")</f>
        <v>PNS</v>
      </c>
      <c r="J121" s="3" t="str">
        <f ca="1">IFERROR(__xludf.DUMMYFUNCTION("""COMPUTED_VALUE"""),"Dosen PNS")</f>
        <v>Dosen PNS</v>
      </c>
      <c r="K121" s="5" t="str">
        <f ca="1">IFERROR(__xludf.DUMMYFUNCTION("""COMPUTED_VALUE"""),"L")</f>
        <v>L</v>
      </c>
      <c r="L121" s="3" t="str">
        <f ca="1">IFERROR(__xludf.DUMMYFUNCTION("""COMPUTED_VALUE"""),"Semarang")</f>
        <v>Semarang</v>
      </c>
      <c r="M121" s="7">
        <f ca="1">IFERROR(__xludf.DUMMYFUNCTION("""COMPUTED_VALUE"""),26820)</f>
        <v>26820</v>
      </c>
      <c r="N121" s="4" t="str">
        <f ca="1">IFERROR(__xludf.DUMMYFUNCTION("""COMPUTED_VALUE"""),"Pembina")</f>
        <v>Pembina</v>
      </c>
      <c r="O121" s="3" t="str">
        <f ca="1">IFERROR(__xludf.DUMMYFUNCTION("""COMPUTED_VALUE"""),"IV/a")</f>
        <v>IV/a</v>
      </c>
      <c r="P121" s="7">
        <f ca="1">IFERROR(__xludf.DUMMYFUNCTION("""COMPUTED_VALUE"""),45444)</f>
        <v>45444</v>
      </c>
      <c r="Q121" s="3" t="str">
        <f ca="1">IFERROR(__xludf.DUMMYFUNCTION("""COMPUTED_VALUE"""),"023875/B.II/3/2024")</f>
        <v>023875/B.II/3/2024</v>
      </c>
      <c r="R121" s="3" t="str">
        <f ca="1">IFERROR(__xludf.DUMMYFUNCTION("""COMPUTED_VALUE"""),"Lektor Kepala")</f>
        <v>Lektor Kepala</v>
      </c>
      <c r="S121" s="3" t="str">
        <f ca="1">IFERROR(__xludf.DUMMYFUNCTION("""COMPUTED_VALUE"""),"Lektor Kepala")</f>
        <v>Lektor Kepala</v>
      </c>
      <c r="T121" s="7">
        <f ca="1">IFERROR(__xludf.DUMMYFUNCTION("""COMPUTED_VALUE"""),41518)</f>
        <v>41518</v>
      </c>
      <c r="U121" s="3" t="str">
        <f ca="1">IFERROR(__xludf.DUMMYFUNCTION("""COMPUTED_VALUE"""),"126902/B.II/3/2023")</f>
        <v>126902/B.II/3/2023</v>
      </c>
      <c r="V121" s="7">
        <f ca="1">IFERROR(__xludf.DUMMYFUNCTION("""COMPUTED_VALUE"""),45291)</f>
        <v>45291</v>
      </c>
      <c r="W121" s="3">
        <f ca="1">IFERROR(__xludf.DUMMYFUNCTION("""COMPUTED_VALUE"""),13)</f>
        <v>13</v>
      </c>
      <c r="X121" s="3"/>
      <c r="Y121" s="3" t="str">
        <f ca="1">IFERROR(__xludf.DUMMYFUNCTION("""COMPUTED_VALUE"""),"S-3")</f>
        <v>S-3</v>
      </c>
      <c r="Z121" s="3" t="str">
        <f ca="1">IFERROR(__xludf.DUMMYFUNCTION("""COMPUTED_VALUE"""),"18 Tahun 0 Bulan 27 Hari")</f>
        <v>18 Tahun 0 Bulan 27 Hari</v>
      </c>
      <c r="AA121" s="8">
        <f ca="1">IFERROR(__xludf.DUMMYFUNCTION("""COMPUTED_VALUE"""),50587)</f>
        <v>50587</v>
      </c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4"/>
      <c r="AR121" s="3"/>
      <c r="AS121" s="4"/>
      <c r="AT121" s="3"/>
      <c r="AU121" s="3"/>
    </row>
    <row r="122" spans="1:47" x14ac:dyDescent="0.2">
      <c r="A122" s="12">
        <v>121</v>
      </c>
      <c r="B122" s="3" t="str">
        <f ca="1">IFERROR(__xludf.DUMMYFUNCTION("""COMPUTED_VALUE"""),"Muh. Hizbul Muflihin")</f>
        <v>Muh. Hizbul Muflihin</v>
      </c>
      <c r="C122" s="3" t="str">
        <f ca="1">IFERROR(__xludf.DUMMYFUNCTION("""COMPUTED_VALUE"""),"Prof. Dr. H. Muh. Hizbul Muflihin, M.Pd.")</f>
        <v>Prof. Dr. H. Muh. Hizbul Muflihin, M.Pd.</v>
      </c>
      <c r="D122" s="3" t="str">
        <f ca="1">IFERROR(__xludf.DUMMYFUNCTION("""COMPUTED_VALUE"""),"Prof. Dr. H. Muh. Hizbul Muflihin, M.Pd.")</f>
        <v>Prof. Dr. H. Muh. Hizbul Muflihin, M.Pd.</v>
      </c>
      <c r="E122" s="3" t="str">
        <f ca="1">IFERROR(__xludf.DUMMYFUNCTION("""COMPUTED_VALUE"""),"196303021991031005")</f>
        <v>196303021991031005</v>
      </c>
      <c r="F122" s="3" t="str">
        <f ca="1">IFERROR(__xludf.DUMMYFUNCTION("""COMPUTED_VALUE"""),"19630302 199103 1 005")</f>
        <v>19630302 199103 1 005</v>
      </c>
      <c r="G122" s="3">
        <f ca="1">IFERROR(__xludf.DUMMYFUNCTION("""COMPUTED_VALUE"""),2002036301)</f>
        <v>2002036301</v>
      </c>
      <c r="H122" s="6" t="str">
        <f ca="1">IFERROR(__xludf.DUMMYFUNCTION("""COMPUTED_VALUE"""),"1436750651130113")</f>
        <v>1436750651130113</v>
      </c>
      <c r="I122" s="3" t="str">
        <f ca="1">IFERROR(__xludf.DUMMYFUNCTION("""COMPUTED_VALUE"""),"PNS")</f>
        <v>PNS</v>
      </c>
      <c r="J122" s="3" t="str">
        <f ca="1">IFERROR(__xludf.DUMMYFUNCTION("""COMPUTED_VALUE"""),"Dosen PNS")</f>
        <v>Dosen PNS</v>
      </c>
      <c r="K122" s="5" t="str">
        <f ca="1">IFERROR(__xludf.DUMMYFUNCTION("""COMPUTED_VALUE"""),"L")</f>
        <v>L</v>
      </c>
      <c r="L122" s="3" t="str">
        <f ca="1">IFERROR(__xludf.DUMMYFUNCTION("""COMPUTED_VALUE"""),"Klaten")</f>
        <v>Klaten</v>
      </c>
      <c r="M122" s="7">
        <f ca="1">IFERROR(__xludf.DUMMYFUNCTION("""COMPUTED_VALUE"""),23072)</f>
        <v>23072</v>
      </c>
      <c r="N122" s="4" t="str">
        <f ca="1">IFERROR(__xludf.DUMMYFUNCTION("""COMPUTED_VALUE"""),"Pembina Utama Muda")</f>
        <v>Pembina Utama Muda</v>
      </c>
      <c r="O122" s="3" t="str">
        <f ca="1">IFERROR(__xludf.DUMMYFUNCTION("""COMPUTED_VALUE"""),"IV/c")</f>
        <v>IV/c</v>
      </c>
      <c r="P122" s="7">
        <f ca="1">IFERROR(__xludf.DUMMYFUNCTION("""COMPUTED_VALUE"""),45383)</f>
        <v>45383</v>
      </c>
      <c r="Q122" s="3" t="str">
        <f ca="1">IFERROR(__xludf.DUMMYFUNCTION("""COMPUTED_VALUE"""),"00044/KEP/AA/15001/24")</f>
        <v>00044/KEP/AA/15001/24</v>
      </c>
      <c r="R122" s="3" t="str">
        <f ca="1">IFERROR(__xludf.DUMMYFUNCTION("""COMPUTED_VALUE"""),"Guru Besar")</f>
        <v>Guru Besar</v>
      </c>
      <c r="S122" s="3" t="str">
        <f ca="1">IFERROR(__xludf.DUMMYFUNCTION("""COMPUTED_VALUE"""),"Guru Besar")</f>
        <v>Guru Besar</v>
      </c>
      <c r="T122" s="7">
        <f ca="1">IFERROR(__xludf.DUMMYFUNCTION("""COMPUTED_VALUE"""),45536)</f>
        <v>45536</v>
      </c>
      <c r="U122" s="3" t="str">
        <f ca="1">IFERROR(__xludf.DUMMYFUNCTION("""COMPUTED_VALUE"""),"95382/M/07/2024")</f>
        <v>95382/M/07/2024</v>
      </c>
      <c r="V122" s="7">
        <f ca="1">IFERROR(__xludf.DUMMYFUNCTION("""COMPUTED_VALUE"""),45582)</f>
        <v>45582</v>
      </c>
      <c r="W122" s="3">
        <f ca="1">IFERROR(__xludf.DUMMYFUNCTION("""COMPUTED_VALUE"""),15)</f>
        <v>15</v>
      </c>
      <c r="X122" s="7" t="str">
        <f ca="1">IFERROR(__xludf.DUMMYFUNCTION("""COMPUTED_VALUE"""),"Anggota Senat")</f>
        <v>Anggota Senat</v>
      </c>
      <c r="Y122" s="3" t="str">
        <f ca="1">IFERROR(__xludf.DUMMYFUNCTION("""COMPUTED_VALUE"""),"S-3")</f>
        <v>S-3</v>
      </c>
      <c r="Z122" s="3" t="str">
        <f ca="1">IFERROR(__xludf.DUMMYFUNCTION("""COMPUTED_VALUE"""),"34 Tahun 10 Bulan 27 Hari")</f>
        <v>34 Tahun 10 Bulan 27 Hari</v>
      </c>
      <c r="AA122" s="8">
        <f ca="1">IFERROR(__xludf.DUMMYFUNCTION("""COMPUTED_VALUE"""),48670)</f>
        <v>48670</v>
      </c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4"/>
      <c r="AR122" s="3"/>
      <c r="AS122" s="4"/>
      <c r="AT122" s="3"/>
      <c r="AU122" s="3"/>
    </row>
    <row r="123" spans="1:47" x14ac:dyDescent="0.2">
      <c r="A123" s="12">
        <v>122</v>
      </c>
      <c r="B123" s="3" t="str">
        <f ca="1">IFERROR(__xludf.DUMMYFUNCTION("""COMPUTED_VALUE"""),"Muhamad Slamet Yahya")</f>
        <v>Muhamad Slamet Yahya</v>
      </c>
      <c r="C123" s="3" t="str">
        <f ca="1">IFERROR(__xludf.DUMMYFUNCTION("""COMPUTED_VALUE"""),"Dr. H. Muhamad Slamet Yahya, M.Ag.")</f>
        <v>Dr. H. Muhamad Slamet Yahya, M.Ag.</v>
      </c>
      <c r="D123" s="3" t="str">
        <f ca="1">IFERROR(__xludf.DUMMYFUNCTION("""COMPUTED_VALUE"""),"Dr. H. Muhamad Slamet Yahya, M.Ag.")</f>
        <v>Dr. H. Muhamad Slamet Yahya, M.Ag.</v>
      </c>
      <c r="E123" s="3" t="str">
        <f ca="1">IFERROR(__xludf.DUMMYFUNCTION("""COMPUTED_VALUE"""),"197211042003121003")</f>
        <v>197211042003121003</v>
      </c>
      <c r="F123" s="3" t="str">
        <f ca="1">IFERROR(__xludf.DUMMYFUNCTION("""COMPUTED_VALUE"""),"19721104 200312 1 003")</f>
        <v>19721104 200312 1 003</v>
      </c>
      <c r="G123" s="3">
        <f ca="1">IFERROR(__xludf.DUMMYFUNCTION("""COMPUTED_VALUE"""),2004117201)</f>
        <v>2004117201</v>
      </c>
      <c r="H123" s="6" t="str">
        <f ca="1">IFERROR(__xludf.DUMMYFUNCTION("""COMPUTED_VALUE"""),"3646773674130242")</f>
        <v>3646773674130242</v>
      </c>
      <c r="I123" s="3" t="str">
        <f ca="1">IFERROR(__xludf.DUMMYFUNCTION("""COMPUTED_VALUE"""),"PNS")</f>
        <v>PNS</v>
      </c>
      <c r="J123" s="3" t="str">
        <f ca="1">IFERROR(__xludf.DUMMYFUNCTION("""COMPUTED_VALUE"""),"Dosen PNS")</f>
        <v>Dosen PNS</v>
      </c>
      <c r="K123" s="5" t="str">
        <f ca="1">IFERROR(__xludf.DUMMYFUNCTION("""COMPUTED_VALUE"""),"L")</f>
        <v>L</v>
      </c>
      <c r="L123" s="3" t="str">
        <f ca="1">IFERROR(__xludf.DUMMYFUNCTION("""COMPUTED_VALUE"""),"Kebumen")</f>
        <v>Kebumen</v>
      </c>
      <c r="M123" s="7">
        <f ca="1">IFERROR(__xludf.DUMMYFUNCTION("""COMPUTED_VALUE"""),26607)</f>
        <v>26607</v>
      </c>
      <c r="N123" s="4" t="str">
        <f ca="1">IFERROR(__xludf.DUMMYFUNCTION("""COMPUTED_VALUE"""),"Pembina Tk.I")</f>
        <v>Pembina Tk.I</v>
      </c>
      <c r="O123" s="3" t="str">
        <f ca="1">IFERROR(__xludf.DUMMYFUNCTION("""COMPUTED_VALUE"""),"IV/b")</f>
        <v>IV/b</v>
      </c>
      <c r="P123" s="7">
        <f ca="1">IFERROR(__xludf.DUMMYFUNCTION("""COMPUTED_VALUE"""),45383)</f>
        <v>45383</v>
      </c>
      <c r="Q123" s="3" t="str">
        <f ca="1">IFERROR(__xludf.DUMMYFUNCTION("""COMPUTED_VALUE"""),"012599/B.II/3/2024")</f>
        <v>012599/B.II/3/2024</v>
      </c>
      <c r="R123" s="3" t="str">
        <f ca="1">IFERROR(__xludf.DUMMYFUNCTION("""COMPUTED_VALUE"""),"Lektor Kepala")</f>
        <v>Lektor Kepala</v>
      </c>
      <c r="S123" s="3" t="str">
        <f ca="1">IFERROR(__xludf.DUMMYFUNCTION("""COMPUTED_VALUE"""),"Lektor Kepala")</f>
        <v>Lektor Kepala</v>
      </c>
      <c r="T123" s="7">
        <f ca="1">IFERROR(__xludf.DUMMYFUNCTION("""COMPUTED_VALUE"""),44317)</f>
        <v>44317</v>
      </c>
      <c r="U123" s="3" t="str">
        <f ca="1">IFERROR(__xludf.DUMMYFUNCTION("""COMPUTED_VALUE"""),"1732/In.17/R/Kp.07.6/2/2021")</f>
        <v>1732/In.17/R/Kp.07.6/2/2021</v>
      </c>
      <c r="V123" s="7">
        <f ca="1">IFERROR(__xludf.DUMMYFUNCTION("""COMPUTED_VALUE"""),40087)</f>
        <v>40087</v>
      </c>
      <c r="W123" s="3">
        <f ca="1">IFERROR(__xludf.DUMMYFUNCTION("""COMPUTED_VALUE"""),13)</f>
        <v>13</v>
      </c>
      <c r="X123" s="7" t="str">
        <f ca="1">IFERROR(__xludf.DUMMYFUNCTION("""COMPUTED_VALUE"""),"Ketua Program Studi S-2 Pendidikan Agama Islam Pascasarjana")</f>
        <v>Ketua Program Studi S-2 Pendidikan Agama Islam Pascasarjana</v>
      </c>
      <c r="Y123" s="3" t="str">
        <f ca="1">IFERROR(__xludf.DUMMYFUNCTION("""COMPUTED_VALUE"""),"S-3")</f>
        <v>S-3</v>
      </c>
      <c r="Z123" s="3" t="str">
        <f ca="1">IFERROR(__xludf.DUMMYFUNCTION("""COMPUTED_VALUE"""),"22 Tahun 1 Bulan 27 Hari")</f>
        <v>22 Tahun 1 Bulan 27 Hari</v>
      </c>
      <c r="AA123" s="8">
        <f ca="1">IFERROR(__xludf.DUMMYFUNCTION("""COMPUTED_VALUE"""),50375)</f>
        <v>50375</v>
      </c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4"/>
      <c r="AR123" s="3"/>
      <c r="AS123" s="4"/>
      <c r="AT123" s="3"/>
      <c r="AU123" s="3"/>
    </row>
    <row r="124" spans="1:47" x14ac:dyDescent="0.2">
      <c r="A124" s="12">
        <v>123</v>
      </c>
      <c r="B124" s="3" t="str">
        <f ca="1">IFERROR(__xludf.DUMMYFUNCTION("""COMPUTED_VALUE"""),"Muhammad Ash-shiddiqy")</f>
        <v>Muhammad Ash-shiddiqy</v>
      </c>
      <c r="C124" s="3" t="str">
        <f ca="1">IFERROR(__xludf.DUMMYFUNCTION("""COMPUTED_VALUE"""),"Muhammad Ash-Shiddiqy, M.E.")</f>
        <v>Muhammad Ash-Shiddiqy, M.E.</v>
      </c>
      <c r="D124" s="3" t="str">
        <f ca="1">IFERROR(__xludf.DUMMYFUNCTION("""COMPUTED_VALUE"""),"Dr. Muhammad Ash-Shiddiqy, M.E.")</f>
        <v>Dr. Muhammad Ash-Shiddiqy, M.E.</v>
      </c>
      <c r="E124" s="3" t="str">
        <f ca="1">IFERROR(__xludf.DUMMYFUNCTION("""COMPUTED_VALUE"""),"199503142020121010")</f>
        <v>199503142020121010</v>
      </c>
      <c r="F124" s="3" t="str">
        <f ca="1">IFERROR(__xludf.DUMMYFUNCTION("""COMPUTED_VALUE"""),"‌19950314 202012 1 010")</f>
        <v>‌19950314 202012 1 010</v>
      </c>
      <c r="G124" s="3">
        <f ca="1">IFERROR(__xludf.DUMMYFUNCTION("""COMPUTED_VALUE"""),2014039503)</f>
        <v>2014039503</v>
      </c>
      <c r="H124" s="6" t="str">
        <f ca="1">IFERROR(__xludf.DUMMYFUNCTION("""COMPUTED_VALUE"""),"3646773674130242")</f>
        <v>3646773674130242</v>
      </c>
      <c r="I124" s="3" t="str">
        <f ca="1">IFERROR(__xludf.DUMMYFUNCTION("""COMPUTED_VALUE"""),"PNS")</f>
        <v>PNS</v>
      </c>
      <c r="J124" s="3" t="str">
        <f ca="1">IFERROR(__xludf.DUMMYFUNCTION("""COMPUTED_VALUE"""),"Dosen PNS")</f>
        <v>Dosen PNS</v>
      </c>
      <c r="K124" s="5" t="str">
        <f ca="1">IFERROR(__xludf.DUMMYFUNCTION("""COMPUTED_VALUE"""),"L")</f>
        <v>L</v>
      </c>
      <c r="L124" s="3" t="str">
        <f ca="1">IFERROR(__xludf.DUMMYFUNCTION("""COMPUTED_VALUE"""),"Pekalongan")</f>
        <v>Pekalongan</v>
      </c>
      <c r="M124" s="7">
        <f ca="1">IFERROR(__xludf.DUMMYFUNCTION("""COMPUTED_VALUE"""),34772)</f>
        <v>34772</v>
      </c>
      <c r="N124" s="4" t="str">
        <f ca="1">IFERROR(__xludf.DUMMYFUNCTION("""COMPUTED_VALUE"""),"Penata")</f>
        <v>Penata</v>
      </c>
      <c r="O124" s="3" t="str">
        <f ca="1">IFERROR(__xludf.DUMMYFUNCTION("""COMPUTED_VALUE"""),"III/c")</f>
        <v>III/c</v>
      </c>
      <c r="P124" s="7">
        <f ca="1">IFERROR(__xludf.DUMMYFUNCTION("""COMPUTED_VALUE"""),45748)</f>
        <v>45748</v>
      </c>
      <c r="Q124" s="3" t="str">
        <f ca="1">IFERROR(__xludf.DUMMYFUNCTION("""COMPUTED_VALUE"""),"279/Un.19/K.AUPK/KP.11.1/02/2025")</f>
        <v>279/Un.19/K.AUPK/KP.11.1/02/2025</v>
      </c>
      <c r="R124" s="3" t="str">
        <f ca="1">IFERROR(__xludf.DUMMYFUNCTION("""COMPUTED_VALUE"""),"Lektor")</f>
        <v>Lektor</v>
      </c>
      <c r="S124" s="3" t="str">
        <f ca="1">IFERROR(__xludf.DUMMYFUNCTION("""COMPUTED_VALUE"""),"Lektor")</f>
        <v>Lektor</v>
      </c>
      <c r="T124" s="7">
        <f ca="1">IFERROR(__xludf.DUMMYFUNCTION("""COMPUTED_VALUE"""),45689)</f>
        <v>45689</v>
      </c>
      <c r="U124" s="3" t="str">
        <f ca="1">IFERROR(__xludf.DUMMYFUNCTION("""COMPUTED_VALUE"""),"234.1/Un.19/R/KP.08.1/1/2025")</f>
        <v>234.1/Un.19/R/KP.08.1/1/2025</v>
      </c>
      <c r="V124" s="7">
        <f ca="1">IFERROR(__xludf.DUMMYFUNCTION("""COMPUTED_VALUE"""),45681)</f>
        <v>45681</v>
      </c>
      <c r="W124" s="3">
        <f ca="1">IFERROR(__xludf.DUMMYFUNCTION("""COMPUTED_VALUE"""),11)</f>
        <v>11</v>
      </c>
      <c r="X124" s="3"/>
      <c r="Y124" s="3" t="str">
        <f ca="1">IFERROR(__xludf.DUMMYFUNCTION("""COMPUTED_VALUE"""),"S-3")</f>
        <v>S-3</v>
      </c>
      <c r="Z124" s="3" t="str">
        <f ca="1">IFERROR(__xludf.DUMMYFUNCTION("""COMPUTED_VALUE"""),"5 Tahun 1 Bulan 27 Hari")</f>
        <v>5 Tahun 1 Bulan 27 Hari</v>
      </c>
      <c r="AA124" s="8">
        <f ca="1">IFERROR(__xludf.DUMMYFUNCTION("""COMPUTED_VALUE"""),58532)</f>
        <v>58532</v>
      </c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4"/>
      <c r="AR124" s="3"/>
      <c r="AS124" s="4"/>
      <c r="AT124" s="3"/>
      <c r="AU124" s="3"/>
    </row>
    <row r="125" spans="1:47" x14ac:dyDescent="0.2">
      <c r="A125" s="12">
        <v>124</v>
      </c>
      <c r="B125" s="3" t="str">
        <f ca="1">IFERROR(__xludf.DUMMYFUNCTION("""COMPUTED_VALUE"""),"Muhammad Iqbal Juliansyahzen")</f>
        <v>Muhammad Iqbal Juliansyahzen</v>
      </c>
      <c r="C125" s="3" t="str">
        <f ca="1">IFERROR(__xludf.DUMMYFUNCTION("""COMPUTED_VALUE"""),"Dr. H. Muhammad Iqbal Juliansyahzen, S.Sy., M.H.")</f>
        <v>Dr. H. Muhammad Iqbal Juliansyahzen, S.Sy., M.H.</v>
      </c>
      <c r="D125" s="3" t="str">
        <f ca="1">IFERROR(__xludf.DUMMYFUNCTION("""COMPUTED_VALUE"""),"Dr. H. Muhammad Iqbal Juliansyahzen, S.Sy., M.H.")</f>
        <v>Dr. H. Muhammad Iqbal Juliansyahzen, S.Sy., M.H.</v>
      </c>
      <c r="E125" s="3" t="str">
        <f ca="1">IFERROR(__xludf.DUMMYFUNCTION("""COMPUTED_VALUE"""),"199207212019031015")</f>
        <v>199207212019031015</v>
      </c>
      <c r="F125" s="3" t="str">
        <f ca="1">IFERROR(__xludf.DUMMYFUNCTION("""COMPUTED_VALUE"""),"19920721 201903 1 015")</f>
        <v>19920721 201903 1 015</v>
      </c>
      <c r="G125" s="3">
        <f ca="1">IFERROR(__xludf.DUMMYFUNCTION("""COMPUTED_VALUE"""),2021079201)</f>
        <v>2021079201</v>
      </c>
      <c r="H125" s="6" t="str">
        <f ca="1">IFERROR(__xludf.DUMMYFUNCTION("""COMPUTED_VALUE"""),"3053770671130303")</f>
        <v>3053770671130303</v>
      </c>
      <c r="I125" s="3" t="str">
        <f ca="1">IFERROR(__xludf.DUMMYFUNCTION("""COMPUTED_VALUE"""),"PNS")</f>
        <v>PNS</v>
      </c>
      <c r="J125" s="3" t="str">
        <f ca="1">IFERROR(__xludf.DUMMYFUNCTION("""COMPUTED_VALUE"""),"Dosen PNS")</f>
        <v>Dosen PNS</v>
      </c>
      <c r="K125" s="5" t="str">
        <f ca="1">IFERROR(__xludf.DUMMYFUNCTION("""COMPUTED_VALUE"""),"L")</f>
        <v>L</v>
      </c>
      <c r="L125" s="3" t="str">
        <f ca="1">IFERROR(__xludf.DUMMYFUNCTION("""COMPUTED_VALUE"""),"Taman Fajar")</f>
        <v>Taman Fajar</v>
      </c>
      <c r="M125" s="7">
        <f ca="1">IFERROR(__xludf.DUMMYFUNCTION("""COMPUTED_VALUE"""),33806)</f>
        <v>33806</v>
      </c>
      <c r="N125" s="4" t="str">
        <f ca="1">IFERROR(__xludf.DUMMYFUNCTION("""COMPUTED_VALUE"""),"Penata Tk.I")</f>
        <v>Penata Tk.I</v>
      </c>
      <c r="O125" s="3" t="str">
        <f ca="1">IFERROR(__xludf.DUMMYFUNCTION("""COMPUTED_VALUE"""),"III/d")</f>
        <v>III/d</v>
      </c>
      <c r="P125" s="7">
        <f ca="1">IFERROR(__xludf.DUMMYFUNCTION("""COMPUTED_VALUE"""),45931)</f>
        <v>45931</v>
      </c>
      <c r="Q125" s="3" t="str">
        <f ca="1">IFERROR(__xludf.DUMMYFUNCTION("""COMPUTED_VALUE"""),"199574/B.II/KP.07.1/08/2025")</f>
        <v>199574/B.II/KP.07.1/08/2025</v>
      </c>
      <c r="R125" s="3" t="str">
        <f ca="1">IFERROR(__xludf.DUMMYFUNCTION("""COMPUTED_VALUE"""),"Lektor")</f>
        <v>Lektor</v>
      </c>
      <c r="S125" s="3" t="str">
        <f ca="1">IFERROR(__xludf.DUMMYFUNCTION("""COMPUTED_VALUE"""),"Lektor")</f>
        <v>Lektor</v>
      </c>
      <c r="T125" s="7">
        <f ca="1">IFERROR(__xludf.DUMMYFUNCTION("""COMPUTED_VALUE"""),45047)</f>
        <v>45047</v>
      </c>
      <c r="U125" s="3" t="str">
        <f ca="1">IFERROR(__xludf.DUMMYFUNCTION("""COMPUTED_VALUE"""),"684/Un.19/K.AUPK/Kp.07.6/5/2023")</f>
        <v>684/Un.19/K.AUPK/Kp.07.6/5/2023</v>
      </c>
      <c r="V125" s="7">
        <f ca="1">IFERROR(__xludf.DUMMYFUNCTION("""COMPUTED_VALUE"""),45051)</f>
        <v>45051</v>
      </c>
      <c r="W125" s="3">
        <f ca="1">IFERROR(__xludf.DUMMYFUNCTION("""COMPUTED_VALUE"""),11)</f>
        <v>11</v>
      </c>
      <c r="X125" s="7" t="str">
        <f ca="1">IFERROR(__xludf.DUMMYFUNCTION("""COMPUTED_VALUE"""),"Wakil Dekan Bidang Akademik dan Kelembagaan Pada Fakultas Syariah")</f>
        <v>Wakil Dekan Bidang Akademik dan Kelembagaan Pada Fakultas Syariah</v>
      </c>
      <c r="Y125" s="3" t="str">
        <f ca="1">IFERROR(__xludf.DUMMYFUNCTION("""COMPUTED_VALUE"""),"S-3")</f>
        <v>S-3</v>
      </c>
      <c r="Z125" s="3" t="str">
        <f ca="1">IFERROR(__xludf.DUMMYFUNCTION("""COMPUTED_VALUE"""),"6 Tahun 10 Bulan 27 Hari")</f>
        <v>6 Tahun 10 Bulan 27 Hari</v>
      </c>
      <c r="AA125" s="8">
        <f ca="1">IFERROR(__xludf.DUMMYFUNCTION("""COMPUTED_VALUE"""),57558)</f>
        <v>57558</v>
      </c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4"/>
      <c r="AR125" s="3"/>
      <c r="AS125" s="4"/>
      <c r="AT125" s="3"/>
      <c r="AU125" s="3"/>
    </row>
    <row r="126" spans="1:47" x14ac:dyDescent="0.2">
      <c r="A126" s="12">
        <v>125</v>
      </c>
      <c r="B126" s="3" t="str">
        <f ca="1">IFERROR(__xludf.DUMMYFUNCTION("""COMPUTED_VALUE"""),"Muhammad Jefriyanto Budikafa")</f>
        <v>Muhammad Jefriyanto Budikafa</v>
      </c>
      <c r="C126" s="3" t="str">
        <f ca="1">IFERROR(__xludf.DUMMYFUNCTION("""COMPUTED_VALUE"""),"Muhammad Jefriyanto Budikafa, S.Farm., M.Pharm.Sci.")</f>
        <v>Muhammad Jefriyanto Budikafa, S.Farm., M.Pharm.Sci.</v>
      </c>
      <c r="D126" s="3" t="str">
        <f ca="1">IFERROR(__xludf.DUMMYFUNCTION("""COMPUTED_VALUE"""),"Muhammad Jefriyanto Budikafa, S.Farm., M.Pharm.Sci.")</f>
        <v>Muhammad Jefriyanto Budikafa, S.Farm., M.Pharm.Sci.</v>
      </c>
      <c r="E126" s="3" t="str">
        <f ca="1">IFERROR(__xludf.DUMMYFUNCTION("""COMPUTED_VALUE"""),"199301152020121011")</f>
        <v>199301152020121011</v>
      </c>
      <c r="F126" s="3" t="str">
        <f ca="1">IFERROR(__xludf.DUMMYFUNCTION("""COMPUTED_VALUE"""),"‌19930115 202012 1 011")</f>
        <v>‌19930115 202012 1 011</v>
      </c>
      <c r="G126" s="3">
        <f ca="1">IFERROR(__xludf.DUMMYFUNCTION("""COMPUTED_VALUE"""),2015019302)</f>
        <v>2015019302</v>
      </c>
      <c r="H126" s="6" t="str">
        <f ca="1">IFERROR(__xludf.DUMMYFUNCTION("""COMPUTED_VALUE"""),"1447771672130282")</f>
        <v>1447771672130282</v>
      </c>
      <c r="I126" s="3" t="str">
        <f ca="1">IFERROR(__xludf.DUMMYFUNCTION("""COMPUTED_VALUE"""),"PNS")</f>
        <v>PNS</v>
      </c>
      <c r="J126" s="3" t="str">
        <f ca="1">IFERROR(__xludf.DUMMYFUNCTION("""COMPUTED_VALUE"""),"Dosen PNS")</f>
        <v>Dosen PNS</v>
      </c>
      <c r="K126" s="5" t="str">
        <f ca="1">IFERROR(__xludf.DUMMYFUNCTION("""COMPUTED_VALUE"""),"L")</f>
        <v>L</v>
      </c>
      <c r="L126" s="3" t="str">
        <f ca="1">IFERROR(__xludf.DUMMYFUNCTION("""COMPUTED_VALUE"""),"Kendari")</f>
        <v>Kendari</v>
      </c>
      <c r="M126" s="7">
        <f ca="1">IFERROR(__xludf.DUMMYFUNCTION("""COMPUTED_VALUE"""),33984)</f>
        <v>33984</v>
      </c>
      <c r="N126" s="4" t="str">
        <f ca="1">IFERROR(__xludf.DUMMYFUNCTION("""COMPUTED_VALUE"""),"Penata Muda Tk.I")</f>
        <v>Penata Muda Tk.I</v>
      </c>
      <c r="O126" s="3" t="str">
        <f ca="1">IFERROR(__xludf.DUMMYFUNCTION("""COMPUTED_VALUE"""),"III/b")</f>
        <v>III/b</v>
      </c>
      <c r="P126" s="7">
        <f ca="1">IFERROR(__xludf.DUMMYFUNCTION("""COMPUTED_VALUE"""),44562)</f>
        <v>44562</v>
      </c>
      <c r="Q126" s="3" t="str">
        <f ca="1">IFERROR(__xludf.DUMMYFUNCTION("""COMPUTED_VALUE"""),"3575/Un.19/R/KP.00.3/12/2021")</f>
        <v>3575/Un.19/R/KP.00.3/12/2021</v>
      </c>
      <c r="R126" s="3" t="str">
        <f ca="1">IFERROR(__xludf.DUMMYFUNCTION("""COMPUTED_VALUE"""),"Asisten Ahli")</f>
        <v>Asisten Ahli</v>
      </c>
      <c r="S126" s="3" t="str">
        <f ca="1">IFERROR(__xludf.DUMMYFUNCTION("""COMPUTED_VALUE"""),"Asisten Ahli")</f>
        <v>Asisten Ahli</v>
      </c>
      <c r="T126" s="7">
        <f ca="1">IFERROR(__xludf.DUMMYFUNCTION("""COMPUTED_VALUE"""),45047)</f>
        <v>45047</v>
      </c>
      <c r="U126" s="3" t="str">
        <f ca="1">IFERROR(__xludf.DUMMYFUNCTION("""COMPUTED_VALUE"""),"013475/B.II/3/2023")</f>
        <v>013475/B.II/3/2023</v>
      </c>
      <c r="V126" s="7">
        <f ca="1">IFERROR(__xludf.DUMMYFUNCTION("""COMPUTED_VALUE"""),45090)</f>
        <v>45090</v>
      </c>
      <c r="W126" s="3">
        <f ca="1">IFERROR(__xludf.DUMMYFUNCTION("""COMPUTED_VALUE"""),9)</f>
        <v>9</v>
      </c>
      <c r="X126" s="3"/>
      <c r="Y126" s="3" t="str">
        <f ca="1">IFERROR(__xludf.DUMMYFUNCTION("""COMPUTED_VALUE"""),"S-2")</f>
        <v>S-2</v>
      </c>
      <c r="Z126" s="3" t="str">
        <f ca="1">IFERROR(__xludf.DUMMYFUNCTION("""COMPUTED_VALUE"""),"5 Tahun 1 Bulan 27 Hari")</f>
        <v>5 Tahun 1 Bulan 27 Hari</v>
      </c>
      <c r="AA126" s="8">
        <f ca="1">IFERROR(__xludf.DUMMYFUNCTION("""COMPUTED_VALUE"""),57742)</f>
        <v>57742</v>
      </c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4"/>
      <c r="AR126" s="3"/>
      <c r="AS126" s="4"/>
      <c r="AT126" s="3"/>
      <c r="AU126" s="3"/>
    </row>
    <row r="127" spans="1:47" x14ac:dyDescent="0.2">
      <c r="A127" s="12">
        <v>126</v>
      </c>
      <c r="B127" s="3" t="str">
        <f ca="1">IFERROR(__xludf.DUMMYFUNCTION("""COMPUTED_VALUE"""),"Muhammad Nurhalim")</f>
        <v>Muhammad Nurhalim</v>
      </c>
      <c r="C127" s="3" t="str">
        <f ca="1">IFERROR(__xludf.DUMMYFUNCTION("""COMPUTED_VALUE"""),"Dr. Muhammad Nurhalim, S.Pd.I., M.Pd.")</f>
        <v>Dr. Muhammad Nurhalim, S.Pd.I., M.Pd.</v>
      </c>
      <c r="D127" s="3" t="str">
        <f ca="1">IFERROR(__xludf.DUMMYFUNCTION("""COMPUTED_VALUE"""),"Dr. Muhammad Nurhalim, S.Pd.I., M.Pd.")</f>
        <v>Dr. Muhammad Nurhalim, S.Pd.I., M.Pd.</v>
      </c>
      <c r="E127" s="3" t="str">
        <f ca="1">IFERROR(__xludf.DUMMYFUNCTION("""COMPUTED_VALUE"""),"198112212009011008")</f>
        <v>198112212009011008</v>
      </c>
      <c r="F127" s="3" t="str">
        <f ca="1">IFERROR(__xludf.DUMMYFUNCTION("""COMPUTED_VALUE"""),"19811221 200901 1 008")</f>
        <v>19811221 200901 1 008</v>
      </c>
      <c r="G127" s="3">
        <f ca="1">IFERROR(__xludf.DUMMYFUNCTION("""COMPUTED_VALUE"""),2012128101)</f>
        <v>2012128101</v>
      </c>
      <c r="H127" s="6" t="str">
        <f ca="1">IFERROR(__xludf.DUMMYFUNCTION("""COMPUTED_VALUE"""),"8553759660130173")</f>
        <v>8553759660130173</v>
      </c>
      <c r="I127" s="3" t="str">
        <f ca="1">IFERROR(__xludf.DUMMYFUNCTION("""COMPUTED_VALUE"""),"PNS")</f>
        <v>PNS</v>
      </c>
      <c r="J127" s="3" t="str">
        <f ca="1">IFERROR(__xludf.DUMMYFUNCTION("""COMPUTED_VALUE"""),"Dosen PNS")</f>
        <v>Dosen PNS</v>
      </c>
      <c r="K127" s="5" t="str">
        <f ca="1">IFERROR(__xludf.DUMMYFUNCTION("""COMPUTED_VALUE"""),"L")</f>
        <v>L</v>
      </c>
      <c r="L127" s="3" t="str">
        <f ca="1">IFERROR(__xludf.DUMMYFUNCTION("""COMPUTED_VALUE"""),"Boyolali")</f>
        <v>Boyolali</v>
      </c>
      <c r="M127" s="9">
        <f ca="1">IFERROR(__xludf.DUMMYFUNCTION("""COMPUTED_VALUE"""),29941)</f>
        <v>29941</v>
      </c>
      <c r="N127" s="4" t="str">
        <f ca="1">IFERROR(__xludf.DUMMYFUNCTION("""COMPUTED_VALUE"""),"Penata Tk.I")</f>
        <v>Penata Tk.I</v>
      </c>
      <c r="O127" s="3" t="str">
        <f ca="1">IFERROR(__xludf.DUMMYFUNCTION("""COMPUTED_VALUE"""),"III/d")</f>
        <v>III/d</v>
      </c>
      <c r="P127" s="7">
        <f ca="1">IFERROR(__xludf.DUMMYFUNCTION("""COMPUTED_VALUE"""),45200)</f>
        <v>45200</v>
      </c>
      <c r="Q127" s="3" t="str">
        <f ca="1">IFERROR(__xludf.DUMMYFUNCTION("""COMPUTED_VALUE"""),"1120/Un.19/K.AUPK/KP.07.1/08/2023")</f>
        <v>1120/Un.19/K.AUPK/KP.07.1/08/2023</v>
      </c>
      <c r="R127" s="3" t="str">
        <f ca="1">IFERROR(__xludf.DUMMYFUNCTION("""COMPUTED_VALUE"""),"Lektor")</f>
        <v>Lektor</v>
      </c>
      <c r="S127" s="3" t="str">
        <f ca="1">IFERROR(__xludf.DUMMYFUNCTION("""COMPUTED_VALUE"""),"Lektor")</f>
        <v>Lektor</v>
      </c>
      <c r="T127" s="7">
        <f ca="1">IFERROR(__xludf.DUMMYFUNCTION("""COMPUTED_VALUE"""),42064)</f>
        <v>42064</v>
      </c>
      <c r="U127" s="3"/>
      <c r="V127" s="3"/>
      <c r="W127" s="3">
        <f ca="1">IFERROR(__xludf.DUMMYFUNCTION("""COMPUTED_VALUE"""),11)</f>
        <v>11</v>
      </c>
      <c r="X127" s="7" t="str">
        <f ca="1">IFERROR(__xludf.DUMMYFUNCTION("""COMPUTED_VALUE"""),"Kepala Pusat Pengembangan Kurikulum dan Pembelajaran Pada Lembaga Penjaminan Mutu")</f>
        <v>Kepala Pusat Pengembangan Kurikulum dan Pembelajaran Pada Lembaga Penjaminan Mutu</v>
      </c>
      <c r="Y127" s="3" t="str">
        <f ca="1">IFERROR(__xludf.DUMMYFUNCTION("""COMPUTED_VALUE"""),"S-3")</f>
        <v>S-3</v>
      </c>
      <c r="Z127" s="3" t="str">
        <f ca="1">IFERROR(__xludf.DUMMYFUNCTION("""COMPUTED_VALUE"""),"17 Tahun 0 Bulan 27 Hari")</f>
        <v>17 Tahun 0 Bulan 27 Hari</v>
      </c>
      <c r="AA127" s="8">
        <f ca="1">IFERROR(__xludf.DUMMYFUNCTION("""COMPUTED_VALUE"""),53693)</f>
        <v>53693</v>
      </c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4"/>
      <c r="AR127" s="3"/>
      <c r="AS127" s="4"/>
      <c r="AT127" s="3"/>
      <c r="AU127" s="3"/>
    </row>
    <row r="128" spans="1:47" x14ac:dyDescent="0.2">
      <c r="A128" s="12">
        <v>127</v>
      </c>
      <c r="B128" s="3" t="str">
        <f ca="1">IFERROR(__xludf.DUMMYFUNCTION("""COMPUTED_VALUE"""),"Muhammad Sholeh")</f>
        <v>Muhammad Sholeh</v>
      </c>
      <c r="C128" s="3" t="str">
        <f ca="1">IFERROR(__xludf.DUMMYFUNCTION("""COMPUTED_VALUE"""),"Dr. Muhammad Sholeh, S.Pd.I., M.Pd.I.")</f>
        <v>Dr. Muhammad Sholeh, S.Pd.I., M.Pd.I.</v>
      </c>
      <c r="D128" s="3" t="str">
        <f ca="1">IFERROR(__xludf.DUMMYFUNCTION("""COMPUTED_VALUE"""),"Dr. Muhammad Sholeh, S.Pd.I., M.Pd.I.")</f>
        <v>Dr. Muhammad Sholeh, S.Pd.I., M.Pd.I.</v>
      </c>
      <c r="E128" s="3" t="str">
        <f ca="1">IFERROR(__xludf.DUMMYFUNCTION("""COMPUTED_VALUE"""),"198412012015031003")</f>
        <v>198412012015031003</v>
      </c>
      <c r="F128" s="3" t="str">
        <f ca="1">IFERROR(__xludf.DUMMYFUNCTION("""COMPUTED_VALUE"""),"19841201 201503 1 003")</f>
        <v>19841201 201503 1 003</v>
      </c>
      <c r="G128" s="3">
        <f ca="1">IFERROR(__xludf.DUMMYFUNCTION("""COMPUTED_VALUE"""),2001128401)</f>
        <v>2001128401</v>
      </c>
      <c r="H128" s="6" t="str">
        <f ca="1">IFERROR(__xludf.DUMMYFUNCTION("""COMPUTED_VALUE"""),"3533762663130233")</f>
        <v>3533762663130233</v>
      </c>
      <c r="I128" s="3" t="str">
        <f ca="1">IFERROR(__xludf.DUMMYFUNCTION("""COMPUTED_VALUE"""),"PNS")</f>
        <v>PNS</v>
      </c>
      <c r="J128" s="3" t="str">
        <f ca="1">IFERROR(__xludf.DUMMYFUNCTION("""COMPUTED_VALUE"""),"Dosen PNS")</f>
        <v>Dosen PNS</v>
      </c>
      <c r="K128" s="5" t="str">
        <f ca="1">IFERROR(__xludf.DUMMYFUNCTION("""COMPUTED_VALUE"""),"L")</f>
        <v>L</v>
      </c>
      <c r="L128" s="3" t="str">
        <f ca="1">IFERROR(__xludf.DUMMYFUNCTION("""COMPUTED_VALUE"""),"Magelang")</f>
        <v>Magelang</v>
      </c>
      <c r="M128" s="7">
        <f ca="1">IFERROR(__xludf.DUMMYFUNCTION("""COMPUTED_VALUE"""),31017)</f>
        <v>31017</v>
      </c>
      <c r="N128" s="4" t="str">
        <f ca="1">IFERROR(__xludf.DUMMYFUNCTION("""COMPUTED_VALUE"""),"Penata Tk.I")</f>
        <v>Penata Tk.I</v>
      </c>
      <c r="O128" s="3" t="str">
        <f ca="1">IFERROR(__xludf.DUMMYFUNCTION("""COMPUTED_VALUE"""),"III/d")</f>
        <v>III/d</v>
      </c>
      <c r="P128" s="7">
        <f ca="1">IFERROR(__xludf.DUMMYFUNCTION("""COMPUTED_VALUE"""),45200)</f>
        <v>45200</v>
      </c>
      <c r="Q128" s="3" t="str">
        <f ca="1">IFERROR(__xludf.DUMMYFUNCTION("""COMPUTED_VALUE"""),"1113/Un.19/K.AUPK/KP.07.1/08/2023")</f>
        <v>1113/Un.19/K.AUPK/KP.07.1/08/2023</v>
      </c>
      <c r="R128" s="3" t="str">
        <f ca="1">IFERROR(__xludf.DUMMYFUNCTION("""COMPUTED_VALUE"""),"Lektor")</f>
        <v>Lektor</v>
      </c>
      <c r="S128" s="3" t="str">
        <f ca="1">IFERROR(__xludf.DUMMYFUNCTION("""COMPUTED_VALUE"""),"Lektor")</f>
        <v>Lektor</v>
      </c>
      <c r="T128" s="7">
        <f ca="1">IFERROR(__xludf.DUMMYFUNCTION("""COMPUTED_VALUE"""),43617)</f>
        <v>43617</v>
      </c>
      <c r="U128" s="3"/>
      <c r="V128" s="3"/>
      <c r="W128" s="3">
        <f ca="1">IFERROR(__xludf.DUMMYFUNCTION("""COMPUTED_VALUE"""),11)</f>
        <v>11</v>
      </c>
      <c r="X128" s="7" t="str">
        <f ca="1">IFERROR(__xludf.DUMMYFUNCTION("""COMPUTED_VALUE"""),"Koordinator Program Pendidikan Profesi Guru Pada Fakultas Tarbiyah dan Ilmu Keguruan")</f>
        <v>Koordinator Program Pendidikan Profesi Guru Pada Fakultas Tarbiyah dan Ilmu Keguruan</v>
      </c>
      <c r="Y128" s="3" t="str">
        <f ca="1">IFERROR(__xludf.DUMMYFUNCTION("""COMPUTED_VALUE"""),"S-3")</f>
        <v>S-3</v>
      </c>
      <c r="Z128" s="3" t="str">
        <f ca="1">IFERROR(__xludf.DUMMYFUNCTION("""COMPUTED_VALUE"""),"10 Tahun 10 Bulan 27 Hari")</f>
        <v>10 Tahun 10 Bulan 27 Hari</v>
      </c>
      <c r="AA128" s="8">
        <f ca="1">IFERROR(__xludf.DUMMYFUNCTION("""COMPUTED_VALUE"""),54789)</f>
        <v>54789</v>
      </c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4"/>
      <c r="AR128" s="3"/>
      <c r="AS128" s="4"/>
      <c r="AT128" s="3"/>
      <c r="AU128" s="3"/>
    </row>
    <row r="129" spans="1:47" x14ac:dyDescent="0.2">
      <c r="A129" s="12">
        <v>128</v>
      </c>
      <c r="B129" s="3" t="str">
        <f ca="1">IFERROR(__xludf.DUMMYFUNCTION("""COMPUTED_VALUE"""),"Mujibur Rohman")</f>
        <v>Mujibur Rohman</v>
      </c>
      <c r="C129" s="3" t="str">
        <f ca="1">IFERROR(__xludf.DUMMYFUNCTION("""COMPUTED_VALUE"""),"Mujibur Rohman, S.Pd.I., M.S.I.")</f>
        <v>Mujibur Rohman, S.Pd.I., M.S.I.</v>
      </c>
      <c r="D129" s="3" t="str">
        <f ca="1">IFERROR(__xludf.DUMMYFUNCTION("""COMPUTED_VALUE"""),"Mujibur Rohman, S.Pd.I., M.S.I.")</f>
        <v>Mujibur Rohman, S.Pd.I., M.S.I.</v>
      </c>
      <c r="E129" s="3" t="str">
        <f ca="1">IFERROR(__xludf.DUMMYFUNCTION("""COMPUTED_VALUE"""),"198309252015031002")</f>
        <v>198309252015031002</v>
      </c>
      <c r="F129" s="3" t="str">
        <f ca="1">IFERROR(__xludf.DUMMYFUNCTION("""COMPUTED_VALUE"""),"19830925 201503 1 002")</f>
        <v>19830925 201503 1 002</v>
      </c>
      <c r="G129" s="3">
        <f ca="1">IFERROR(__xludf.DUMMYFUNCTION("""COMPUTED_VALUE"""),2025098301)</f>
        <v>2025098301</v>
      </c>
      <c r="H129" s="6" t="str">
        <f ca="1">IFERROR(__xludf.DUMMYFUNCTION("""COMPUTED_VALUE"""),"1257761662110033")</f>
        <v>1257761662110033</v>
      </c>
      <c r="I129" s="3" t="str">
        <f ca="1">IFERROR(__xludf.DUMMYFUNCTION("""COMPUTED_VALUE"""),"PNS")</f>
        <v>PNS</v>
      </c>
      <c r="J129" s="3" t="str">
        <f ca="1">IFERROR(__xludf.DUMMYFUNCTION("""COMPUTED_VALUE"""),"Dosen PNS")</f>
        <v>Dosen PNS</v>
      </c>
      <c r="K129" s="5" t="str">
        <f ca="1">IFERROR(__xludf.DUMMYFUNCTION("""COMPUTED_VALUE"""),"L")</f>
        <v>L</v>
      </c>
      <c r="L129" s="3" t="str">
        <f ca="1">IFERROR(__xludf.DUMMYFUNCTION("""COMPUTED_VALUE"""),"Brebes")</f>
        <v>Brebes</v>
      </c>
      <c r="M129" s="7">
        <f ca="1">IFERROR(__xludf.DUMMYFUNCTION("""COMPUTED_VALUE"""),30584)</f>
        <v>30584</v>
      </c>
      <c r="N129" s="4" t="str">
        <f ca="1">IFERROR(__xludf.DUMMYFUNCTION("""COMPUTED_VALUE"""),"Penata Tk.I")</f>
        <v>Penata Tk.I</v>
      </c>
      <c r="O129" s="3" t="str">
        <f ca="1">IFERROR(__xludf.DUMMYFUNCTION("""COMPUTED_VALUE"""),"III/d")</f>
        <v>III/d</v>
      </c>
      <c r="P129" s="7">
        <f ca="1">IFERROR(__xludf.DUMMYFUNCTION("""COMPUTED_VALUE"""),45383)</f>
        <v>45383</v>
      </c>
      <c r="Q129" s="3" t="str">
        <f ca="1">IFERROR(__xludf.DUMMYFUNCTION("""COMPUTED_VALUE"""),"515/Un.19/K.AUPK/KP.07.1/03/2024")</f>
        <v>515/Un.19/K.AUPK/KP.07.1/03/2024</v>
      </c>
      <c r="R129" s="3" t="str">
        <f ca="1">IFERROR(__xludf.DUMMYFUNCTION("""COMPUTED_VALUE"""),"Lektor")</f>
        <v>Lektor</v>
      </c>
      <c r="S129" s="3" t="str">
        <f ca="1">IFERROR(__xludf.DUMMYFUNCTION("""COMPUTED_VALUE"""),"Lektor")</f>
        <v>Lektor</v>
      </c>
      <c r="T129" s="7">
        <f ca="1">IFERROR(__xludf.DUMMYFUNCTION("""COMPUTED_VALUE"""),43617)</f>
        <v>43617</v>
      </c>
      <c r="U129" s="3"/>
      <c r="V129" s="3"/>
      <c r="W129" s="3">
        <f ca="1">IFERROR(__xludf.DUMMYFUNCTION("""COMPUTED_VALUE"""),11)</f>
        <v>11</v>
      </c>
      <c r="X129" s="3"/>
      <c r="Y129" s="3" t="str">
        <f ca="1">IFERROR(__xludf.DUMMYFUNCTION("""COMPUTED_VALUE"""),"S-2")</f>
        <v>S-2</v>
      </c>
      <c r="Z129" s="3" t="str">
        <f ca="1">IFERROR(__xludf.DUMMYFUNCTION("""COMPUTED_VALUE"""),"10 Tahun 10 Bulan 27 Hari")</f>
        <v>10 Tahun 10 Bulan 27 Hari</v>
      </c>
      <c r="AA129" s="8">
        <f ca="1">IFERROR(__xludf.DUMMYFUNCTION("""COMPUTED_VALUE"""),54332)</f>
        <v>54332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4"/>
      <c r="AR129" s="3"/>
      <c r="AS129" s="4"/>
      <c r="AT129" s="3"/>
      <c r="AU129" s="3"/>
    </row>
    <row r="130" spans="1:47" x14ac:dyDescent="0.2">
      <c r="A130" s="12">
        <v>129</v>
      </c>
      <c r="B130" s="3" t="str">
        <f ca="1">IFERROR(__xludf.DUMMYFUNCTION("""COMPUTED_VALUE"""),"Mukroji")</f>
        <v>Mukroji</v>
      </c>
      <c r="C130" s="3" t="str">
        <f ca="1">IFERROR(__xludf.DUMMYFUNCTION("""COMPUTED_VALUE"""),"Dr. H. Mukroji, S.Ag., M.S.I.")</f>
        <v>Dr. H. Mukroji, S.Ag., M.S.I.</v>
      </c>
      <c r="D130" s="3" t="str">
        <f ca="1">IFERROR(__xludf.DUMMYFUNCTION("""COMPUTED_VALUE"""),"Dr. H. Mukroji, S.Ag., M.S.I.")</f>
        <v>Dr. H. Mukroji, S.Ag., M.S.I.</v>
      </c>
      <c r="E130" s="3" t="str">
        <f ca="1">IFERROR(__xludf.DUMMYFUNCTION("""COMPUTED_VALUE"""),"196909082003121002")</f>
        <v>196909082003121002</v>
      </c>
      <c r="F130" s="3" t="str">
        <f ca="1">IFERROR(__xludf.DUMMYFUNCTION("""COMPUTED_VALUE"""),"19690908 200312 1 002")</f>
        <v>19690908 200312 1 002</v>
      </c>
      <c r="G130" s="3">
        <f ca="1">IFERROR(__xludf.DUMMYFUNCTION("""COMPUTED_VALUE"""),2008096903)</f>
        <v>2008096903</v>
      </c>
      <c r="H130" s="6" t="str">
        <f ca="1">IFERROR(__xludf.DUMMYFUNCTION("""COMPUTED_VALUE"""),"1240747648130123")</f>
        <v>1240747648130123</v>
      </c>
      <c r="I130" s="3" t="str">
        <f ca="1">IFERROR(__xludf.DUMMYFUNCTION("""COMPUTED_VALUE"""),"PNS")</f>
        <v>PNS</v>
      </c>
      <c r="J130" s="3" t="str">
        <f ca="1">IFERROR(__xludf.DUMMYFUNCTION("""COMPUTED_VALUE"""),"Dosen PNS")</f>
        <v>Dosen PNS</v>
      </c>
      <c r="K130" s="5" t="str">
        <f ca="1">IFERROR(__xludf.DUMMYFUNCTION("""COMPUTED_VALUE"""),"L")</f>
        <v>L</v>
      </c>
      <c r="L130" s="3" t="str">
        <f ca="1">IFERROR(__xludf.DUMMYFUNCTION("""COMPUTED_VALUE"""),"Tegal")</f>
        <v>Tegal</v>
      </c>
      <c r="M130" s="7">
        <f ca="1">IFERROR(__xludf.DUMMYFUNCTION("""COMPUTED_VALUE"""),25454)</f>
        <v>25454</v>
      </c>
      <c r="N130" s="4" t="str">
        <f ca="1">IFERROR(__xludf.DUMMYFUNCTION("""COMPUTED_VALUE"""),"Penata Tk.I")</f>
        <v>Penata Tk.I</v>
      </c>
      <c r="O130" s="3" t="str">
        <f ca="1">IFERROR(__xludf.DUMMYFUNCTION("""COMPUTED_VALUE"""),"III/d")</f>
        <v>III/d</v>
      </c>
      <c r="P130" s="7">
        <f ca="1">IFERROR(__xludf.DUMMYFUNCTION("""COMPUTED_VALUE"""),45383)</f>
        <v>45383</v>
      </c>
      <c r="Q130" s="3" t="str">
        <f ca="1">IFERROR(__xludf.DUMMYFUNCTION("""COMPUTED_VALUE"""),"514/Un.19/K.AUPK/KP.07.1/03/2024")</f>
        <v>514/Un.19/K.AUPK/KP.07.1/03/2024</v>
      </c>
      <c r="R130" s="3" t="str">
        <f ca="1">IFERROR(__xludf.DUMMYFUNCTION("""COMPUTED_VALUE"""),"Lektor Kepala")</f>
        <v>Lektor Kepala</v>
      </c>
      <c r="S130" s="3" t="str">
        <f ca="1">IFERROR(__xludf.DUMMYFUNCTION("""COMPUTED_VALUE"""),"Lektor Kepala")</f>
        <v>Lektor Kepala</v>
      </c>
      <c r="T130" s="7">
        <f ca="1">IFERROR(__xludf.DUMMYFUNCTION("""COMPUTED_VALUE"""),45717)</f>
        <v>45717</v>
      </c>
      <c r="U130" s="3" t="str">
        <f ca="1">IFERROR(__xludf.DUMMYFUNCTION("""COMPUTED_VALUE"""),"145762/B.II/KP.07/02/2025")</f>
        <v>145762/B.II/KP.07/02/2025</v>
      </c>
      <c r="V130" s="7">
        <f ca="1">IFERROR(__xludf.DUMMYFUNCTION("""COMPUTED_VALUE"""),45702)</f>
        <v>45702</v>
      </c>
      <c r="W130" s="3">
        <f ca="1">IFERROR(__xludf.DUMMYFUNCTION("""COMPUTED_VALUE"""),13)</f>
        <v>13</v>
      </c>
      <c r="X130" s="7" t="str">
        <f ca="1">IFERROR(__xludf.DUMMYFUNCTION("""COMPUTED_VALUE"""),"Sekretaris Program Studi S-2 Manajemen Pendidikan Islam pada Pascasarjana")</f>
        <v>Sekretaris Program Studi S-2 Manajemen Pendidikan Islam pada Pascasarjana</v>
      </c>
      <c r="Y130" s="3" t="str">
        <f ca="1">IFERROR(__xludf.DUMMYFUNCTION("""COMPUTED_VALUE"""),"S-3")</f>
        <v>S-3</v>
      </c>
      <c r="Z130" s="3" t="str">
        <f ca="1">IFERROR(__xludf.DUMMYFUNCTION("""COMPUTED_VALUE"""),"22 Tahun 1 Bulan 27 Hari")</f>
        <v>22 Tahun 1 Bulan 27 Hari</v>
      </c>
      <c r="AA130" s="8">
        <f ca="1">IFERROR(__xludf.DUMMYFUNCTION("""COMPUTED_VALUE"""),49218)</f>
        <v>49218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4"/>
      <c r="AR130" s="3"/>
      <c r="AS130" s="4"/>
      <c r="AT130" s="3"/>
      <c r="AU130" s="3"/>
    </row>
    <row r="131" spans="1:47" x14ac:dyDescent="0.2">
      <c r="A131" s="12">
        <v>130</v>
      </c>
      <c r="B131" s="3" t="str">
        <f ca="1">IFERROR(__xludf.DUMMYFUNCTION("""COMPUTED_VALUE"""),"Munawir")</f>
        <v>Munawir</v>
      </c>
      <c r="C131" s="3" t="str">
        <f ca="1">IFERROR(__xludf.DUMMYFUNCTION("""COMPUTED_VALUE"""),"Dr. Munawir, S.Th.I., M.S.I.")</f>
        <v>Dr. Munawir, S.Th.I., M.S.I.</v>
      </c>
      <c r="D131" s="3" t="str">
        <f ca="1">IFERROR(__xludf.DUMMYFUNCTION("""COMPUTED_VALUE"""),"Dr. Munawir, S.Th.I., M.S.I.")</f>
        <v>Dr. Munawir, S.Th.I., M.S.I.</v>
      </c>
      <c r="E131" s="3" t="str">
        <f ca="1">IFERROR(__xludf.DUMMYFUNCTION("""COMPUTED_VALUE"""),"197805152009011012")</f>
        <v>197805152009011012</v>
      </c>
      <c r="F131" s="3" t="str">
        <f ca="1">IFERROR(__xludf.DUMMYFUNCTION("""COMPUTED_VALUE"""),"19780515 200901 1 012")</f>
        <v>19780515 200901 1 012</v>
      </c>
      <c r="G131" s="3">
        <f ca="1">IFERROR(__xludf.DUMMYFUNCTION("""COMPUTED_VALUE"""),2015057803)</f>
        <v>2015057803</v>
      </c>
      <c r="H131" s="6" t="str">
        <f ca="1">IFERROR(__xludf.DUMMYFUNCTION("""COMPUTED_VALUE"""),"7847756657131442")</f>
        <v>7847756657131442</v>
      </c>
      <c r="I131" s="3" t="str">
        <f ca="1">IFERROR(__xludf.DUMMYFUNCTION("""COMPUTED_VALUE"""),"PNS")</f>
        <v>PNS</v>
      </c>
      <c r="J131" s="3" t="str">
        <f ca="1">IFERROR(__xludf.DUMMYFUNCTION("""COMPUTED_VALUE"""),"Dosen PNS")</f>
        <v>Dosen PNS</v>
      </c>
      <c r="K131" s="5" t="str">
        <f ca="1">IFERROR(__xludf.DUMMYFUNCTION("""COMPUTED_VALUE"""),"L")</f>
        <v>L</v>
      </c>
      <c r="L131" s="3" t="str">
        <f ca="1">IFERROR(__xludf.DUMMYFUNCTION("""COMPUTED_VALUE"""),"Grobogan")</f>
        <v>Grobogan</v>
      </c>
      <c r="M131" s="7">
        <f ca="1">IFERROR(__xludf.DUMMYFUNCTION("""COMPUTED_VALUE"""),28625)</f>
        <v>28625</v>
      </c>
      <c r="N131" s="4" t="str">
        <f ca="1">IFERROR(__xludf.DUMMYFUNCTION("""COMPUTED_VALUE"""),"Pembina Tk.I")</f>
        <v>Pembina Tk.I</v>
      </c>
      <c r="O131" s="3" t="str">
        <f ca="1">IFERROR(__xludf.DUMMYFUNCTION("""COMPUTED_VALUE"""),"IV/b")</f>
        <v>IV/b</v>
      </c>
      <c r="P131" s="7">
        <f ca="1">IFERROR(__xludf.DUMMYFUNCTION("""COMPUTED_VALUE"""),45566)</f>
        <v>45566</v>
      </c>
      <c r="Q131" s="3" t="str">
        <f ca="1">IFERROR(__xludf.DUMMYFUNCTION("""COMPUTED_VALUE"""),"036732/B.II/KP.07.1/09/2024")</f>
        <v>036732/B.II/KP.07.1/09/2024</v>
      </c>
      <c r="R131" s="3" t="str">
        <f ca="1">IFERROR(__xludf.DUMMYFUNCTION("""COMPUTED_VALUE"""),"Lektor Kepala")</f>
        <v>Lektor Kepala</v>
      </c>
      <c r="S131" s="3" t="str">
        <f ca="1">IFERROR(__xludf.DUMMYFUNCTION("""COMPUTED_VALUE"""),"Lektor Kepala")</f>
        <v>Lektor Kepala</v>
      </c>
      <c r="T131" s="7">
        <f ca="1">IFERROR(__xludf.DUMMYFUNCTION("""COMPUTED_VALUE"""),44743)</f>
        <v>44743</v>
      </c>
      <c r="U131" s="3" t="str">
        <f ca="1">IFERROR(__xludf.DUMMYFUNCTION("""COMPUTED_VALUE"""),"26085/B.II/3/2022")</f>
        <v>26085/B.II/3/2022</v>
      </c>
      <c r="V131" s="7">
        <f ca="1">IFERROR(__xludf.DUMMYFUNCTION("""COMPUTED_VALUE"""),44804)</f>
        <v>44804</v>
      </c>
      <c r="W131" s="3">
        <f ca="1">IFERROR(__xludf.DUMMYFUNCTION("""COMPUTED_VALUE"""),13)</f>
        <v>13</v>
      </c>
      <c r="X131" s="7" t="str">
        <f ca="1">IFERROR(__xludf.DUMMYFUNCTION("""COMPUTED_VALUE"""),"Ketua Program Studi S-2 Ilmu Al Qur'an dan Tafsir pada Pascasarjana")</f>
        <v>Ketua Program Studi S-2 Ilmu Al Qur'an dan Tafsir pada Pascasarjana</v>
      </c>
      <c r="Y131" s="3" t="str">
        <f ca="1">IFERROR(__xludf.DUMMYFUNCTION("""COMPUTED_VALUE"""),"S-3")</f>
        <v>S-3</v>
      </c>
      <c r="Z131" s="3" t="str">
        <f ca="1">IFERROR(__xludf.DUMMYFUNCTION("""COMPUTED_VALUE"""),"17 Tahun 0 Bulan 27 Hari")</f>
        <v>17 Tahun 0 Bulan 27 Hari</v>
      </c>
      <c r="AA131" s="8">
        <f ca="1">IFERROR(__xludf.DUMMYFUNCTION("""COMPUTED_VALUE"""),52383)</f>
        <v>52383</v>
      </c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4"/>
      <c r="AR131" s="3"/>
      <c r="AS131" s="4"/>
      <c r="AT131" s="3"/>
      <c r="AU131" s="3"/>
    </row>
    <row r="132" spans="1:47" x14ac:dyDescent="0.2">
      <c r="A132" s="12">
        <v>131</v>
      </c>
      <c r="B132" s="3" t="str">
        <f ca="1">IFERROR(__xludf.DUMMYFUNCTION("""COMPUTED_VALUE"""),"Munjin")</f>
        <v>Munjin</v>
      </c>
      <c r="C132" s="3" t="str">
        <f ca="1">IFERROR(__xludf.DUMMYFUNCTION("""COMPUTED_VALUE"""),"Prof. Dr. H. Munjin, M.Pd.I.")</f>
        <v>Prof. Dr. H. Munjin, M.Pd.I.</v>
      </c>
      <c r="D132" s="3" t="str">
        <f ca="1">IFERROR(__xludf.DUMMYFUNCTION("""COMPUTED_VALUE"""),"Prof. Dr. H. Munjin, M.Pd.I.")</f>
        <v>Prof. Dr. H. Munjin, M.Pd.I.</v>
      </c>
      <c r="E132" s="3" t="str">
        <f ca="1">IFERROR(__xludf.DUMMYFUNCTION("""COMPUTED_VALUE"""),"196103051992031003")</f>
        <v>196103051992031003</v>
      </c>
      <c r="F132" s="3" t="str">
        <f ca="1">IFERROR(__xludf.DUMMYFUNCTION("""COMPUTED_VALUE"""),"19610305 199203 1 003")</f>
        <v>19610305 199203 1 003</v>
      </c>
      <c r="G132" s="3">
        <f ca="1">IFERROR(__xludf.DUMMYFUNCTION("""COMPUTED_VALUE"""),2005036101)</f>
        <v>2005036101</v>
      </c>
      <c r="H132" s="6" t="str">
        <f ca="1">IFERROR(__xludf.DUMMYFUNCTION("""COMPUTED_VALUE"""),"6637739640130082")</f>
        <v>6637739640130082</v>
      </c>
      <c r="I132" s="3" t="str">
        <f ca="1">IFERROR(__xludf.DUMMYFUNCTION("""COMPUTED_VALUE"""),"PNS")</f>
        <v>PNS</v>
      </c>
      <c r="J132" s="3" t="str">
        <f ca="1">IFERROR(__xludf.DUMMYFUNCTION("""COMPUTED_VALUE"""),"Dosen PNS")</f>
        <v>Dosen PNS</v>
      </c>
      <c r="K132" s="5" t="str">
        <f ca="1">IFERROR(__xludf.DUMMYFUNCTION("""COMPUTED_VALUE"""),"L")</f>
        <v>L</v>
      </c>
      <c r="L132" s="3" t="str">
        <f ca="1">IFERROR(__xludf.DUMMYFUNCTION("""COMPUTED_VALUE"""),"Semarang")</f>
        <v>Semarang</v>
      </c>
      <c r="M132" s="7">
        <f ca="1">IFERROR(__xludf.DUMMYFUNCTION("""COMPUTED_VALUE"""),22345)</f>
        <v>22345</v>
      </c>
      <c r="N132" s="4" t="str">
        <f ca="1">IFERROR(__xludf.DUMMYFUNCTION("""COMPUTED_VALUE"""),"Pembina Utama")</f>
        <v>Pembina Utama</v>
      </c>
      <c r="O132" s="3" t="str">
        <f ca="1">IFERROR(__xludf.DUMMYFUNCTION("""COMPUTED_VALUE"""),"IV/e")</f>
        <v>IV/e</v>
      </c>
      <c r="P132" s="7">
        <f ca="1">IFERROR(__xludf.DUMMYFUNCTION("""COMPUTED_VALUE"""),45931)</f>
        <v>45931</v>
      </c>
      <c r="Q132" s="3" t="str">
        <f ca="1">IFERROR(__xludf.DUMMYFUNCTION("""COMPUTED_VALUE"""),"00501/KEP/AA/15001/25")</f>
        <v>00501/KEP/AA/15001/25</v>
      </c>
      <c r="R132" s="3" t="str">
        <f ca="1">IFERROR(__xludf.DUMMYFUNCTION("""COMPUTED_VALUE"""),"Guru Besar")</f>
        <v>Guru Besar</v>
      </c>
      <c r="S132" s="3" t="str">
        <f ca="1">IFERROR(__xludf.DUMMYFUNCTION("""COMPUTED_VALUE"""),"Guru Besar")</f>
        <v>Guru Besar</v>
      </c>
      <c r="T132" s="7">
        <f ca="1">IFERROR(__xludf.DUMMYFUNCTION("""COMPUTED_VALUE"""),45017)</f>
        <v>45017</v>
      </c>
      <c r="U132" s="3" t="str">
        <f ca="1">IFERROR(__xludf.DUMMYFUNCTION("""COMPUTED_VALUE"""),"013725/B.II/3/2023")</f>
        <v>013725/B.II/3/2023</v>
      </c>
      <c r="V132" s="7">
        <f ca="1">IFERROR(__xludf.DUMMYFUNCTION("""COMPUTED_VALUE"""),45092)</f>
        <v>45092</v>
      </c>
      <c r="W132" s="3">
        <f ca="1">IFERROR(__xludf.DUMMYFUNCTION("""COMPUTED_VALUE"""),15)</f>
        <v>15</v>
      </c>
      <c r="X132" s="7" t="str">
        <f ca="1">IFERROR(__xludf.DUMMYFUNCTION("""COMPUTED_VALUE"""),"Anggota Senat")</f>
        <v>Anggota Senat</v>
      </c>
      <c r="Y132" s="3" t="str">
        <f ca="1">IFERROR(__xludf.DUMMYFUNCTION("""COMPUTED_VALUE"""),"S-3")</f>
        <v>S-3</v>
      </c>
      <c r="Z132" s="3" t="str">
        <f ca="1">IFERROR(__xludf.DUMMYFUNCTION("""COMPUTED_VALUE"""),"33 Tahun 10 Bulan 27 Hari")</f>
        <v>33 Tahun 10 Bulan 27 Hari</v>
      </c>
      <c r="AA132" s="8">
        <f ca="1">IFERROR(__xludf.DUMMYFUNCTION("""COMPUTED_VALUE"""),47939)</f>
        <v>47939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4"/>
      <c r="AR132" s="3"/>
      <c r="AS132" s="4"/>
      <c r="AT132" s="3"/>
      <c r="AU132" s="3"/>
    </row>
    <row r="133" spans="1:47" x14ac:dyDescent="0.2">
      <c r="A133" s="12">
        <v>132</v>
      </c>
      <c r="B133" s="3" t="str">
        <f ca="1">IFERROR(__xludf.DUMMYFUNCTION("""COMPUTED_VALUE"""),"Muridan")</f>
        <v>Muridan</v>
      </c>
      <c r="C133" s="3" t="str">
        <f ca="1">IFERROR(__xludf.DUMMYFUNCTION("""COMPUTED_VALUE"""),"Dr. Muridan, M.Ag.")</f>
        <v>Dr. Muridan, M.Ag.</v>
      </c>
      <c r="D133" s="3" t="str">
        <f ca="1">IFERROR(__xludf.DUMMYFUNCTION("""COMPUTED_VALUE"""),"Dr. Muridan, M.Ag.")</f>
        <v>Dr. Muridan, M.Ag.</v>
      </c>
      <c r="E133" s="3" t="str">
        <f ca="1">IFERROR(__xludf.DUMMYFUNCTION("""COMPUTED_VALUE"""),"197407182005011006")</f>
        <v>197407182005011006</v>
      </c>
      <c r="F133" s="3" t="str">
        <f ca="1">IFERROR(__xludf.DUMMYFUNCTION("""COMPUTED_VALUE"""),"19740718 200501 1 006")</f>
        <v>19740718 200501 1 006</v>
      </c>
      <c r="G133" s="3">
        <f ca="1">IFERROR(__xludf.DUMMYFUNCTION("""COMPUTED_VALUE"""),2018077103)</f>
        <v>2018077103</v>
      </c>
      <c r="H133" s="6" t="str">
        <f ca="1">IFERROR(__xludf.DUMMYFUNCTION("""COMPUTED_VALUE"""),"9050752653130103")</f>
        <v>9050752653130103</v>
      </c>
      <c r="I133" s="3" t="str">
        <f ca="1">IFERROR(__xludf.DUMMYFUNCTION("""COMPUTED_VALUE"""),"PNS")</f>
        <v>PNS</v>
      </c>
      <c r="J133" s="3" t="str">
        <f ca="1">IFERROR(__xludf.DUMMYFUNCTION("""COMPUTED_VALUE"""),"Dosen PNS")</f>
        <v>Dosen PNS</v>
      </c>
      <c r="K133" s="5" t="str">
        <f ca="1">IFERROR(__xludf.DUMMYFUNCTION("""COMPUTED_VALUE"""),"L")</f>
        <v>L</v>
      </c>
      <c r="L133" s="3" t="str">
        <f ca="1">IFERROR(__xludf.DUMMYFUNCTION("""COMPUTED_VALUE"""),"Ciamis")</f>
        <v>Ciamis</v>
      </c>
      <c r="M133" s="7">
        <f ca="1">IFERROR(__xludf.DUMMYFUNCTION("""COMPUTED_VALUE"""),27228)</f>
        <v>27228</v>
      </c>
      <c r="N133" s="4" t="str">
        <f ca="1">IFERROR(__xludf.DUMMYFUNCTION("""COMPUTED_VALUE"""),"Penata Tk.I")</f>
        <v>Penata Tk.I</v>
      </c>
      <c r="O133" s="3" t="str">
        <f ca="1">IFERROR(__xludf.DUMMYFUNCTION("""COMPUTED_VALUE"""),"III/d")</f>
        <v>III/d</v>
      </c>
      <c r="P133" s="7">
        <f ca="1">IFERROR(__xludf.DUMMYFUNCTION("""COMPUTED_VALUE"""),44287)</f>
        <v>44287</v>
      </c>
      <c r="Q133" s="3" t="str">
        <f ca="1">IFERROR(__xludf.DUMMYFUNCTION("""COMPUTED_VALUE"""),"21177/B.II/3/2021")</f>
        <v>21177/B.II/3/2021</v>
      </c>
      <c r="R133" s="3" t="str">
        <f ca="1">IFERROR(__xludf.DUMMYFUNCTION("""COMPUTED_VALUE"""),"Lektor")</f>
        <v>Lektor</v>
      </c>
      <c r="S133" s="3" t="str">
        <f ca="1">IFERROR(__xludf.DUMMYFUNCTION("""COMPUTED_VALUE"""),"Lektor")</f>
        <v>Lektor</v>
      </c>
      <c r="T133" s="7">
        <f ca="1">IFERROR(__xludf.DUMMYFUNCTION("""COMPUTED_VALUE"""),43983)</f>
        <v>43983</v>
      </c>
      <c r="U133" s="3" t="str">
        <f ca="1">IFERROR(__xludf.DUMMYFUNCTION("""COMPUTED_VALUE"""),"1119/In.17/Kp.07.6/6/2020")</f>
        <v>1119/In.17/Kp.07.6/6/2020</v>
      </c>
      <c r="V133" s="7">
        <f ca="1">IFERROR(__xludf.DUMMYFUNCTION("""COMPUTED_VALUE"""),43983)</f>
        <v>43983</v>
      </c>
      <c r="W133" s="3">
        <f ca="1">IFERROR(__xludf.DUMMYFUNCTION("""COMPUTED_VALUE"""),11)</f>
        <v>11</v>
      </c>
      <c r="X133" s="3"/>
      <c r="Y133" s="3" t="str">
        <f ca="1">IFERROR(__xludf.DUMMYFUNCTION("""COMPUTED_VALUE"""),"S-3")</f>
        <v>S-3</v>
      </c>
      <c r="Z133" s="3" t="str">
        <f ca="1">IFERROR(__xludf.DUMMYFUNCTION("""COMPUTED_VALUE"""),"21 Tahun 0 Bulan 27 Hari")</f>
        <v>21 Tahun 0 Bulan 27 Hari</v>
      </c>
      <c r="AA133" s="8">
        <f ca="1">IFERROR(__xludf.DUMMYFUNCTION("""COMPUTED_VALUE"""),50983)</f>
        <v>50983</v>
      </c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4"/>
      <c r="AR133" s="3"/>
      <c r="AS133" s="4"/>
      <c r="AT133" s="3"/>
      <c r="AU133" s="3"/>
    </row>
    <row r="134" spans="1:47" x14ac:dyDescent="0.2">
      <c r="A134" s="12">
        <v>133</v>
      </c>
      <c r="B134" s="3" t="str">
        <f ca="1">IFERROR(__xludf.DUMMYFUNCTION("""COMPUTED_VALUE"""),"Muskinul Fuad")</f>
        <v>Muskinul Fuad</v>
      </c>
      <c r="C134" s="3" t="str">
        <f ca="1">IFERROR(__xludf.DUMMYFUNCTION("""COMPUTED_VALUE"""),"Dr. Muskinul Fuad, M.Ag.")</f>
        <v>Dr. Muskinul Fuad, M.Ag.</v>
      </c>
      <c r="D134" s="3" t="str">
        <f ca="1">IFERROR(__xludf.DUMMYFUNCTION("""COMPUTED_VALUE"""),"Dr. Muskinul Fuad, M.Ag.")</f>
        <v>Dr. Muskinul Fuad, M.Ag.</v>
      </c>
      <c r="E134" s="3" t="str">
        <f ca="1">IFERROR(__xludf.DUMMYFUNCTION("""COMPUTED_VALUE"""),"197412262000031001")</f>
        <v>197412262000031001</v>
      </c>
      <c r="F134" s="3" t="str">
        <f ca="1">IFERROR(__xludf.DUMMYFUNCTION("""COMPUTED_VALUE"""),"19741226 200003 1 001")</f>
        <v>19741226 200003 1 001</v>
      </c>
      <c r="G134" s="3">
        <f ca="1">IFERROR(__xludf.DUMMYFUNCTION("""COMPUTED_VALUE"""),2026127401)</f>
        <v>2026127401</v>
      </c>
      <c r="H134" s="6" t="str">
        <f ca="1">IFERROR(__xludf.DUMMYFUNCTION("""COMPUTED_VALUE"""),"7558752653131093")</f>
        <v>7558752653131093</v>
      </c>
      <c r="I134" s="3" t="str">
        <f ca="1">IFERROR(__xludf.DUMMYFUNCTION("""COMPUTED_VALUE"""),"PNS")</f>
        <v>PNS</v>
      </c>
      <c r="J134" s="3" t="str">
        <f ca="1">IFERROR(__xludf.DUMMYFUNCTION("""COMPUTED_VALUE"""),"Dosen PNS")</f>
        <v>Dosen PNS</v>
      </c>
      <c r="K134" s="5" t="str">
        <f ca="1">IFERROR(__xludf.DUMMYFUNCTION("""COMPUTED_VALUE"""),"L")</f>
        <v>L</v>
      </c>
      <c r="L134" s="3" t="str">
        <f ca="1">IFERROR(__xludf.DUMMYFUNCTION("""COMPUTED_VALUE"""),"Cilacap")</f>
        <v>Cilacap</v>
      </c>
      <c r="M134" s="9">
        <f ca="1">IFERROR(__xludf.DUMMYFUNCTION("""COMPUTED_VALUE"""),27389)</f>
        <v>27389</v>
      </c>
      <c r="N134" s="4" t="str">
        <f ca="1">IFERROR(__xludf.DUMMYFUNCTION("""COMPUTED_VALUE"""),"Pembina Tk.I")</f>
        <v>Pembina Tk.I</v>
      </c>
      <c r="O134" s="3" t="str">
        <f ca="1">IFERROR(__xludf.DUMMYFUNCTION("""COMPUTED_VALUE"""),"IV/b")</f>
        <v>IV/b</v>
      </c>
      <c r="P134" s="7">
        <f ca="1">IFERROR(__xludf.DUMMYFUNCTION("""COMPUTED_VALUE"""),45383)</f>
        <v>45383</v>
      </c>
      <c r="Q134" s="3" t="str">
        <f ca="1">IFERROR(__xludf.DUMMYFUNCTION("""COMPUTED_VALUE"""),"014638/B.II/3/2024")</f>
        <v>014638/B.II/3/2024</v>
      </c>
      <c r="R134" s="3" t="str">
        <f ca="1">IFERROR(__xludf.DUMMYFUNCTION("""COMPUTED_VALUE"""),"Lektor Kepala")</f>
        <v>Lektor Kepala</v>
      </c>
      <c r="S134" s="3" t="str">
        <f ca="1">IFERROR(__xludf.DUMMYFUNCTION("""COMPUTED_VALUE"""),"Lektor Kepala")</f>
        <v>Lektor Kepala</v>
      </c>
      <c r="T134" s="7">
        <f ca="1">IFERROR(__xludf.DUMMYFUNCTION("""COMPUTED_VALUE"""),41974)</f>
        <v>41974</v>
      </c>
      <c r="U134" s="3" t="str">
        <f ca="1">IFERROR(__xludf.DUMMYFUNCTION("""COMPUTED_VALUE"""),"10681/A4.3/Kp/2015")</f>
        <v>10681/A4.3/Kp/2015</v>
      </c>
      <c r="V134" s="7">
        <f ca="1">IFERROR(__xludf.DUMMYFUNCTION("""COMPUTED_VALUE"""),41974)</f>
        <v>41974</v>
      </c>
      <c r="W134" s="3">
        <f ca="1">IFERROR(__xludf.DUMMYFUNCTION("""COMPUTED_VALUE"""),13)</f>
        <v>13</v>
      </c>
      <c r="X134" s="7" t="str">
        <f ca="1">IFERROR(__xludf.DUMMYFUNCTION("""COMPUTED_VALUE"""),"Dekan Fakultas Dakwah")</f>
        <v>Dekan Fakultas Dakwah</v>
      </c>
      <c r="Y134" s="3" t="str">
        <f ca="1">IFERROR(__xludf.DUMMYFUNCTION("""COMPUTED_VALUE"""),"S-3")</f>
        <v>S-3</v>
      </c>
      <c r="Z134" s="3" t="str">
        <f ca="1">IFERROR(__xludf.DUMMYFUNCTION("""COMPUTED_VALUE"""),"25 Tahun 10 Bulan 27 Hari")</f>
        <v>25 Tahun 10 Bulan 27 Hari</v>
      </c>
      <c r="AA134" s="8">
        <f ca="1">IFERROR(__xludf.DUMMYFUNCTION("""COMPUTED_VALUE"""),51136)</f>
        <v>51136</v>
      </c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4"/>
      <c r="AR134" s="3"/>
      <c r="AS134" s="4"/>
      <c r="AT134" s="3"/>
      <c r="AU134" s="3"/>
    </row>
    <row r="135" spans="1:47" x14ac:dyDescent="0.2">
      <c r="A135" s="12">
        <v>134</v>
      </c>
      <c r="B135" s="3" t="str">
        <f ca="1">IFERROR(__xludf.DUMMYFUNCTION("""COMPUTED_VALUE"""),"Musta'in")</f>
        <v>Musta'in</v>
      </c>
      <c r="C135" s="3" t="str">
        <f ca="1">IFERROR(__xludf.DUMMYFUNCTION("""COMPUTED_VALUE"""),"Dr. H. Musta'in, S.Pd., M.Si.")</f>
        <v>Dr. H. Musta'in, S.Pd., M.Si.</v>
      </c>
      <c r="D135" s="3" t="str">
        <f ca="1">IFERROR(__xludf.DUMMYFUNCTION("""COMPUTED_VALUE"""),"Dr. H. Musta'in, S.Pd., M.Si.")</f>
        <v>Dr. H. Musta'in, S.Pd., M.Si.</v>
      </c>
      <c r="E135" s="3" t="str">
        <f ca="1">IFERROR(__xludf.DUMMYFUNCTION("""COMPUTED_VALUE"""),"197103022009011004")</f>
        <v>197103022009011004</v>
      </c>
      <c r="F135" s="3" t="str">
        <f ca="1">IFERROR(__xludf.DUMMYFUNCTION("""COMPUTED_VALUE"""),"19710302 200901 1 004")</f>
        <v>19710302 200901 1 004</v>
      </c>
      <c r="G135" s="3">
        <f ca="1">IFERROR(__xludf.DUMMYFUNCTION("""COMPUTED_VALUE"""),2002037103)</f>
        <v>2002037103</v>
      </c>
      <c r="H135" s="6" t="str">
        <f ca="1">IFERROR(__xludf.DUMMYFUNCTION("""COMPUTED_VALUE"""),"3634749652200012")</f>
        <v>3634749652200012</v>
      </c>
      <c r="I135" s="3" t="str">
        <f ca="1">IFERROR(__xludf.DUMMYFUNCTION("""COMPUTED_VALUE"""),"PNS")</f>
        <v>PNS</v>
      </c>
      <c r="J135" s="3" t="str">
        <f ca="1">IFERROR(__xludf.DUMMYFUNCTION("""COMPUTED_VALUE"""),"Dosen PNS")</f>
        <v>Dosen PNS</v>
      </c>
      <c r="K135" s="5" t="str">
        <f ca="1">IFERROR(__xludf.DUMMYFUNCTION("""COMPUTED_VALUE"""),"L")</f>
        <v>L</v>
      </c>
      <c r="L135" s="3" t="str">
        <f ca="1">IFERROR(__xludf.DUMMYFUNCTION("""COMPUTED_VALUE"""),"Surabaya")</f>
        <v>Surabaya</v>
      </c>
      <c r="M135" s="7">
        <f ca="1">IFERROR(__xludf.DUMMYFUNCTION("""COMPUTED_VALUE"""),25994)</f>
        <v>25994</v>
      </c>
      <c r="N135" s="4" t="str">
        <f ca="1">IFERROR(__xludf.DUMMYFUNCTION("""COMPUTED_VALUE"""),"Penata Tk.I")</f>
        <v>Penata Tk.I</v>
      </c>
      <c r="O135" s="3" t="str">
        <f ca="1">IFERROR(__xludf.DUMMYFUNCTION("""COMPUTED_VALUE"""),"III/d")</f>
        <v>III/d</v>
      </c>
      <c r="P135" s="7">
        <f ca="1">IFERROR(__xludf.DUMMYFUNCTION("""COMPUTED_VALUE"""),45383)</f>
        <v>45383</v>
      </c>
      <c r="Q135" s="3" t="str">
        <f ca="1">IFERROR(__xludf.DUMMYFUNCTION("""COMPUTED_VALUE"""),"516/Un.19/K.AUPK/KP.07.1/03/2024")</f>
        <v>516/Un.19/K.AUPK/KP.07.1/03/2024</v>
      </c>
      <c r="R135" s="3" t="str">
        <f ca="1">IFERROR(__xludf.DUMMYFUNCTION("""COMPUTED_VALUE"""),"Lektor Kepala")</f>
        <v>Lektor Kepala</v>
      </c>
      <c r="S135" s="3" t="str">
        <f ca="1">IFERROR(__xludf.DUMMYFUNCTION("""COMPUTED_VALUE"""),"Lektor Kepala")</f>
        <v>Lektor Kepala</v>
      </c>
      <c r="T135" s="7">
        <f ca="1">IFERROR(__xludf.DUMMYFUNCTION("""COMPUTED_VALUE"""),45901)</f>
        <v>45901</v>
      </c>
      <c r="U135" s="3" t="str">
        <f ca="1">IFERROR(__xludf.DUMMYFUNCTION("""COMPUTED_VALUE"""),"196824/B.II/KP.07.6/08/2025")</f>
        <v>196824/B.II/KP.07.6/08/2025</v>
      </c>
      <c r="V135" s="7">
        <f ca="1">IFERROR(__xludf.DUMMYFUNCTION("""COMPUTED_VALUE"""),45884)</f>
        <v>45884</v>
      </c>
      <c r="W135" s="3">
        <f ca="1">IFERROR(__xludf.DUMMYFUNCTION("""COMPUTED_VALUE"""),13)</f>
        <v>13</v>
      </c>
      <c r="X135" s="7" t="str">
        <f ca="1">IFERROR(__xludf.DUMMYFUNCTION("""COMPUTED_VALUE"""),"Sekretaris Program Studi S-2 Komunikasi Penyiaran Islam pada Pascasarjana")</f>
        <v>Sekretaris Program Studi S-2 Komunikasi Penyiaran Islam pada Pascasarjana</v>
      </c>
      <c r="Y135" s="3" t="str">
        <f ca="1">IFERROR(__xludf.DUMMYFUNCTION("""COMPUTED_VALUE"""),"S-3")</f>
        <v>S-3</v>
      </c>
      <c r="Z135" s="3" t="str">
        <f ca="1">IFERROR(__xludf.DUMMYFUNCTION("""COMPUTED_VALUE"""),"17 Tahun 0 Bulan 27 Hari")</f>
        <v>17 Tahun 0 Bulan 27 Hari</v>
      </c>
      <c r="AA135" s="8">
        <f ca="1">IFERROR(__xludf.DUMMYFUNCTION("""COMPUTED_VALUE"""),49766)</f>
        <v>49766</v>
      </c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4"/>
      <c r="AR135" s="3"/>
      <c r="AS135" s="4"/>
      <c r="AT135" s="3"/>
      <c r="AU135" s="3"/>
    </row>
    <row r="136" spans="1:47" x14ac:dyDescent="0.2">
      <c r="A136" s="12">
        <v>135</v>
      </c>
      <c r="B136" s="3" t="str">
        <f ca="1">IFERROR(__xludf.DUMMYFUNCTION("""COMPUTED_VALUE"""),"Muta Ali Arauf")</f>
        <v>Muta Ali Arauf</v>
      </c>
      <c r="C136" s="3" t="str">
        <f ca="1">IFERROR(__xludf.DUMMYFUNCTION("""COMPUTED_VALUE"""),"Muta Ali Arauf, S.H.I., M.A.")</f>
        <v>Muta Ali Arauf, S.H.I., M.A.</v>
      </c>
      <c r="D136" s="3" t="str">
        <f ca="1">IFERROR(__xludf.DUMMYFUNCTION("""COMPUTED_VALUE"""),"Muta Ali Arauf, S.H.I., M.A.")</f>
        <v>Muta Ali Arauf, S.H.I., M.A.</v>
      </c>
      <c r="E136" s="3" t="str">
        <f ca="1">IFERROR(__xludf.DUMMYFUNCTION("""COMPUTED_VALUE"""),"198908192019031014")</f>
        <v>198908192019031014</v>
      </c>
      <c r="F136" s="3" t="str">
        <f ca="1">IFERROR(__xludf.DUMMYFUNCTION("""COMPUTED_VALUE"""),"19890819 201903 1 014")</f>
        <v>19890819 201903 1 014</v>
      </c>
      <c r="G136" s="3">
        <f ca="1">IFERROR(__xludf.DUMMYFUNCTION("""COMPUTED_VALUE"""),2019128902)</f>
        <v>2019128902</v>
      </c>
      <c r="H136" s="6" t="str">
        <f ca="1">IFERROR(__xludf.DUMMYFUNCTION("""COMPUTED_VALUE"""),"2151767668130303")</f>
        <v>2151767668130303</v>
      </c>
      <c r="I136" s="3" t="str">
        <f ca="1">IFERROR(__xludf.DUMMYFUNCTION("""COMPUTED_VALUE"""),"PNS")</f>
        <v>PNS</v>
      </c>
      <c r="J136" s="3" t="str">
        <f ca="1">IFERROR(__xludf.DUMMYFUNCTION("""COMPUTED_VALUE"""),"Dosen PNS")</f>
        <v>Dosen PNS</v>
      </c>
      <c r="K136" s="5" t="str">
        <f ca="1">IFERROR(__xludf.DUMMYFUNCTION("""COMPUTED_VALUE"""),"L")</f>
        <v>L</v>
      </c>
      <c r="L136" s="3" t="str">
        <f ca="1">IFERROR(__xludf.DUMMYFUNCTION("""COMPUTED_VALUE"""),"Bantul")</f>
        <v>Bantul</v>
      </c>
      <c r="M136" s="9">
        <f ca="1">IFERROR(__xludf.DUMMYFUNCTION("""COMPUTED_VALUE"""),32861)</f>
        <v>32861</v>
      </c>
      <c r="N136" s="4" t="str">
        <f ca="1">IFERROR(__xludf.DUMMYFUNCTION("""COMPUTED_VALUE"""),"Penata Tk.I")</f>
        <v>Penata Tk.I</v>
      </c>
      <c r="O136" s="3" t="str">
        <f ca="1">IFERROR(__xludf.DUMMYFUNCTION("""COMPUTED_VALUE"""),"III/d")</f>
        <v>III/d</v>
      </c>
      <c r="P136" s="7">
        <f ca="1">IFERROR(__xludf.DUMMYFUNCTION("""COMPUTED_VALUE"""),45992)</f>
        <v>45992</v>
      </c>
      <c r="Q136" s="3" t="str">
        <f ca="1">IFERROR(__xludf.DUMMYFUNCTION("""COMPUTED_VALUE"""),"214549/B.II/KP.07.1/11/2025")</f>
        <v>214549/B.II/KP.07.1/11/2025</v>
      </c>
      <c r="R136" s="3" t="str">
        <f ca="1">IFERROR(__xludf.DUMMYFUNCTION("""COMPUTED_VALUE"""),"Lektor")</f>
        <v>Lektor</v>
      </c>
      <c r="S136" s="3" t="str">
        <f ca="1">IFERROR(__xludf.DUMMYFUNCTION("""COMPUTED_VALUE"""),"Lektor")</f>
        <v>Lektor</v>
      </c>
      <c r="T136" s="7">
        <f ca="1">IFERROR(__xludf.DUMMYFUNCTION("""COMPUTED_VALUE"""),45047)</f>
        <v>45047</v>
      </c>
      <c r="U136" s="3" t="str">
        <f ca="1">IFERROR(__xludf.DUMMYFUNCTION("""COMPUTED_VALUE"""),"802 /Un.19/AUPK/Kp.07.6/6/2023")</f>
        <v>802 /Un.19/AUPK/Kp.07.6/6/2023</v>
      </c>
      <c r="V136" s="7">
        <f ca="1">IFERROR(__xludf.DUMMYFUNCTION("""COMPUTED_VALUE"""),45051)</f>
        <v>45051</v>
      </c>
      <c r="W136" s="3">
        <f ca="1">IFERROR(__xludf.DUMMYFUNCTION("""COMPUTED_VALUE"""),11)</f>
        <v>11</v>
      </c>
      <c r="X136" s="3"/>
      <c r="Y136" s="3" t="str">
        <f ca="1">IFERROR(__xludf.DUMMYFUNCTION("""COMPUTED_VALUE"""),"S-2")</f>
        <v>S-2</v>
      </c>
      <c r="Z136" s="3" t="str">
        <f ca="1">IFERROR(__xludf.DUMMYFUNCTION("""COMPUTED_VALUE"""),"6 Tahun 10 Bulan 27 Hari")</f>
        <v>6 Tahun 10 Bulan 27 Hari</v>
      </c>
      <c r="AA136" s="8">
        <f ca="1">IFERROR(__xludf.DUMMYFUNCTION("""COMPUTED_VALUE"""),56615)</f>
        <v>56615</v>
      </c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4"/>
      <c r="AR136" s="3"/>
      <c r="AS136" s="4"/>
      <c r="AT136" s="3"/>
      <c r="AU136" s="3"/>
    </row>
    <row r="137" spans="1:47" x14ac:dyDescent="0.2">
      <c r="A137" s="12">
        <v>136</v>
      </c>
      <c r="B137" s="3" t="str">
        <f ca="1">IFERROR(__xludf.DUMMYFUNCTION("""COMPUTED_VALUE"""),"Mutijah")</f>
        <v>Mutijah</v>
      </c>
      <c r="C137" s="3" t="str">
        <f ca="1">IFERROR(__xludf.DUMMYFUNCTION("""COMPUTED_VALUE"""),"Dr. Mutijah, S.Pd., M.Si.")</f>
        <v>Dr. Mutijah, S.Pd., M.Si.</v>
      </c>
      <c r="D137" s="3" t="str">
        <f ca="1">IFERROR(__xludf.DUMMYFUNCTION("""COMPUTED_VALUE"""),"Dr. Mutijah, S.Pd., M.Si.")</f>
        <v>Dr. Mutijah, S.Pd., M.Si.</v>
      </c>
      <c r="E137" s="3" t="str">
        <f ca="1">IFERROR(__xludf.DUMMYFUNCTION("""COMPUTED_VALUE"""),"197205042006042024")</f>
        <v>197205042006042024</v>
      </c>
      <c r="F137" s="3" t="str">
        <f ca="1">IFERROR(__xludf.DUMMYFUNCTION("""COMPUTED_VALUE"""),"19720504 200604 2 024")</f>
        <v>19720504 200604 2 024</v>
      </c>
      <c r="G137" s="3">
        <f ca="1">IFERROR(__xludf.DUMMYFUNCTION("""COMPUTED_VALUE"""),2004057201)</f>
        <v>2004057201</v>
      </c>
      <c r="H137" s="6" t="str">
        <f ca="1">IFERROR(__xludf.DUMMYFUNCTION("""COMPUTED_VALUE"""),"6836750651230202")</f>
        <v>6836750651230202</v>
      </c>
      <c r="I137" s="3" t="str">
        <f ca="1">IFERROR(__xludf.DUMMYFUNCTION("""COMPUTED_VALUE"""),"PNS")</f>
        <v>PNS</v>
      </c>
      <c r="J137" s="3" t="str">
        <f ca="1">IFERROR(__xludf.DUMMYFUNCTION("""COMPUTED_VALUE"""),"Dosen PNS")</f>
        <v>Dosen PNS</v>
      </c>
      <c r="K137" s="5" t="str">
        <f ca="1">IFERROR(__xludf.DUMMYFUNCTION("""COMPUTED_VALUE"""),"P")</f>
        <v>P</v>
      </c>
      <c r="L137" s="3" t="str">
        <f ca="1">IFERROR(__xludf.DUMMYFUNCTION("""COMPUTED_VALUE"""),"Temanggung")</f>
        <v>Temanggung</v>
      </c>
      <c r="M137" s="7">
        <f ca="1">IFERROR(__xludf.DUMMYFUNCTION("""COMPUTED_VALUE"""),26423)</f>
        <v>26423</v>
      </c>
      <c r="N137" s="4" t="str">
        <f ca="1">IFERROR(__xludf.DUMMYFUNCTION("""COMPUTED_VALUE"""),"Pembina Tk.I")</f>
        <v>Pembina Tk.I</v>
      </c>
      <c r="O137" s="3" t="str">
        <f ca="1">IFERROR(__xludf.DUMMYFUNCTION("""COMPUTED_VALUE"""),"IV/b")</f>
        <v>IV/b</v>
      </c>
      <c r="P137" s="7">
        <f ca="1">IFERROR(__xludf.DUMMYFUNCTION("""COMPUTED_VALUE"""),45383)</f>
        <v>45383</v>
      </c>
      <c r="Q137" s="3" t="str">
        <f ca="1">IFERROR(__xludf.DUMMYFUNCTION("""COMPUTED_VALUE"""),"014639/B.II/3/2024")</f>
        <v>014639/B.II/3/2024</v>
      </c>
      <c r="R137" s="3" t="str">
        <f ca="1">IFERROR(__xludf.DUMMYFUNCTION("""COMPUTED_VALUE"""),"Lektor Kepala")</f>
        <v>Lektor Kepala</v>
      </c>
      <c r="S137" s="3" t="str">
        <f ca="1">IFERROR(__xludf.DUMMYFUNCTION("""COMPUTED_VALUE"""),"Lektor Kepala")</f>
        <v>Lektor Kepala</v>
      </c>
      <c r="T137" s="7">
        <f ca="1">IFERROR(__xludf.DUMMYFUNCTION("""COMPUTED_VALUE"""),43160)</f>
        <v>43160</v>
      </c>
      <c r="U137" s="3" t="str">
        <f ca="1">IFERROR(__xludf.DUMMYFUNCTION("""COMPUTED_VALUE"""),"435/In.17/R/Kp.07.6/3/2021")</f>
        <v>435/In.17/R/Kp.07.6/3/2021</v>
      </c>
      <c r="V137" s="7">
        <f ca="1">IFERROR(__xludf.DUMMYFUNCTION("""COMPUTED_VALUE"""),43160)</f>
        <v>43160</v>
      </c>
      <c r="W137" s="3">
        <f ca="1">IFERROR(__xludf.DUMMYFUNCTION("""COMPUTED_VALUE"""),13)</f>
        <v>13</v>
      </c>
      <c r="X137" s="3"/>
      <c r="Y137" s="3" t="str">
        <f ca="1">IFERROR(__xludf.DUMMYFUNCTION("""COMPUTED_VALUE"""),"S-3")</f>
        <v>S-3</v>
      </c>
      <c r="Z137" s="3" t="str">
        <f ca="1">IFERROR(__xludf.DUMMYFUNCTION("""COMPUTED_VALUE"""),"19 Tahun 9 Bulan 27 Hari")</f>
        <v>19 Tahun 9 Bulan 27 Hari</v>
      </c>
      <c r="AA137" s="8">
        <f ca="1">IFERROR(__xludf.DUMMYFUNCTION("""COMPUTED_VALUE"""),50192)</f>
        <v>50192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4"/>
      <c r="AR137" s="3"/>
      <c r="AS137" s="4"/>
      <c r="AT137" s="3"/>
      <c r="AU137" s="3"/>
    </row>
    <row r="138" spans="1:47" x14ac:dyDescent="0.2">
      <c r="A138" s="12">
        <v>137</v>
      </c>
      <c r="B138" s="3" t="str">
        <f ca="1">IFERROR(__xludf.DUMMYFUNCTION("""COMPUTED_VALUE"""),"Naerul Edwin Kiky Aprianto")</f>
        <v>Naerul Edwin Kiky Aprianto</v>
      </c>
      <c r="C138" s="3" t="str">
        <f ca="1">IFERROR(__xludf.DUMMYFUNCTION("""COMPUTED_VALUE"""),"Naerul Edwin Kiky Aprianto, M.E.")</f>
        <v>Naerul Edwin Kiky Aprianto, M.E.</v>
      </c>
      <c r="D138" s="3" t="str">
        <f ca="1">IFERROR(__xludf.DUMMYFUNCTION("""COMPUTED_VALUE"""),"Naerul Edwin Kiky Aprianto, M.E.")</f>
        <v>Naerul Edwin Kiky Aprianto, M.E.</v>
      </c>
      <c r="E138" s="3" t="str">
        <f ca="1">IFERROR(__xludf.DUMMYFUNCTION("""COMPUTED_VALUE"""),"199304142020121004")</f>
        <v>199304142020121004</v>
      </c>
      <c r="F138" s="3" t="str">
        <f ca="1">IFERROR(__xludf.DUMMYFUNCTION("""COMPUTED_VALUE"""),"‌19930414 202012 1 004")</f>
        <v>‌19930414 202012 1 004</v>
      </c>
      <c r="G138" s="3">
        <f ca="1">IFERROR(__xludf.DUMMYFUNCTION("""COMPUTED_VALUE"""),2014049301)</f>
        <v>2014049301</v>
      </c>
      <c r="H138" s="6" t="str">
        <f ca="1">IFERROR(__xludf.DUMMYFUNCTION("""COMPUTED_VALUE"""),"2746771672130132")</f>
        <v>2746771672130132</v>
      </c>
      <c r="I138" s="3" t="str">
        <f ca="1">IFERROR(__xludf.DUMMYFUNCTION("""COMPUTED_VALUE"""),"PNS")</f>
        <v>PNS</v>
      </c>
      <c r="J138" s="3" t="str">
        <f ca="1">IFERROR(__xludf.DUMMYFUNCTION("""COMPUTED_VALUE"""),"Dosen PNS")</f>
        <v>Dosen PNS</v>
      </c>
      <c r="K138" s="5" t="str">
        <f ca="1">IFERROR(__xludf.DUMMYFUNCTION("""COMPUTED_VALUE"""),"L")</f>
        <v>L</v>
      </c>
      <c r="L138" s="3" t="str">
        <f ca="1">IFERROR(__xludf.DUMMYFUNCTION("""COMPUTED_VALUE"""),"Banyumas")</f>
        <v>Banyumas</v>
      </c>
      <c r="M138" s="7">
        <f ca="1">IFERROR(__xludf.DUMMYFUNCTION("""COMPUTED_VALUE"""),34073)</f>
        <v>34073</v>
      </c>
      <c r="N138" s="4" t="str">
        <f ca="1">IFERROR(__xludf.DUMMYFUNCTION("""COMPUTED_VALUE"""),"Penata Muda Tk.I")</f>
        <v>Penata Muda Tk.I</v>
      </c>
      <c r="O138" s="3" t="str">
        <f ca="1">IFERROR(__xludf.DUMMYFUNCTION("""COMPUTED_VALUE"""),"III/b")</f>
        <v>III/b</v>
      </c>
      <c r="P138" s="7">
        <f ca="1">IFERROR(__xludf.DUMMYFUNCTION("""COMPUTED_VALUE"""),44562)</f>
        <v>44562</v>
      </c>
      <c r="Q138" s="3" t="str">
        <f ca="1">IFERROR(__xludf.DUMMYFUNCTION("""COMPUTED_VALUE"""),"3577/Un.19/R/KP.00.3/12/2021")</f>
        <v>3577/Un.19/R/KP.00.3/12/2021</v>
      </c>
      <c r="R138" s="3" t="str">
        <f ca="1">IFERROR(__xludf.DUMMYFUNCTION("""COMPUTED_VALUE"""),"Asisten Ahli")</f>
        <v>Asisten Ahli</v>
      </c>
      <c r="S138" s="3" t="str">
        <f ca="1">IFERROR(__xludf.DUMMYFUNCTION("""COMPUTED_VALUE"""),"Asisten Ahli")</f>
        <v>Asisten Ahli</v>
      </c>
      <c r="T138" s="7">
        <f ca="1">IFERROR(__xludf.DUMMYFUNCTION("""COMPUTED_VALUE"""),45047)</f>
        <v>45047</v>
      </c>
      <c r="U138" s="3" t="str">
        <f ca="1">IFERROR(__xludf.DUMMYFUNCTION("""COMPUTED_VALUE"""),"013476/B.II/3/2023")</f>
        <v>013476/B.II/3/2023</v>
      </c>
      <c r="V138" s="7">
        <f ca="1">IFERROR(__xludf.DUMMYFUNCTION("""COMPUTED_VALUE"""),45090)</f>
        <v>45090</v>
      </c>
      <c r="W138" s="3">
        <f ca="1">IFERROR(__xludf.DUMMYFUNCTION("""COMPUTED_VALUE"""),9)</f>
        <v>9</v>
      </c>
      <c r="X138" s="3"/>
      <c r="Y138" s="3" t="str">
        <f ca="1">IFERROR(__xludf.DUMMYFUNCTION("""COMPUTED_VALUE"""),"S-2")</f>
        <v>S-2</v>
      </c>
      <c r="Z138" s="3" t="str">
        <f ca="1">IFERROR(__xludf.DUMMYFUNCTION("""COMPUTED_VALUE"""),"5 Tahun 1 Bulan 27 Hari")</f>
        <v>5 Tahun 1 Bulan 27 Hari</v>
      </c>
      <c r="AA138" s="8">
        <f ca="1">IFERROR(__xludf.DUMMYFUNCTION("""COMPUTED_VALUE"""),57831)</f>
        <v>57831</v>
      </c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4"/>
      <c r="AR138" s="3"/>
      <c r="AS138" s="4"/>
      <c r="AT138" s="3"/>
      <c r="AU138" s="3"/>
    </row>
    <row r="139" spans="1:47" x14ac:dyDescent="0.2">
      <c r="A139" s="12">
        <v>138</v>
      </c>
      <c r="B139" s="3" t="str">
        <f ca="1">IFERROR(__xludf.DUMMYFUNCTION("""COMPUTED_VALUE"""),"Naqiyah")</f>
        <v>Naqiyah</v>
      </c>
      <c r="C139" s="3" t="str">
        <f ca="1">IFERROR(__xludf.DUMMYFUNCTION("""COMPUTED_VALUE"""),"Prof. Dr. Hj. Naqiyah, M.Ag.")</f>
        <v>Prof. Dr. Hj. Naqiyah, M.Ag.</v>
      </c>
      <c r="D139" s="3" t="str">
        <f ca="1">IFERROR(__xludf.DUMMYFUNCTION("""COMPUTED_VALUE"""),"Prof. Dr. Hj. Naqiyah, M.Ag.")</f>
        <v>Prof. Dr. Hj. Naqiyah, M.Ag.</v>
      </c>
      <c r="E139" s="3" t="str">
        <f ca="1">IFERROR(__xludf.DUMMYFUNCTION("""COMPUTED_VALUE"""),"196309221990022001")</f>
        <v>196309221990022001</v>
      </c>
      <c r="F139" s="3" t="str">
        <f ca="1">IFERROR(__xludf.DUMMYFUNCTION("""COMPUTED_VALUE"""),"19630922 199002 2 001")</f>
        <v>19630922 199002 2 001</v>
      </c>
      <c r="G139" s="3">
        <f ca="1">IFERROR(__xludf.DUMMYFUNCTION("""COMPUTED_VALUE"""),2022096302)</f>
        <v>2022096302</v>
      </c>
      <c r="H139" s="6" t="str">
        <f ca="1">IFERROR(__xludf.DUMMYFUNCTION("""COMPUTED_VALUE"""),"3254741642230073")</f>
        <v>3254741642230073</v>
      </c>
      <c r="I139" s="3" t="str">
        <f ca="1">IFERROR(__xludf.DUMMYFUNCTION("""COMPUTED_VALUE"""),"PNS")</f>
        <v>PNS</v>
      </c>
      <c r="J139" s="3" t="str">
        <f ca="1">IFERROR(__xludf.DUMMYFUNCTION("""COMPUTED_VALUE"""),"Dosen PNS")</f>
        <v>Dosen PNS</v>
      </c>
      <c r="K139" s="5" t="str">
        <f ca="1">IFERROR(__xludf.DUMMYFUNCTION("""COMPUTED_VALUE"""),"P")</f>
        <v>P</v>
      </c>
      <c r="L139" s="3" t="str">
        <f ca="1">IFERROR(__xludf.DUMMYFUNCTION("""COMPUTED_VALUE"""),"Situbondo")</f>
        <v>Situbondo</v>
      </c>
      <c r="M139" s="7">
        <f ca="1">IFERROR(__xludf.DUMMYFUNCTION("""COMPUTED_VALUE"""),23276)</f>
        <v>23276</v>
      </c>
      <c r="N139" s="4" t="str">
        <f ca="1">IFERROR(__xludf.DUMMYFUNCTION("""COMPUTED_VALUE"""),"Pembina Utama")</f>
        <v>Pembina Utama</v>
      </c>
      <c r="O139" s="3" t="str">
        <f ca="1">IFERROR(__xludf.DUMMYFUNCTION("""COMPUTED_VALUE"""),"IV/e")</f>
        <v>IV/e</v>
      </c>
      <c r="P139" s="7">
        <f ca="1">IFERROR(__xludf.DUMMYFUNCTION("""COMPUTED_VALUE"""),45931)</f>
        <v>45931</v>
      </c>
      <c r="Q139" s="3" t="str">
        <f ca="1">IFERROR(__xludf.DUMMYFUNCTION("""COMPUTED_VALUE"""),"00502/KEP/AA/15001/25")</f>
        <v>00502/KEP/AA/15001/25</v>
      </c>
      <c r="R139" s="3" t="str">
        <f ca="1">IFERROR(__xludf.DUMMYFUNCTION("""COMPUTED_VALUE"""),"Guru Besar")</f>
        <v>Guru Besar</v>
      </c>
      <c r="S139" s="3" t="str">
        <f ca="1">IFERROR(__xludf.DUMMYFUNCTION("""COMPUTED_VALUE"""),"Guru Besar")</f>
        <v>Guru Besar</v>
      </c>
      <c r="T139" s="7">
        <f ca="1">IFERROR(__xludf.DUMMYFUNCTION("""COMPUTED_VALUE"""),45017)</f>
        <v>45017</v>
      </c>
      <c r="U139" s="3" t="str">
        <f ca="1">IFERROR(__xludf.DUMMYFUNCTION("""COMPUTED_VALUE"""),"013726/B.II/3/2023")</f>
        <v>013726/B.II/3/2023</v>
      </c>
      <c r="V139" s="7">
        <f ca="1">IFERROR(__xludf.DUMMYFUNCTION("""COMPUTED_VALUE"""),45092)</f>
        <v>45092</v>
      </c>
      <c r="W139" s="3">
        <f ca="1">IFERROR(__xludf.DUMMYFUNCTION("""COMPUTED_VALUE"""),15)</f>
        <v>15</v>
      </c>
      <c r="X139" s="7" t="str">
        <f ca="1">IFERROR(__xludf.DUMMYFUNCTION("""COMPUTED_VALUE"""),"Anggota Senat")</f>
        <v>Anggota Senat</v>
      </c>
      <c r="Y139" s="3" t="str">
        <f ca="1">IFERROR(__xludf.DUMMYFUNCTION("""COMPUTED_VALUE"""),"S-3")</f>
        <v>S-3</v>
      </c>
      <c r="Z139" s="3" t="str">
        <f ca="1">IFERROR(__xludf.DUMMYFUNCTION("""COMPUTED_VALUE"""),"35 Tahun 11 Bulan 27 Hari")</f>
        <v>35 Tahun 11 Bulan 27 Hari</v>
      </c>
      <c r="AA139" s="8">
        <f ca="1">IFERROR(__xludf.DUMMYFUNCTION("""COMPUTED_VALUE"""),48853)</f>
        <v>48853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4"/>
      <c r="AR139" s="3"/>
      <c r="AS139" s="4"/>
      <c r="AT139" s="3"/>
      <c r="AU139" s="3"/>
    </row>
    <row r="140" spans="1:47" x14ac:dyDescent="0.2">
      <c r="A140" s="12">
        <v>139</v>
      </c>
      <c r="B140" s="3" t="str">
        <f ca="1">IFERROR(__xludf.DUMMYFUNCTION("""COMPUTED_VALUE"""),"Nasrudin")</f>
        <v>Nasrudin</v>
      </c>
      <c r="C140" s="3" t="str">
        <f ca="1">IFERROR(__xludf.DUMMYFUNCTION("""COMPUTED_VALUE"""),"Dr. H. Nasrudin, M.Ag.")</f>
        <v>Dr. H. Nasrudin, M.Ag.</v>
      </c>
      <c r="D140" s="3" t="str">
        <f ca="1">IFERROR(__xludf.DUMMYFUNCTION("""COMPUTED_VALUE"""),"Dr. H. Nasrudin, M.Ag.")</f>
        <v>Dr. H. Nasrudin, M.Ag.</v>
      </c>
      <c r="E140" s="3" t="str">
        <f ca="1">IFERROR(__xludf.DUMMYFUNCTION("""COMPUTED_VALUE"""),"197002051998031001")</f>
        <v>197002051998031001</v>
      </c>
      <c r="F140" s="3" t="str">
        <f ca="1">IFERROR(__xludf.DUMMYFUNCTION("""COMPUTED_VALUE"""),"19700205 199803 1 001")</f>
        <v>19700205 199803 1 001</v>
      </c>
      <c r="G140" s="3">
        <f ca="1">IFERROR(__xludf.DUMMYFUNCTION("""COMPUTED_VALUE"""),2005027003)</f>
        <v>2005027003</v>
      </c>
      <c r="H140" s="6" t="str">
        <f ca="1">IFERROR(__xludf.DUMMYFUNCTION("""COMPUTED_VALUE"""),"2537748649130152")</f>
        <v>2537748649130152</v>
      </c>
      <c r="I140" s="3" t="str">
        <f ca="1">IFERROR(__xludf.DUMMYFUNCTION("""COMPUTED_VALUE"""),"PNS")</f>
        <v>PNS</v>
      </c>
      <c r="J140" s="3" t="str">
        <f ca="1">IFERROR(__xludf.DUMMYFUNCTION("""COMPUTED_VALUE"""),"Dosen PNS")</f>
        <v>Dosen PNS</v>
      </c>
      <c r="K140" s="5" t="str">
        <f ca="1">IFERROR(__xludf.DUMMYFUNCTION("""COMPUTED_VALUE"""),"L")</f>
        <v>L</v>
      </c>
      <c r="L140" s="3" t="str">
        <f ca="1">IFERROR(__xludf.DUMMYFUNCTION("""COMPUTED_VALUE"""),"Wonosobo")</f>
        <v>Wonosobo</v>
      </c>
      <c r="M140" s="7">
        <f ca="1">IFERROR(__xludf.DUMMYFUNCTION("""COMPUTED_VALUE"""),25604)</f>
        <v>25604</v>
      </c>
      <c r="N140" s="4" t="str">
        <f ca="1">IFERROR(__xludf.DUMMYFUNCTION("""COMPUTED_VALUE"""),"Pembina Utama Muda")</f>
        <v>Pembina Utama Muda</v>
      </c>
      <c r="O140" s="3" t="str">
        <f ca="1">IFERROR(__xludf.DUMMYFUNCTION("""COMPUTED_VALUE"""),"IV/c")</f>
        <v>IV/c</v>
      </c>
      <c r="P140" s="7">
        <f ca="1">IFERROR(__xludf.DUMMYFUNCTION("""COMPUTED_VALUE"""),45323)</f>
        <v>45323</v>
      </c>
      <c r="Q140" s="3" t="str">
        <f ca="1">IFERROR(__xludf.DUMMYFUNCTION("""COMPUTED_VALUE"""),"00013/KEP/AA/15001/24")</f>
        <v>00013/KEP/AA/15001/24</v>
      </c>
      <c r="R140" s="3" t="str">
        <f ca="1">IFERROR(__xludf.DUMMYFUNCTION("""COMPUTED_VALUE"""),"Lektor Kepala")</f>
        <v>Lektor Kepala</v>
      </c>
      <c r="S140" s="3" t="str">
        <f ca="1">IFERROR(__xludf.DUMMYFUNCTION("""COMPUTED_VALUE"""),"Lektor Kepala")</f>
        <v>Lektor Kepala</v>
      </c>
      <c r="T140" s="7">
        <f ca="1">IFERROR(__xludf.DUMMYFUNCTION("""COMPUTED_VALUE"""),40360)</f>
        <v>40360</v>
      </c>
      <c r="U140" s="3" t="str">
        <f ca="1">IFERROR(__xludf.DUMMYFUNCTION("""COMPUTED_VALUE"""),"B.II/3/88/2010")</f>
        <v>B.II/3/88/2010</v>
      </c>
      <c r="V140" s="7">
        <f ca="1">IFERROR(__xludf.DUMMYFUNCTION("""COMPUTED_VALUE"""),40422)</f>
        <v>40422</v>
      </c>
      <c r="W140" s="3">
        <f ca="1">IFERROR(__xludf.DUMMYFUNCTION("""COMPUTED_VALUE"""),13)</f>
        <v>13</v>
      </c>
      <c r="X140" s="7" t="str">
        <f ca="1">IFERROR(__xludf.DUMMYFUNCTION("""COMPUTED_VALUE"""),"Kepala Unit Pelaksana Teknis Ma'had Al Jami'ah")</f>
        <v>Kepala Unit Pelaksana Teknis Ma'had Al Jami'ah</v>
      </c>
      <c r="Y140" s="3" t="str">
        <f ca="1">IFERROR(__xludf.DUMMYFUNCTION("""COMPUTED_VALUE"""),"S-3")</f>
        <v>S-3</v>
      </c>
      <c r="Z140" s="3" t="str">
        <f ca="1">IFERROR(__xludf.DUMMYFUNCTION("""COMPUTED_VALUE"""),"27 Tahun 10 Bulan 27 Hari")</f>
        <v>27 Tahun 10 Bulan 27 Hari</v>
      </c>
      <c r="AA140" s="8">
        <f ca="1">IFERROR(__xludf.DUMMYFUNCTION("""COMPUTED_VALUE"""),49369)</f>
        <v>49369</v>
      </c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4"/>
      <c r="AR140" s="3"/>
      <c r="AS140" s="4"/>
      <c r="AT140" s="3"/>
      <c r="AU140" s="3"/>
    </row>
    <row r="141" spans="1:47" x14ac:dyDescent="0.2">
      <c r="A141" s="12">
        <v>140</v>
      </c>
      <c r="B141" s="3" t="str">
        <f ca="1">IFERROR(__xludf.DUMMYFUNCTION("""COMPUTED_VALUE"""),"Nawawi")</f>
        <v>Nawawi</v>
      </c>
      <c r="C141" s="3" t="str">
        <f ca="1">IFERROR(__xludf.DUMMYFUNCTION("""COMPUTED_VALUE"""),"Dr. Nawawi, S.Ag., M.Hum.")</f>
        <v>Dr. Nawawi, S.Ag., M.Hum.</v>
      </c>
      <c r="D141" s="3" t="str">
        <f ca="1">IFERROR(__xludf.DUMMYFUNCTION("""COMPUTED_VALUE"""),"Dr. Nawawi, S.Ag., M.Hum.")</f>
        <v>Dr. Nawawi, S.Ag., M.Hum.</v>
      </c>
      <c r="E141" s="3" t="str">
        <f ca="1">IFERROR(__xludf.DUMMYFUNCTION("""COMPUTED_VALUE"""),"197105081998031003")</f>
        <v>197105081998031003</v>
      </c>
      <c r="F141" s="3" t="str">
        <f ca="1">IFERROR(__xludf.DUMMYFUNCTION("""COMPUTED_VALUE"""),"19710508 199803 1 003")</f>
        <v>19710508 199803 1 003</v>
      </c>
      <c r="G141" s="3">
        <f ca="1">IFERROR(__xludf.DUMMYFUNCTION("""COMPUTED_VALUE"""),2008057101)</f>
        <v>2008057101</v>
      </c>
      <c r="H141" s="6" t="str">
        <f ca="1">IFERROR(__xludf.DUMMYFUNCTION("""COMPUTED_VALUE"""),"7840749650130142")</f>
        <v>7840749650130142</v>
      </c>
      <c r="I141" s="3" t="str">
        <f ca="1">IFERROR(__xludf.DUMMYFUNCTION("""COMPUTED_VALUE"""),"PNS")</f>
        <v>PNS</v>
      </c>
      <c r="J141" s="3" t="str">
        <f ca="1">IFERROR(__xludf.DUMMYFUNCTION("""COMPUTED_VALUE"""),"Dosen PNS")</f>
        <v>Dosen PNS</v>
      </c>
      <c r="K141" s="5" t="str">
        <f ca="1">IFERROR(__xludf.DUMMYFUNCTION("""COMPUTED_VALUE"""),"L")</f>
        <v>L</v>
      </c>
      <c r="L141" s="3" t="str">
        <f ca="1">IFERROR(__xludf.DUMMYFUNCTION("""COMPUTED_VALUE"""),"Banyumas")</f>
        <v>Banyumas</v>
      </c>
      <c r="M141" s="7">
        <f ca="1">IFERROR(__xludf.DUMMYFUNCTION("""COMPUTED_VALUE"""),26061)</f>
        <v>26061</v>
      </c>
      <c r="N141" s="4" t="str">
        <f ca="1">IFERROR(__xludf.DUMMYFUNCTION("""COMPUTED_VALUE"""),"Pembina Utama Muda")</f>
        <v>Pembina Utama Muda</v>
      </c>
      <c r="O141" s="3" t="str">
        <f ca="1">IFERROR(__xludf.DUMMYFUNCTION("""COMPUTED_VALUE"""),"IV/c")</f>
        <v>IV/c</v>
      </c>
      <c r="P141" s="7">
        <f ca="1">IFERROR(__xludf.DUMMYFUNCTION("""COMPUTED_VALUE"""),42278)</f>
        <v>42278</v>
      </c>
      <c r="Q141" s="3" t="str">
        <f ca="1">IFERROR(__xludf.DUMMYFUNCTION("""COMPUTED_VALUE"""),"00424/KEP/AA/12018/15")</f>
        <v>00424/KEP/AA/12018/15</v>
      </c>
      <c r="R141" s="3" t="str">
        <f ca="1">IFERROR(__xludf.DUMMYFUNCTION("""COMPUTED_VALUE"""),"Lektor Kepala")</f>
        <v>Lektor Kepala</v>
      </c>
      <c r="S141" s="3" t="str">
        <f ca="1">IFERROR(__xludf.DUMMYFUNCTION("""COMPUTED_VALUE"""),"Lektor Kepala")</f>
        <v>Lektor Kepala</v>
      </c>
      <c r="T141" s="7">
        <f ca="1">IFERROR(__xludf.DUMMYFUNCTION("""COMPUTED_VALUE"""),42125)</f>
        <v>42125</v>
      </c>
      <c r="U141" s="3" t="str">
        <f ca="1">IFERROR(__xludf.DUMMYFUNCTION("""COMPUTED_VALUE"""),"418/In.17/R/Kp.07.3/5/2015")</f>
        <v>418/In.17/R/Kp.07.3/5/2015</v>
      </c>
      <c r="V141" s="7">
        <f ca="1">IFERROR(__xludf.DUMMYFUNCTION("""COMPUTED_VALUE"""),42125)</f>
        <v>42125</v>
      </c>
      <c r="W141" s="3">
        <f ca="1">IFERROR(__xludf.DUMMYFUNCTION("""COMPUTED_VALUE"""),13)</f>
        <v>13</v>
      </c>
      <c r="X141" s="7" t="str">
        <f ca="1">IFERROR(__xludf.DUMMYFUNCTION("""COMPUTED_VALUE"""),"Wakil Dekan Bidang Kemahasiswaan, Alumni dan Kerja Sama Pada Fakultas Dakwah")</f>
        <v>Wakil Dekan Bidang Kemahasiswaan, Alumni dan Kerja Sama Pada Fakultas Dakwah</v>
      </c>
      <c r="Y141" s="3" t="str">
        <f ca="1">IFERROR(__xludf.DUMMYFUNCTION("""COMPUTED_VALUE"""),"S-3")</f>
        <v>S-3</v>
      </c>
      <c r="Z141" s="3" t="str">
        <f ca="1">IFERROR(__xludf.DUMMYFUNCTION("""COMPUTED_VALUE"""),"27 Tahun 10 Bulan 27 Hari")</f>
        <v>27 Tahun 10 Bulan 27 Hari</v>
      </c>
      <c r="AA141" s="8">
        <f ca="1">IFERROR(__xludf.DUMMYFUNCTION("""COMPUTED_VALUE"""),49827)</f>
        <v>49827</v>
      </c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4"/>
      <c r="AR141" s="3"/>
      <c r="AS141" s="4"/>
      <c r="AT141" s="3"/>
      <c r="AU141" s="3"/>
    </row>
    <row r="142" spans="1:47" x14ac:dyDescent="0.2">
      <c r="A142" s="12">
        <v>141</v>
      </c>
      <c r="B142" s="3" t="str">
        <f ca="1">IFERROR(__xludf.DUMMYFUNCTION("""COMPUTED_VALUE"""),"Nita Triana")</f>
        <v>Nita Triana</v>
      </c>
      <c r="C142" s="3" t="str">
        <f ca="1">IFERROR(__xludf.DUMMYFUNCTION("""COMPUTED_VALUE"""),"Dr. Hj. Nita Triana, S.H., M.Si.")</f>
        <v>Dr. Hj. Nita Triana, S.H., M.Si.</v>
      </c>
      <c r="D142" s="3" t="str">
        <f ca="1">IFERROR(__xludf.DUMMYFUNCTION("""COMPUTED_VALUE"""),"Dr. Hj. Nita Triana, S.H., M.Si.")</f>
        <v>Dr. Hj. Nita Triana, S.H., M.Si.</v>
      </c>
      <c r="E142" s="3" t="str">
        <f ca="1">IFERROR(__xludf.DUMMYFUNCTION("""COMPUTED_VALUE"""),"196710032006042014")</f>
        <v>196710032006042014</v>
      </c>
      <c r="F142" s="3" t="str">
        <f ca="1">IFERROR(__xludf.DUMMYFUNCTION("""COMPUTED_VALUE"""),"19671003 200604 2 014")</f>
        <v>19671003 200604 2 014</v>
      </c>
      <c r="G142" s="3">
        <f ca="1">IFERROR(__xludf.DUMMYFUNCTION("""COMPUTED_VALUE"""),2003106701)</f>
        <v>2003106701</v>
      </c>
      <c r="H142" s="6" t="str">
        <f ca="1">IFERROR(__xludf.DUMMYFUNCTION("""COMPUTED_VALUE"""),"8335745646230083")</f>
        <v>8335745646230083</v>
      </c>
      <c r="I142" s="3" t="str">
        <f ca="1">IFERROR(__xludf.DUMMYFUNCTION("""COMPUTED_VALUE"""),"PNS")</f>
        <v>PNS</v>
      </c>
      <c r="J142" s="3" t="str">
        <f ca="1">IFERROR(__xludf.DUMMYFUNCTION("""COMPUTED_VALUE"""),"Dosen PNS")</f>
        <v>Dosen PNS</v>
      </c>
      <c r="K142" s="5" t="str">
        <f ca="1">IFERROR(__xludf.DUMMYFUNCTION("""COMPUTED_VALUE"""),"P")</f>
        <v>P</v>
      </c>
      <c r="L142" s="3" t="str">
        <f ca="1">IFERROR(__xludf.DUMMYFUNCTION("""COMPUTED_VALUE"""),"Ciamis")</f>
        <v>Ciamis</v>
      </c>
      <c r="M142" s="7">
        <f ca="1">IFERROR(__xludf.DUMMYFUNCTION("""COMPUTED_VALUE"""),24748)</f>
        <v>24748</v>
      </c>
      <c r="N142" s="4" t="str">
        <f ca="1">IFERROR(__xludf.DUMMYFUNCTION("""COMPUTED_VALUE"""),"Pembina Utama Muda")</f>
        <v>Pembina Utama Muda</v>
      </c>
      <c r="O142" s="3" t="str">
        <f ca="1">IFERROR(__xludf.DUMMYFUNCTION("""COMPUTED_VALUE"""),"IV/c")</f>
        <v>IV/c</v>
      </c>
      <c r="P142" s="7">
        <f ca="1">IFERROR(__xludf.DUMMYFUNCTION("""COMPUTED_VALUE"""),45200)</f>
        <v>45200</v>
      </c>
      <c r="Q142" s="3" t="str">
        <f ca="1">IFERROR(__xludf.DUMMYFUNCTION("""COMPUTED_VALUE"""),"00107/KEP/AA/15001/23")</f>
        <v>00107/KEP/AA/15001/23</v>
      </c>
      <c r="R142" s="3" t="str">
        <f ca="1">IFERROR(__xludf.DUMMYFUNCTION("""COMPUTED_VALUE"""),"Lektor Kepala")</f>
        <v>Lektor Kepala</v>
      </c>
      <c r="S142" s="3" t="str">
        <f ca="1">IFERROR(__xludf.DUMMYFUNCTION("""COMPUTED_VALUE"""),"Lektor Kepala")</f>
        <v>Lektor Kepala</v>
      </c>
      <c r="T142" s="7">
        <f ca="1">IFERROR(__xludf.DUMMYFUNCTION("""COMPUTED_VALUE"""),44378)</f>
        <v>44378</v>
      </c>
      <c r="U142" s="3" t="str">
        <f ca="1">IFERROR(__xludf.DUMMYFUNCTION("""COMPUTED_VALUE"""),"2208/In.17/R/Kp.07.6/8/2021")</f>
        <v>2208/In.17/R/Kp.07.6/8/2021</v>
      </c>
      <c r="V142" s="7">
        <f ca="1">IFERROR(__xludf.DUMMYFUNCTION("""COMPUTED_VALUE"""),44378)</f>
        <v>44378</v>
      </c>
      <c r="W142" s="3">
        <f ca="1">IFERROR(__xludf.DUMMYFUNCTION("""COMPUTED_VALUE"""),13)</f>
        <v>13</v>
      </c>
      <c r="X142" s="7" t="str">
        <f ca="1">IFERROR(__xludf.DUMMYFUNCTION("""COMPUTED_VALUE"""),"Ketua Program Studi S-2 Hukum Ekonomi Syariah Pascasarjana")</f>
        <v>Ketua Program Studi S-2 Hukum Ekonomi Syariah Pascasarjana</v>
      </c>
      <c r="Y142" s="3" t="str">
        <f ca="1">IFERROR(__xludf.DUMMYFUNCTION("""COMPUTED_VALUE"""),"S-3")</f>
        <v>S-3</v>
      </c>
      <c r="Z142" s="3" t="str">
        <f ca="1">IFERROR(__xludf.DUMMYFUNCTION("""COMPUTED_VALUE"""),"19 Tahun 9 Bulan 27 Hari")</f>
        <v>19 Tahun 9 Bulan 27 Hari</v>
      </c>
      <c r="AA142" s="8">
        <f ca="1">IFERROR(__xludf.DUMMYFUNCTION("""COMPUTED_VALUE"""),48519)</f>
        <v>48519</v>
      </c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4"/>
      <c r="AR142" s="3"/>
      <c r="AS142" s="4"/>
      <c r="AT142" s="3"/>
      <c r="AU142" s="3"/>
    </row>
    <row r="143" spans="1:47" x14ac:dyDescent="0.2">
      <c r="A143" s="12">
        <v>142</v>
      </c>
      <c r="B143" s="3" t="str">
        <f ca="1">IFERROR(__xludf.DUMMYFUNCTION("""COMPUTED_VALUE"""),"Novan Ardy Wiyani")</f>
        <v>Novan Ardy Wiyani</v>
      </c>
      <c r="C143" s="3" t="str">
        <f ca="1">IFERROR(__xludf.DUMMYFUNCTION("""COMPUTED_VALUE"""),"Dr. Novan Ardy Wiyani, M.Pd.I.")</f>
        <v>Dr. Novan Ardy Wiyani, M.Pd.I.</v>
      </c>
      <c r="D143" s="3" t="str">
        <f ca="1">IFERROR(__xludf.DUMMYFUNCTION("""COMPUTED_VALUE"""),"Dr. Novan Ardy Wiyani, M.Pd.I.")</f>
        <v>Dr. Novan Ardy Wiyani, M.Pd.I.</v>
      </c>
      <c r="E143" s="3" t="str">
        <f ca="1">IFERROR(__xludf.DUMMYFUNCTION("""COMPUTED_VALUE"""),"198505252015031004")</f>
        <v>198505252015031004</v>
      </c>
      <c r="F143" s="3" t="str">
        <f ca="1">IFERROR(__xludf.DUMMYFUNCTION("""COMPUTED_VALUE"""),"19850525 201503 1 004")</f>
        <v>19850525 201503 1 004</v>
      </c>
      <c r="G143" s="3" t="str">
        <f ca="1">IFERROR(__xludf.DUMMYFUNCTION("""COMPUTED_VALUE"""),"0625058502")</f>
        <v>0625058502</v>
      </c>
      <c r="H143" s="6" t="str">
        <f ca="1">IFERROR(__xludf.DUMMYFUNCTION("""COMPUTED_VALUE"""),"4857763664137282")</f>
        <v>4857763664137282</v>
      </c>
      <c r="I143" s="3" t="str">
        <f ca="1">IFERROR(__xludf.DUMMYFUNCTION("""COMPUTED_VALUE"""),"PNS")</f>
        <v>PNS</v>
      </c>
      <c r="J143" s="3" t="str">
        <f ca="1">IFERROR(__xludf.DUMMYFUNCTION("""COMPUTED_VALUE"""),"Dosen PNS")</f>
        <v>Dosen PNS</v>
      </c>
      <c r="K143" s="5" t="str">
        <f ca="1">IFERROR(__xludf.DUMMYFUNCTION("""COMPUTED_VALUE"""),"L")</f>
        <v>L</v>
      </c>
      <c r="L143" s="3" t="str">
        <f ca="1">IFERROR(__xludf.DUMMYFUNCTION("""COMPUTED_VALUE"""),"Brebes")</f>
        <v>Brebes</v>
      </c>
      <c r="M143" s="7">
        <f ca="1">IFERROR(__xludf.DUMMYFUNCTION("""COMPUTED_VALUE"""),31192)</f>
        <v>31192</v>
      </c>
      <c r="N143" s="4" t="str">
        <f ca="1">IFERROR(__xludf.DUMMYFUNCTION("""COMPUTED_VALUE"""),"Pembina Tk.I")</f>
        <v>Pembina Tk.I</v>
      </c>
      <c r="O143" s="3" t="str">
        <f ca="1">IFERROR(__xludf.DUMMYFUNCTION("""COMPUTED_VALUE"""),"IV/b")</f>
        <v>IV/b</v>
      </c>
      <c r="P143" s="7">
        <f ca="1">IFERROR(__xludf.DUMMYFUNCTION("""COMPUTED_VALUE"""),45931)</f>
        <v>45931</v>
      </c>
      <c r="Q143" s="3" t="str">
        <f ca="1">IFERROR(__xludf.DUMMYFUNCTION("""COMPUTED_VALUE"""),"196858/B.II/KP.07.1/08/2025")</f>
        <v>196858/B.II/KP.07.1/08/2025</v>
      </c>
      <c r="R143" s="3" t="str">
        <f ca="1">IFERROR(__xludf.DUMMYFUNCTION("""COMPUTED_VALUE"""),"Lektor Kepala")</f>
        <v>Lektor Kepala</v>
      </c>
      <c r="S143" s="3" t="str">
        <f ca="1">IFERROR(__xludf.DUMMYFUNCTION("""COMPUTED_VALUE"""),"Lektor Kepala")</f>
        <v>Lektor Kepala</v>
      </c>
      <c r="T143" s="7">
        <f ca="1">IFERROR(__xludf.DUMMYFUNCTION("""COMPUTED_VALUE"""),44743)</f>
        <v>44743</v>
      </c>
      <c r="U143" s="3" t="str">
        <f ca="1">IFERROR(__xludf.DUMMYFUNCTION("""COMPUTED_VALUE"""),"024948/B.II/2022")</f>
        <v>024948/B.II/2022</v>
      </c>
      <c r="V143" s="7">
        <f ca="1">IFERROR(__xludf.DUMMYFUNCTION("""COMPUTED_VALUE"""),44791)</f>
        <v>44791</v>
      </c>
      <c r="W143" s="3">
        <f ca="1">IFERROR(__xludf.DUMMYFUNCTION("""COMPUTED_VALUE"""),13)</f>
        <v>13</v>
      </c>
      <c r="X143" s="7" t="str">
        <f ca="1">IFERROR(__xludf.DUMMYFUNCTION("""COMPUTED_VALUE"""),"Sekretaris Program Studi S-3 Studi Islam Interdisipliner pada Pascasarjana")</f>
        <v>Sekretaris Program Studi S-3 Studi Islam Interdisipliner pada Pascasarjana</v>
      </c>
      <c r="Y143" s="3" t="str">
        <f ca="1">IFERROR(__xludf.DUMMYFUNCTION("""COMPUTED_VALUE"""),"S-3")</f>
        <v>S-3</v>
      </c>
      <c r="Z143" s="3" t="str">
        <f ca="1">IFERROR(__xludf.DUMMYFUNCTION("""COMPUTED_VALUE"""),"10 Tahun 10 Bulan 27 Hari")</f>
        <v>10 Tahun 10 Bulan 27 Hari</v>
      </c>
      <c r="AA143" s="8">
        <f ca="1">IFERROR(__xludf.DUMMYFUNCTION("""COMPUTED_VALUE"""),54940)</f>
        <v>54940</v>
      </c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4"/>
      <c r="AR143" s="3"/>
      <c r="AS143" s="4"/>
      <c r="AT143" s="3"/>
      <c r="AU143" s="3"/>
    </row>
    <row r="144" spans="1:47" x14ac:dyDescent="0.2">
      <c r="A144" s="12">
        <v>143</v>
      </c>
      <c r="B144" s="3" t="str">
        <f ca="1">IFERROR(__xludf.DUMMYFUNCTION("""COMPUTED_VALUE"""),"Novi Mulyani")</f>
        <v>Novi Mulyani</v>
      </c>
      <c r="C144" s="3" t="str">
        <f ca="1">IFERROR(__xludf.DUMMYFUNCTION("""COMPUTED_VALUE"""),"Novi Mulyani, M.Pd.I.")</f>
        <v>Novi Mulyani, M.Pd.I.</v>
      </c>
      <c r="D144" s="3" t="str">
        <f ca="1">IFERROR(__xludf.DUMMYFUNCTION("""COMPUTED_VALUE"""),"Novi Mulyani, M.Pd.I.")</f>
        <v>Novi Mulyani, M.Pd.I.</v>
      </c>
      <c r="E144" s="3" t="str">
        <f ca="1">IFERROR(__xludf.DUMMYFUNCTION("""COMPUTED_VALUE"""),"199011252019032020")</f>
        <v>199011252019032020</v>
      </c>
      <c r="F144" s="3" t="str">
        <f ca="1">IFERROR(__xludf.DUMMYFUNCTION("""COMPUTED_VALUE"""),"19901125 201903 2 020")</f>
        <v>19901125 201903 2 020</v>
      </c>
      <c r="G144" s="3">
        <f ca="1">IFERROR(__xludf.DUMMYFUNCTION("""COMPUTED_VALUE"""),2025119001)</f>
        <v>2025119001</v>
      </c>
      <c r="H144" s="6" t="str">
        <f ca="1">IFERROR(__xludf.DUMMYFUNCTION("""COMPUTED_VALUE"""),"2457768669231063")</f>
        <v>2457768669231063</v>
      </c>
      <c r="I144" s="3" t="str">
        <f ca="1">IFERROR(__xludf.DUMMYFUNCTION("""COMPUTED_VALUE"""),"PNS")</f>
        <v>PNS</v>
      </c>
      <c r="J144" s="3" t="str">
        <f ca="1">IFERROR(__xludf.DUMMYFUNCTION("""COMPUTED_VALUE"""),"Dosen PNS")</f>
        <v>Dosen PNS</v>
      </c>
      <c r="K144" s="5" t="str">
        <f ca="1">IFERROR(__xludf.DUMMYFUNCTION("""COMPUTED_VALUE"""),"P")</f>
        <v>P</v>
      </c>
      <c r="L144" s="3" t="str">
        <f ca="1">IFERROR(__xludf.DUMMYFUNCTION("""COMPUTED_VALUE"""),"Cilacap")</f>
        <v>Cilacap</v>
      </c>
      <c r="M144" s="9">
        <f ca="1">IFERROR(__xludf.DUMMYFUNCTION("""COMPUTED_VALUE"""),33202)</f>
        <v>33202</v>
      </c>
      <c r="N144" s="4" t="str">
        <f ca="1">IFERROR(__xludf.DUMMYFUNCTION("""COMPUTED_VALUE"""),"Penata")</f>
        <v>Penata</v>
      </c>
      <c r="O144" s="3" t="str">
        <f ca="1">IFERROR(__xludf.DUMMYFUNCTION("""COMPUTED_VALUE"""),"III/c")</f>
        <v>III/c</v>
      </c>
      <c r="P144" s="7">
        <f ca="1">IFERROR(__xludf.DUMMYFUNCTION("""COMPUTED_VALUE"""),45200)</f>
        <v>45200</v>
      </c>
      <c r="Q144" s="3" t="str">
        <f ca="1">IFERROR(__xludf.DUMMYFUNCTION("""COMPUTED_VALUE"""),"1119/Un.19/K.AUPK/KP.07.1/08/2023")</f>
        <v>1119/Un.19/K.AUPK/KP.07.1/08/2023</v>
      </c>
      <c r="R144" s="3" t="str">
        <f ca="1">IFERROR(__xludf.DUMMYFUNCTION("""COMPUTED_VALUE"""),"Lektor")</f>
        <v>Lektor</v>
      </c>
      <c r="S144" s="3" t="str">
        <f ca="1">IFERROR(__xludf.DUMMYFUNCTION("""COMPUTED_VALUE"""),"Lektor")</f>
        <v>Lektor</v>
      </c>
      <c r="T144" s="7">
        <f ca="1">IFERROR(__xludf.DUMMYFUNCTION("""COMPUTED_VALUE"""),45108)</f>
        <v>45108</v>
      </c>
      <c r="U144" s="3" t="str">
        <f ca="1">IFERROR(__xludf.DUMMYFUNCTION("""COMPUTED_VALUE"""),"854/Un.19/K.AUPK/Kp.07.6/5/2023")</f>
        <v>854/Un.19/K.AUPK/Kp.07.6/5/2023</v>
      </c>
      <c r="V144" s="7">
        <f ca="1">IFERROR(__xludf.DUMMYFUNCTION("""COMPUTED_VALUE"""),45098)</f>
        <v>45098</v>
      </c>
      <c r="W144" s="3">
        <f ca="1">IFERROR(__xludf.DUMMYFUNCTION("""COMPUTED_VALUE"""),11)</f>
        <v>11</v>
      </c>
      <c r="X144" s="7" t="str">
        <f ca="1">IFERROR(__xludf.DUMMYFUNCTION("""COMPUTED_VALUE"""),"Sekretaris Jurusan Pendidikan Islam Pada Fakultas Tarbiyah dan Ilmu Keguruan")</f>
        <v>Sekretaris Jurusan Pendidikan Islam Pada Fakultas Tarbiyah dan Ilmu Keguruan</v>
      </c>
      <c r="Y144" s="3" t="str">
        <f ca="1">IFERROR(__xludf.DUMMYFUNCTION("""COMPUTED_VALUE"""),"S-2")</f>
        <v>S-2</v>
      </c>
      <c r="Z144" s="3" t="str">
        <f ca="1">IFERROR(__xludf.DUMMYFUNCTION("""COMPUTED_VALUE"""),"6 Tahun 10 Bulan 27 Hari")</f>
        <v>6 Tahun 10 Bulan 27 Hari</v>
      </c>
      <c r="AA144" s="8">
        <f ca="1">IFERROR(__xludf.DUMMYFUNCTION("""COMPUTED_VALUE"""),56949)</f>
        <v>56949</v>
      </c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4"/>
      <c r="AR144" s="3"/>
      <c r="AS144" s="4"/>
      <c r="AT144" s="3"/>
      <c r="AU144" s="3"/>
    </row>
    <row r="145" spans="1:47" x14ac:dyDescent="0.2">
      <c r="A145" s="12">
        <v>144</v>
      </c>
      <c r="B145" s="3" t="str">
        <f ca="1">IFERROR(__xludf.DUMMYFUNCTION("""COMPUTED_VALUE"""),"Nur Azizah")</f>
        <v>Nur Azizah</v>
      </c>
      <c r="C145" s="3" t="str">
        <f ca="1">IFERROR(__xludf.DUMMYFUNCTION("""COMPUTED_VALUE"""),"Nur Azizah, S.Sos.I., M.Si.")</f>
        <v>Nur Azizah, S.Sos.I., M.Si.</v>
      </c>
      <c r="D145" s="3" t="str">
        <f ca="1">IFERROR(__xludf.DUMMYFUNCTION("""COMPUTED_VALUE"""),"Nur Azizah, S.Sos.I., M.Si.")</f>
        <v>Nur Azizah, S.Sos.I., M.Si.</v>
      </c>
      <c r="E145" s="3" t="str">
        <f ca="1">IFERROR(__xludf.DUMMYFUNCTION("""COMPUTED_VALUE"""),"198101172008012010")</f>
        <v>198101172008012010</v>
      </c>
      <c r="F145" s="3" t="str">
        <f ca="1">IFERROR(__xludf.DUMMYFUNCTION("""COMPUTED_VALUE"""),"19810117 200801 2 010")</f>
        <v>19810117 200801 2 010</v>
      </c>
      <c r="G145" s="3">
        <f ca="1">IFERROR(__xludf.DUMMYFUNCTION("""COMPUTED_VALUE"""),2017018101)</f>
        <v>2017018101</v>
      </c>
      <c r="H145" s="6" t="str">
        <f ca="1">IFERROR(__xludf.DUMMYFUNCTION("""COMPUTED_VALUE"""),"8449759660230162")</f>
        <v>8449759660230162</v>
      </c>
      <c r="I145" s="3" t="str">
        <f ca="1">IFERROR(__xludf.DUMMYFUNCTION("""COMPUTED_VALUE"""),"PNS")</f>
        <v>PNS</v>
      </c>
      <c r="J145" s="3" t="str">
        <f ca="1">IFERROR(__xludf.DUMMYFUNCTION("""COMPUTED_VALUE"""),"Dosen PNS")</f>
        <v>Dosen PNS</v>
      </c>
      <c r="K145" s="5" t="str">
        <f ca="1">IFERROR(__xludf.DUMMYFUNCTION("""COMPUTED_VALUE"""),"P")</f>
        <v>P</v>
      </c>
      <c r="L145" s="3" t="str">
        <f ca="1">IFERROR(__xludf.DUMMYFUNCTION("""COMPUTED_VALUE"""),"Bantul")</f>
        <v>Bantul</v>
      </c>
      <c r="M145" s="7">
        <f ca="1">IFERROR(__xludf.DUMMYFUNCTION("""COMPUTED_VALUE"""),29603)</f>
        <v>29603</v>
      </c>
      <c r="N145" s="4" t="str">
        <f ca="1">IFERROR(__xludf.DUMMYFUNCTION("""COMPUTED_VALUE"""),"Penata Tk.I")</f>
        <v>Penata Tk.I</v>
      </c>
      <c r="O145" s="3" t="str">
        <f ca="1">IFERROR(__xludf.DUMMYFUNCTION("""COMPUTED_VALUE"""),"III/d")</f>
        <v>III/d</v>
      </c>
      <c r="P145" s="7">
        <f ca="1">IFERROR(__xludf.DUMMYFUNCTION("""COMPUTED_VALUE"""),42461)</f>
        <v>42461</v>
      </c>
      <c r="Q145" s="3" t="str">
        <f ca="1">IFERROR(__xludf.DUMMYFUNCTION("""COMPUTED_VALUE"""),"B.II/3/05017")</f>
        <v>B.II/3/05017</v>
      </c>
      <c r="R145" s="3" t="str">
        <f ca="1">IFERROR(__xludf.DUMMYFUNCTION("""COMPUTED_VALUE"""),"Lektor")</f>
        <v>Lektor</v>
      </c>
      <c r="S145" s="3" t="str">
        <f ca="1">IFERROR(__xludf.DUMMYFUNCTION("""COMPUTED_VALUE"""),"Lektor")</f>
        <v>Lektor</v>
      </c>
      <c r="T145" s="7">
        <f ca="1">IFERROR(__xludf.DUMMYFUNCTION("""COMPUTED_VALUE"""),41244)</f>
        <v>41244</v>
      </c>
      <c r="U145" s="3" t="str">
        <f ca="1">IFERROR(__xludf.DUMMYFUNCTION("""COMPUTED_VALUE"""),"In.22/R/Kp.07.6/238/2016")</f>
        <v>In.22/R/Kp.07.6/238/2016</v>
      </c>
      <c r="V145" s="7">
        <f ca="1">IFERROR(__xludf.DUMMYFUNCTION("""COMPUTED_VALUE"""),42430)</f>
        <v>42430</v>
      </c>
      <c r="W145" s="3">
        <f ca="1">IFERROR(__xludf.DUMMYFUNCTION("""COMPUTED_VALUE"""),11)</f>
        <v>11</v>
      </c>
      <c r="X145" s="7" t="str">
        <f ca="1">IFERROR(__xludf.DUMMYFUNCTION("""COMPUTED_VALUE"""),"Ketua Jurusan Konseling dan Pengembangan Masyarakat Pada Fakultas Dakwah")</f>
        <v>Ketua Jurusan Konseling dan Pengembangan Masyarakat Pada Fakultas Dakwah</v>
      </c>
      <c r="Y145" s="3" t="str">
        <f ca="1">IFERROR(__xludf.DUMMYFUNCTION("""COMPUTED_VALUE"""),"S-2")</f>
        <v>S-2</v>
      </c>
      <c r="Z145" s="3" t="str">
        <f ca="1">IFERROR(__xludf.DUMMYFUNCTION("""COMPUTED_VALUE"""),"18 Tahun 0 Bulan 27 Hari")</f>
        <v>18 Tahun 0 Bulan 27 Hari</v>
      </c>
      <c r="AA145" s="8">
        <f ca="1">IFERROR(__xludf.DUMMYFUNCTION("""COMPUTED_VALUE"""),53359)</f>
        <v>53359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4"/>
      <c r="AR145" s="3"/>
      <c r="AS145" s="4"/>
      <c r="AT145" s="3"/>
      <c r="AU145" s="3"/>
    </row>
    <row r="146" spans="1:47" x14ac:dyDescent="0.2">
      <c r="A146" s="12">
        <v>145</v>
      </c>
      <c r="B146" s="3" t="str">
        <f ca="1">IFERROR(__xludf.DUMMYFUNCTION("""COMPUTED_VALUE"""),"Nur Wakhid")</f>
        <v>Nur Wakhid</v>
      </c>
      <c r="C146" s="3" t="str">
        <f ca="1">IFERROR(__xludf.DUMMYFUNCTION("""COMPUTED_VALUE"""),"Nur Wakhid, S.Th.I., M.A.")</f>
        <v>Nur Wakhid, S.Th.I., M.A.</v>
      </c>
      <c r="D146" s="3" t="str">
        <f ca="1">IFERROR(__xludf.DUMMYFUNCTION("""COMPUTED_VALUE"""),"Nur Wakhid, S.Th.I., M.A.")</f>
        <v>Nur Wakhid, S.Th.I., M.A.</v>
      </c>
      <c r="E146" s="3" t="str">
        <f ca="1">IFERROR(__xludf.DUMMYFUNCTION("""COMPUTED_VALUE"""),"198506242019081001")</f>
        <v>198506242019081001</v>
      </c>
      <c r="F146" s="3" t="str">
        <f ca="1">IFERROR(__xludf.DUMMYFUNCTION("""COMPUTED_VALUE"""),"19850624 201908 1 001")</f>
        <v>19850624 201908 1 001</v>
      </c>
      <c r="G146" s="3">
        <f ca="1">IFERROR(__xludf.DUMMYFUNCTION("""COMPUTED_VALUE"""),2024068502)</f>
        <v>2024068502</v>
      </c>
      <c r="H146" s="6" t="str">
        <f ca="1">IFERROR(__xludf.DUMMYFUNCTION("""COMPUTED_VALUE"""),"9956763664130242")</f>
        <v>9956763664130242</v>
      </c>
      <c r="I146" s="3" t="str">
        <f ca="1">IFERROR(__xludf.DUMMYFUNCTION("""COMPUTED_VALUE"""),"PNS")</f>
        <v>PNS</v>
      </c>
      <c r="J146" s="3" t="str">
        <f ca="1">IFERROR(__xludf.DUMMYFUNCTION("""COMPUTED_VALUE"""),"Dosen PNS")</f>
        <v>Dosen PNS</v>
      </c>
      <c r="K146" s="5" t="str">
        <f ca="1">IFERROR(__xludf.DUMMYFUNCTION("""COMPUTED_VALUE"""),"L")</f>
        <v>L</v>
      </c>
      <c r="L146" s="3" t="str">
        <f ca="1">IFERROR(__xludf.DUMMYFUNCTION("""COMPUTED_VALUE"""),"Kebumen")</f>
        <v>Kebumen</v>
      </c>
      <c r="M146" s="7">
        <f ca="1">IFERROR(__xludf.DUMMYFUNCTION("""COMPUTED_VALUE"""),31222)</f>
        <v>31222</v>
      </c>
      <c r="N146" s="4" t="str">
        <f ca="1">IFERROR(__xludf.DUMMYFUNCTION("""COMPUTED_VALUE"""),"Penata Muda Tk.I")</f>
        <v>Penata Muda Tk.I</v>
      </c>
      <c r="O146" s="3" t="str">
        <f ca="1">IFERROR(__xludf.DUMMYFUNCTION("""COMPUTED_VALUE"""),"III/b")</f>
        <v>III/b</v>
      </c>
      <c r="P146" s="7">
        <f ca="1">IFERROR(__xludf.DUMMYFUNCTION("""COMPUTED_VALUE"""),43678)</f>
        <v>43678</v>
      </c>
      <c r="Q146" s="3" t="str">
        <f ca="1">IFERROR(__xludf.DUMMYFUNCTION("""COMPUTED_VALUE"""),"2679/In.17/R/KP.07.6/9/2021")</f>
        <v>2679/In.17/R/KP.07.6/9/2021</v>
      </c>
      <c r="R146" s="3" t="str">
        <f ca="1">IFERROR(__xludf.DUMMYFUNCTION("""COMPUTED_VALUE"""),"Asisten Ahli")</f>
        <v>Asisten Ahli</v>
      </c>
      <c r="S146" s="3" t="str">
        <f ca="1">IFERROR(__xludf.DUMMYFUNCTION("""COMPUTED_VALUE"""),"Asisten Ahli")</f>
        <v>Asisten Ahli</v>
      </c>
      <c r="T146" s="7">
        <f ca="1">IFERROR(__xludf.DUMMYFUNCTION("""COMPUTED_VALUE"""),43709)</f>
        <v>43709</v>
      </c>
      <c r="U146" s="3" t="str">
        <f ca="1">IFERROR(__xludf.DUMMYFUNCTION("""COMPUTED_VALUE"""),"1202/In.17/R/KP.00.3/8/2019")</f>
        <v>1202/In.17/R/KP.00.3/8/2019</v>
      </c>
      <c r="V146" s="7">
        <f ca="1">IFERROR(__xludf.DUMMYFUNCTION("""COMPUTED_VALUE"""),43709)</f>
        <v>43709</v>
      </c>
      <c r="W146" s="3">
        <f ca="1">IFERROR(__xludf.DUMMYFUNCTION("""COMPUTED_VALUE"""),9)</f>
        <v>9</v>
      </c>
      <c r="X146" s="3"/>
      <c r="Y146" s="3" t="str">
        <f ca="1">IFERROR(__xludf.DUMMYFUNCTION("""COMPUTED_VALUE"""),"S-2")</f>
        <v>S-2</v>
      </c>
      <c r="Z146" s="3" t="str">
        <f ca="1">IFERROR(__xludf.DUMMYFUNCTION("""COMPUTED_VALUE"""),"6 Tahun 5 Bulan 27 Hari")</f>
        <v>6 Tahun 5 Bulan 27 Hari</v>
      </c>
      <c r="AA146" s="8">
        <f ca="1">IFERROR(__xludf.DUMMYFUNCTION("""COMPUTED_VALUE"""),54970)</f>
        <v>54970</v>
      </c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4"/>
      <c r="AR146" s="3"/>
      <c r="AS146" s="4"/>
      <c r="AT146" s="3"/>
      <c r="AU146" s="3"/>
    </row>
    <row r="147" spans="1:47" x14ac:dyDescent="0.2">
      <c r="A147" s="12">
        <v>146</v>
      </c>
      <c r="B147" s="3" t="str">
        <f ca="1">IFERROR(__xludf.DUMMYFUNCTION("""COMPUTED_VALUE"""),"Nurfuadi")</f>
        <v>Nurfuadi</v>
      </c>
      <c r="C147" s="3" t="str">
        <f ca="1">IFERROR(__xludf.DUMMYFUNCTION("""COMPUTED_VALUE"""),"Dr. Nurfuadi, M.Pd.I.")</f>
        <v>Dr. Nurfuadi, M.Pd.I.</v>
      </c>
      <c r="D147" s="3" t="str">
        <f ca="1">IFERROR(__xludf.DUMMYFUNCTION("""COMPUTED_VALUE"""),"Dr. Nurfuadi, M.Pd.I.")</f>
        <v>Dr. Nurfuadi, M.Pd.I.</v>
      </c>
      <c r="E147" s="3" t="str">
        <f ca="1">IFERROR(__xludf.DUMMYFUNCTION("""COMPUTED_VALUE"""),"197110212006041002")</f>
        <v>197110212006041002</v>
      </c>
      <c r="F147" s="3" t="str">
        <f ca="1">IFERROR(__xludf.DUMMYFUNCTION("""COMPUTED_VALUE"""),"19711021 200604 1 002")</f>
        <v>19711021 200604 1 002</v>
      </c>
      <c r="G147" s="3">
        <f ca="1">IFERROR(__xludf.DUMMYFUNCTION("""COMPUTED_VALUE"""),2021107103)</f>
        <v>2021107103</v>
      </c>
      <c r="H147" s="6" t="str">
        <f ca="1">IFERROR(__xludf.DUMMYFUNCTION("""COMPUTED_VALUE"""),"7353749650130093")</f>
        <v>7353749650130093</v>
      </c>
      <c r="I147" s="3" t="str">
        <f ca="1">IFERROR(__xludf.DUMMYFUNCTION("""COMPUTED_VALUE"""),"PNS")</f>
        <v>PNS</v>
      </c>
      <c r="J147" s="3" t="str">
        <f ca="1">IFERROR(__xludf.DUMMYFUNCTION("""COMPUTED_VALUE"""),"Dosen PNS")</f>
        <v>Dosen PNS</v>
      </c>
      <c r="K147" s="5" t="str">
        <f ca="1">IFERROR(__xludf.DUMMYFUNCTION("""COMPUTED_VALUE"""),"L")</f>
        <v>L</v>
      </c>
      <c r="L147" s="3" t="str">
        <f ca="1">IFERROR(__xludf.DUMMYFUNCTION("""COMPUTED_VALUE"""),"Purbalingga")</f>
        <v>Purbalingga</v>
      </c>
      <c r="M147" s="9">
        <f ca="1">IFERROR(__xludf.DUMMYFUNCTION("""COMPUTED_VALUE"""),26227)</f>
        <v>26227</v>
      </c>
      <c r="N147" s="4" t="str">
        <f ca="1">IFERROR(__xludf.DUMMYFUNCTION("""COMPUTED_VALUE"""),"Pembina Tk.I")</f>
        <v>Pembina Tk.I</v>
      </c>
      <c r="O147" s="3" t="str">
        <f ca="1">IFERROR(__xludf.DUMMYFUNCTION("""COMPUTED_VALUE"""),"IV/b")</f>
        <v>IV/b</v>
      </c>
      <c r="P147" s="7">
        <f ca="1">IFERROR(__xludf.DUMMYFUNCTION("""COMPUTED_VALUE"""),45383)</f>
        <v>45383</v>
      </c>
      <c r="Q147" s="3" t="str">
        <f ca="1">IFERROR(__xludf.DUMMYFUNCTION("""COMPUTED_VALUE"""),"015984/B.II/3/2024")</f>
        <v>015984/B.II/3/2024</v>
      </c>
      <c r="R147" s="3" t="str">
        <f ca="1">IFERROR(__xludf.DUMMYFUNCTION("""COMPUTED_VALUE"""),"Lektor Kepala")</f>
        <v>Lektor Kepala</v>
      </c>
      <c r="S147" s="3" t="str">
        <f ca="1">IFERROR(__xludf.DUMMYFUNCTION("""COMPUTED_VALUE"""),"Lektor Kepala")</f>
        <v>Lektor Kepala</v>
      </c>
      <c r="T147" s="7">
        <f ca="1">IFERROR(__xludf.DUMMYFUNCTION("""COMPUTED_VALUE"""),44409)</f>
        <v>44409</v>
      </c>
      <c r="U147" s="3" t="str">
        <f ca="1">IFERROR(__xludf.DUMMYFUNCTION("""COMPUTED_VALUE"""),"2307/In.17/R/Kp.07.6/8/2021")</f>
        <v>2307/In.17/R/Kp.07.6/8/2021</v>
      </c>
      <c r="V147" s="7">
        <f ca="1">IFERROR(__xludf.DUMMYFUNCTION("""COMPUTED_VALUE"""),44409)</f>
        <v>44409</v>
      </c>
      <c r="W147" s="3">
        <f ca="1">IFERROR(__xludf.DUMMYFUNCTION("""COMPUTED_VALUE"""),13)</f>
        <v>13</v>
      </c>
      <c r="X147" s="7" t="str">
        <f ca="1">IFERROR(__xludf.DUMMYFUNCTION("""COMPUTED_VALUE"""),"Wakil Dekan Bidang Administrasi Umum, Perencanaan dan Keuangan Pada Fakultas Tarbiyah dan Ilmu Keguruan")</f>
        <v>Wakil Dekan Bidang Administrasi Umum, Perencanaan dan Keuangan Pada Fakultas Tarbiyah dan Ilmu Keguruan</v>
      </c>
      <c r="Y147" s="3" t="str">
        <f ca="1">IFERROR(__xludf.DUMMYFUNCTION("""COMPUTED_VALUE"""),"S-3")</f>
        <v>S-3</v>
      </c>
      <c r="Z147" s="3" t="str">
        <f ca="1">IFERROR(__xludf.DUMMYFUNCTION("""COMPUTED_VALUE"""),"19 Tahun 9 Bulan 27 Hari")</f>
        <v>19 Tahun 9 Bulan 27 Hari</v>
      </c>
      <c r="AA147" s="8">
        <f ca="1">IFERROR(__xludf.DUMMYFUNCTION("""COMPUTED_VALUE"""),49980)</f>
        <v>49980</v>
      </c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4"/>
      <c r="AR147" s="3"/>
      <c r="AS147" s="4"/>
      <c r="AT147" s="3"/>
      <c r="AU147" s="3"/>
    </row>
    <row r="148" spans="1:47" x14ac:dyDescent="0.2">
      <c r="A148" s="12">
        <v>147</v>
      </c>
      <c r="B148" s="3" t="str">
        <f ca="1">IFERROR(__xludf.DUMMYFUNCTION("""COMPUTED_VALUE"""),"Nurkholis")</f>
        <v>Nurkholis</v>
      </c>
      <c r="C148" s="3" t="str">
        <f ca="1">IFERROR(__xludf.DUMMYFUNCTION("""COMPUTED_VALUE"""),"Dr. Nurkholis, S.Ag. M.S.I.")</f>
        <v>Dr. Nurkholis, S.Ag. M.S.I.</v>
      </c>
      <c r="D148" s="3" t="str">
        <f ca="1">IFERROR(__xludf.DUMMYFUNCTION("""COMPUTED_VALUE"""),"Dr. Nurkholis, S.Ag. M.S.I.")</f>
        <v>Dr. Nurkholis, S.Ag. M.S.I.</v>
      </c>
      <c r="E148" s="3" t="str">
        <f ca="1">IFERROR(__xludf.DUMMYFUNCTION("""COMPUTED_VALUE"""),"197111152003121001")</f>
        <v>197111152003121001</v>
      </c>
      <c r="F148" s="3" t="str">
        <f ca="1">IFERROR(__xludf.DUMMYFUNCTION("""COMPUTED_VALUE"""),"19711115 200312 1 001")</f>
        <v>19711115 200312 1 001</v>
      </c>
      <c r="G148" s="3">
        <f ca="1">IFERROR(__xludf.DUMMYFUNCTION("""COMPUTED_VALUE"""),2015117102)</f>
        <v>2015117102</v>
      </c>
      <c r="H148" s="6" t="str">
        <f ca="1">IFERROR(__xludf.DUMMYFUNCTION("""COMPUTED_VALUE"""),"3447749650130113")</f>
        <v>3447749650130113</v>
      </c>
      <c r="I148" s="3" t="str">
        <f ca="1">IFERROR(__xludf.DUMMYFUNCTION("""COMPUTED_VALUE"""),"PNS")</f>
        <v>PNS</v>
      </c>
      <c r="J148" s="3" t="str">
        <f ca="1">IFERROR(__xludf.DUMMYFUNCTION("""COMPUTED_VALUE"""),"Dosen PNS")</f>
        <v>Dosen PNS</v>
      </c>
      <c r="K148" s="5" t="str">
        <f ca="1">IFERROR(__xludf.DUMMYFUNCTION("""COMPUTED_VALUE"""),"L")</f>
        <v>L</v>
      </c>
      <c r="L148" s="3" t="str">
        <f ca="1">IFERROR(__xludf.DUMMYFUNCTION("""COMPUTED_VALUE"""),"Banyumas")</f>
        <v>Banyumas</v>
      </c>
      <c r="M148" s="9">
        <f ca="1">IFERROR(__xludf.DUMMYFUNCTION("""COMPUTED_VALUE"""),26252)</f>
        <v>26252</v>
      </c>
      <c r="N148" s="4" t="str">
        <f ca="1">IFERROR(__xludf.DUMMYFUNCTION("""COMPUTED_VALUE"""),"Penata Tk.I")</f>
        <v>Penata Tk.I</v>
      </c>
      <c r="O148" s="3" t="str">
        <f ca="1">IFERROR(__xludf.DUMMYFUNCTION("""COMPUTED_VALUE"""),"III/d")</f>
        <v>III/d</v>
      </c>
      <c r="P148" s="7">
        <f ca="1">IFERROR(__xludf.DUMMYFUNCTION("""COMPUTED_VALUE"""),42644)</f>
        <v>42644</v>
      </c>
      <c r="Q148" s="3" t="str">
        <f ca="1">IFERROR(__xludf.DUMMYFUNCTION("""COMPUTED_VALUE"""),"B.II/3/13212")</f>
        <v>B.II/3/13212</v>
      </c>
      <c r="R148" s="3" t="str">
        <f ca="1">IFERROR(__xludf.DUMMYFUNCTION("""COMPUTED_VALUE"""),"Lektor")</f>
        <v>Lektor</v>
      </c>
      <c r="S148" s="3" t="str">
        <f ca="1">IFERROR(__xludf.DUMMYFUNCTION("""COMPUTED_VALUE"""),"Lektor")</f>
        <v>Lektor</v>
      </c>
      <c r="T148" s="7">
        <f ca="1">IFERROR(__xludf.DUMMYFUNCTION("""COMPUTED_VALUE"""),43862)</f>
        <v>43862</v>
      </c>
      <c r="U148" s="3" t="str">
        <f ca="1">IFERROR(__xludf.DUMMYFUNCTION("""COMPUTED_VALUE"""),"876/B.II/3/2020")</f>
        <v>876/B.II/3/2020</v>
      </c>
      <c r="V148" s="7">
        <f ca="1">IFERROR(__xludf.DUMMYFUNCTION("""COMPUTED_VALUE"""),43862)</f>
        <v>43862</v>
      </c>
      <c r="W148" s="3">
        <f ca="1">IFERROR(__xludf.DUMMYFUNCTION("""COMPUTED_VALUE"""),11)</f>
        <v>11</v>
      </c>
      <c r="X148" s="3"/>
      <c r="Y148" s="3" t="str">
        <f ca="1">IFERROR(__xludf.DUMMYFUNCTION("""COMPUTED_VALUE"""),"S-3")</f>
        <v>S-3</v>
      </c>
      <c r="Z148" s="3" t="str">
        <f ca="1">IFERROR(__xludf.DUMMYFUNCTION("""COMPUTED_VALUE"""),"22 Tahun 1 Bulan 27 Hari")</f>
        <v>22 Tahun 1 Bulan 27 Hari</v>
      </c>
      <c r="AA148" s="8">
        <f ca="1">IFERROR(__xludf.DUMMYFUNCTION("""COMPUTED_VALUE"""),50010)</f>
        <v>50010</v>
      </c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4"/>
      <c r="AR148" s="3"/>
      <c r="AS148" s="4"/>
      <c r="AT148" s="3"/>
      <c r="AU148" s="3"/>
    </row>
    <row r="149" spans="1:47" x14ac:dyDescent="0.2">
      <c r="A149" s="12">
        <v>148</v>
      </c>
      <c r="B149" s="3" t="str">
        <f ca="1">IFERROR(__xludf.DUMMYFUNCTION("""COMPUTED_VALUE"""),"Nurrohim")</f>
        <v>Nurrohim</v>
      </c>
      <c r="C149" s="3" t="str">
        <f ca="1">IFERROR(__xludf.DUMMYFUNCTION("""COMPUTED_VALUE"""),"Nurrohim, Lc., M.Hum.")</f>
        <v>Nurrohim, Lc., M.Hum.</v>
      </c>
      <c r="D149" s="3" t="str">
        <f ca="1">IFERROR(__xludf.DUMMYFUNCTION("""COMPUTED_VALUE"""),"Nurrohim, Lc., M.Hum.")</f>
        <v>Nurrohim, Lc., M.Hum.</v>
      </c>
      <c r="E149" s="3" t="str">
        <f ca="1">IFERROR(__xludf.DUMMYFUNCTION("""COMPUTED_VALUE"""),"198709022019031011")</f>
        <v>198709022019031011</v>
      </c>
      <c r="F149" s="3" t="str">
        <f ca="1">IFERROR(__xludf.DUMMYFUNCTION("""COMPUTED_VALUE"""),"19870902 201903 1 011")</f>
        <v>19870902 201903 1 011</v>
      </c>
      <c r="G149" s="3">
        <f ca="1">IFERROR(__xludf.DUMMYFUNCTION("""COMPUTED_VALUE"""),2002098703)</f>
        <v>2002098703</v>
      </c>
      <c r="H149" s="6" t="str">
        <f ca="1">IFERROR(__xludf.DUMMYFUNCTION("""COMPUTED_VALUE"""),"7234765666131043")</f>
        <v>7234765666131043</v>
      </c>
      <c r="I149" s="3" t="str">
        <f ca="1">IFERROR(__xludf.DUMMYFUNCTION("""COMPUTED_VALUE"""),"PNS")</f>
        <v>PNS</v>
      </c>
      <c r="J149" s="3" t="str">
        <f ca="1">IFERROR(__xludf.DUMMYFUNCTION("""COMPUTED_VALUE"""),"Dosen PNS")</f>
        <v>Dosen PNS</v>
      </c>
      <c r="K149" s="5" t="str">
        <f ca="1">IFERROR(__xludf.DUMMYFUNCTION("""COMPUTED_VALUE"""),"L")</f>
        <v>L</v>
      </c>
      <c r="L149" s="3" t="str">
        <f ca="1">IFERROR(__xludf.DUMMYFUNCTION("""COMPUTED_VALUE"""),"Boyolali")</f>
        <v>Boyolali</v>
      </c>
      <c r="M149" s="7">
        <f ca="1">IFERROR(__xludf.DUMMYFUNCTION("""COMPUTED_VALUE"""),32022)</f>
        <v>32022</v>
      </c>
      <c r="N149" s="4" t="str">
        <f ca="1">IFERROR(__xludf.DUMMYFUNCTION("""COMPUTED_VALUE"""),"Penata Tk.I")</f>
        <v>Penata Tk.I</v>
      </c>
      <c r="O149" s="3" t="str">
        <f ca="1">IFERROR(__xludf.DUMMYFUNCTION("""COMPUTED_VALUE"""),"III/d")</f>
        <v>III/d</v>
      </c>
      <c r="P149" s="7">
        <f ca="1">IFERROR(__xludf.DUMMYFUNCTION("""COMPUTED_VALUE"""),45566)</f>
        <v>45566</v>
      </c>
      <c r="Q149" s="3" t="str">
        <f ca="1">IFERROR(__xludf.DUMMYFUNCTION("""COMPUTED_VALUE"""),"840/Un.19/K.AUPK/KP.07.1/08/2024")</f>
        <v>840/Un.19/K.AUPK/KP.07.1/08/2024</v>
      </c>
      <c r="R149" s="3" t="str">
        <f ca="1">IFERROR(__xludf.DUMMYFUNCTION("""COMPUTED_VALUE"""),"Lektor")</f>
        <v>Lektor</v>
      </c>
      <c r="S149" s="3" t="str">
        <f ca="1">IFERROR(__xludf.DUMMYFUNCTION("""COMPUTED_VALUE"""),"Lektor")</f>
        <v>Lektor</v>
      </c>
      <c r="T149" s="7">
        <f ca="1">IFERROR(__xludf.DUMMYFUNCTION("""COMPUTED_VALUE"""),44713)</f>
        <v>44713</v>
      </c>
      <c r="U149" s="3"/>
      <c r="V149" s="3"/>
      <c r="W149" s="3">
        <f ca="1">IFERROR(__xludf.DUMMYFUNCTION("""COMPUTED_VALUE"""),11)</f>
        <v>11</v>
      </c>
      <c r="X149" s="7" t="str">
        <f ca="1">IFERROR(__xludf.DUMMYFUNCTION("""COMPUTED_VALUE"""),"Koordinator Program Studi S-1 Sejarah Peradaban Islam Pada Fakultas Ushuluddin, Adab, dan Humaniora")</f>
        <v>Koordinator Program Studi S-1 Sejarah Peradaban Islam Pada Fakultas Ushuluddin, Adab, dan Humaniora</v>
      </c>
      <c r="Y149" s="3" t="str">
        <f ca="1">IFERROR(__xludf.DUMMYFUNCTION("""COMPUTED_VALUE"""),"S-2")</f>
        <v>S-2</v>
      </c>
      <c r="Z149" s="3" t="str">
        <f ca="1">IFERROR(__xludf.DUMMYFUNCTION("""COMPUTED_VALUE"""),"6 Tahun 10 Bulan 27 Hari")</f>
        <v>6 Tahun 10 Bulan 27 Hari</v>
      </c>
      <c r="AA149" s="8">
        <f ca="1">IFERROR(__xludf.DUMMYFUNCTION("""COMPUTED_VALUE"""),55793)</f>
        <v>55793</v>
      </c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4"/>
      <c r="AR149" s="3"/>
      <c r="AS149" s="4"/>
      <c r="AT149" s="3"/>
      <c r="AU149" s="3"/>
    </row>
    <row r="150" spans="1:47" x14ac:dyDescent="0.2">
      <c r="A150" s="12">
        <v>149</v>
      </c>
      <c r="B150" s="3" t="str">
        <f ca="1">IFERROR(__xludf.DUMMYFUNCTION("""COMPUTED_VALUE"""),"Parno")</f>
        <v>Parno</v>
      </c>
      <c r="C150" s="3" t="str">
        <f ca="1">IFERROR(__xludf.DUMMYFUNCTION("""COMPUTED_VALUE"""),"Parno, S.E., M.S.I.")</f>
        <v>Parno, S.E., M.S.I.</v>
      </c>
      <c r="D150" s="3" t="str">
        <f ca="1">IFERROR(__xludf.DUMMYFUNCTION("""COMPUTED_VALUE"""),"Parno, S.E., M.S.I.")</f>
        <v>Parno, S.E., M.S.I.</v>
      </c>
      <c r="E150" s="3" t="str">
        <f ca="1">IFERROR(__xludf.DUMMYFUNCTION("""COMPUTED_VALUE"""),"197711282011011004")</f>
        <v>197711282011011004</v>
      </c>
      <c r="F150" s="3" t="str">
        <f ca="1">IFERROR(__xludf.DUMMYFUNCTION("""COMPUTED_VALUE"""),"19771128 201101 1 004")</f>
        <v>19771128 201101 1 004</v>
      </c>
      <c r="G150" s="3">
        <f ca="1">IFERROR(__xludf.DUMMYFUNCTION("""COMPUTED_VALUE"""),2028117703)</f>
        <v>2028117703</v>
      </c>
      <c r="H150" s="6" t="str">
        <f ca="1">IFERROR(__xludf.DUMMYFUNCTION("""COMPUTED_VALUE"""),"9460755656130083")</f>
        <v>9460755656130083</v>
      </c>
      <c r="I150" s="3" t="str">
        <f ca="1">IFERROR(__xludf.DUMMYFUNCTION("""COMPUTED_VALUE"""),"PNS")</f>
        <v>PNS</v>
      </c>
      <c r="J150" s="3" t="str">
        <f ca="1">IFERROR(__xludf.DUMMYFUNCTION("""COMPUTED_VALUE"""),"Dosen PNS")</f>
        <v>Dosen PNS</v>
      </c>
      <c r="K150" s="5" t="str">
        <f ca="1">IFERROR(__xludf.DUMMYFUNCTION("""COMPUTED_VALUE"""),"L")</f>
        <v>L</v>
      </c>
      <c r="L150" s="3" t="str">
        <f ca="1">IFERROR(__xludf.DUMMYFUNCTION("""COMPUTED_VALUE"""),"Banyumas")</f>
        <v>Banyumas</v>
      </c>
      <c r="M150" s="7">
        <f ca="1">IFERROR(__xludf.DUMMYFUNCTION("""COMPUTED_VALUE"""),28457)</f>
        <v>28457</v>
      </c>
      <c r="N150" s="4" t="str">
        <f ca="1">IFERROR(__xludf.DUMMYFUNCTION("""COMPUTED_VALUE"""),"Penata Tk.I")</f>
        <v>Penata Tk.I</v>
      </c>
      <c r="O150" s="3" t="str">
        <f ca="1">IFERROR(__xludf.DUMMYFUNCTION("""COMPUTED_VALUE"""),"III/d")</f>
        <v>III/d</v>
      </c>
      <c r="P150" s="7">
        <f ca="1">IFERROR(__xludf.DUMMYFUNCTION("""COMPUTED_VALUE"""),44652)</f>
        <v>44652</v>
      </c>
      <c r="Q150" s="3" t="str">
        <f ca="1">IFERROR(__xludf.DUMMYFUNCTION("""COMPUTED_VALUE"""),"011508/B.II/3/2022")</f>
        <v>011508/B.II/3/2022</v>
      </c>
      <c r="R150" s="3" t="str">
        <f ca="1">IFERROR(__xludf.DUMMYFUNCTION("""COMPUTED_VALUE"""),"Lektor")</f>
        <v>Lektor</v>
      </c>
      <c r="S150" s="3" t="str">
        <f ca="1">IFERROR(__xludf.DUMMYFUNCTION("""COMPUTED_VALUE"""),"Lektor")</f>
        <v>Lektor</v>
      </c>
      <c r="T150" s="7">
        <f ca="1">IFERROR(__xludf.DUMMYFUNCTION("""COMPUTED_VALUE"""),42461)</f>
        <v>42461</v>
      </c>
      <c r="U150" s="3"/>
      <c r="V150" s="3"/>
      <c r="W150" s="3">
        <f ca="1">IFERROR(__xludf.DUMMYFUNCTION("""COMPUTED_VALUE"""),11)</f>
        <v>11</v>
      </c>
      <c r="X150" s="3"/>
      <c r="Y150" s="3" t="str">
        <f ca="1">IFERROR(__xludf.DUMMYFUNCTION("""COMPUTED_VALUE"""),"S-2")</f>
        <v>S-2</v>
      </c>
      <c r="Z150" s="3" t="str">
        <f ca="1">IFERROR(__xludf.DUMMYFUNCTION("""COMPUTED_VALUE"""),"15 Tahun 0 Bulan 27 Hari")</f>
        <v>15 Tahun 0 Bulan 27 Hari</v>
      </c>
      <c r="AA150" s="8">
        <f ca="1">IFERROR(__xludf.DUMMYFUNCTION("""COMPUTED_VALUE"""),52201)</f>
        <v>52201</v>
      </c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4"/>
      <c r="AR150" s="3"/>
      <c r="AS150" s="4"/>
      <c r="AT150" s="3"/>
      <c r="AU150" s="3"/>
    </row>
    <row r="151" spans="1:47" x14ac:dyDescent="0.2">
      <c r="A151" s="12">
        <v>150</v>
      </c>
      <c r="B151" s="3" t="str">
        <f ca="1">IFERROR(__xludf.DUMMYFUNCTION("""COMPUTED_VALUE"""),"Pangestika Rizki Utami")</f>
        <v>Pangestika Rizki Utami</v>
      </c>
      <c r="C151" s="3" t="str">
        <f ca="1">IFERROR(__xludf.DUMMYFUNCTION("""COMPUTED_VALUE"""),"Pangestika Rizki Utami, M.H.")</f>
        <v>Pangestika Rizki Utami, M.H.</v>
      </c>
      <c r="D151" s="3" t="str">
        <f ca="1">IFERROR(__xludf.DUMMYFUNCTION("""COMPUTED_VALUE"""),"Pangestika Rizki Utami, M.H.")</f>
        <v>Pangestika Rizki Utami, M.H.</v>
      </c>
      <c r="E151" s="3" t="str">
        <f ca="1">IFERROR(__xludf.DUMMYFUNCTION("""COMPUTED_VALUE"""),"199106302019032027")</f>
        <v>199106302019032027</v>
      </c>
      <c r="F151" s="3" t="str">
        <f ca="1">IFERROR(__xludf.DUMMYFUNCTION("""COMPUTED_VALUE"""),"19910630 201903 2 027")</f>
        <v>19910630 201903 2 027</v>
      </c>
      <c r="G151" s="3">
        <f ca="1">IFERROR(__xludf.DUMMYFUNCTION("""COMPUTED_VALUE"""),2030069101)</f>
        <v>2030069101</v>
      </c>
      <c r="H151" s="6" t="str">
        <f ca="1">IFERROR(__xludf.DUMMYFUNCTION("""COMPUTED_VALUE"""),"4962769670230282")</f>
        <v>4962769670230282</v>
      </c>
      <c r="I151" s="3" t="str">
        <f ca="1">IFERROR(__xludf.DUMMYFUNCTION("""COMPUTED_VALUE"""),"PNS")</f>
        <v>PNS</v>
      </c>
      <c r="J151" s="3" t="str">
        <f ca="1">IFERROR(__xludf.DUMMYFUNCTION("""COMPUTED_VALUE"""),"Dosen PNS")</f>
        <v>Dosen PNS</v>
      </c>
      <c r="K151" s="5" t="str">
        <f ca="1">IFERROR(__xludf.DUMMYFUNCTION("""COMPUTED_VALUE"""),"P")</f>
        <v>P</v>
      </c>
      <c r="L151" s="3" t="str">
        <f ca="1">IFERROR(__xludf.DUMMYFUNCTION("""COMPUTED_VALUE"""),"Purwokerto")</f>
        <v>Purwokerto</v>
      </c>
      <c r="M151" s="7">
        <f ca="1">IFERROR(__xludf.DUMMYFUNCTION("""COMPUTED_VALUE"""),33419)</f>
        <v>33419</v>
      </c>
      <c r="N151" s="4" t="str">
        <f ca="1">IFERROR(__xludf.DUMMYFUNCTION("""COMPUTED_VALUE"""),"Penata")</f>
        <v>Penata</v>
      </c>
      <c r="O151" s="3" t="str">
        <f ca="1">IFERROR(__xludf.DUMMYFUNCTION("""COMPUTED_VALUE"""),"III/c")</f>
        <v>III/c</v>
      </c>
      <c r="P151" s="7">
        <f ca="1">IFERROR(__xludf.DUMMYFUNCTION("""COMPUTED_VALUE"""),45748)</f>
        <v>45748</v>
      </c>
      <c r="Q151" s="3" t="str">
        <f ca="1">IFERROR(__xludf.DUMMYFUNCTION("""COMPUTED_VALUE"""),"277/Un.19/K.AUPK/KP.11.1/02/2025")</f>
        <v>277/Un.19/K.AUPK/KP.11.1/02/2025</v>
      </c>
      <c r="R151" s="3" t="str">
        <f ca="1">IFERROR(__xludf.DUMMYFUNCTION("""COMPUTED_VALUE"""),"Lektor")</f>
        <v>Lektor</v>
      </c>
      <c r="S151" s="3" t="str">
        <f ca="1">IFERROR(__xludf.DUMMYFUNCTION("""COMPUTED_VALUE"""),"Lektor")</f>
        <v>Lektor</v>
      </c>
      <c r="T151" s="7">
        <f ca="1">IFERROR(__xludf.DUMMYFUNCTION("""COMPUTED_VALUE"""),45627)</f>
        <v>45627</v>
      </c>
      <c r="U151" s="3" t="str">
        <f ca="1">IFERROR(__xludf.DUMMYFUNCTION("""COMPUTED_VALUE"""),"950/Un.19/R/KP.08.1/12/2024 ")</f>
        <v xml:space="preserve">950/Un.19/R/KP.08.1/12/2024 </v>
      </c>
      <c r="V151" s="7">
        <f ca="1">IFERROR(__xludf.DUMMYFUNCTION("""COMPUTED_VALUE"""),45646)</f>
        <v>45646</v>
      </c>
      <c r="W151" s="3">
        <f ca="1">IFERROR(__xludf.DUMMYFUNCTION("""COMPUTED_VALUE"""),11)</f>
        <v>11</v>
      </c>
      <c r="X151" s="7" t="str">
        <f ca="1">IFERROR(__xludf.DUMMYFUNCTION("""COMPUTED_VALUE"""),"Kepala Laboratorium Pada Fakultas Syariah")</f>
        <v>Kepala Laboratorium Pada Fakultas Syariah</v>
      </c>
      <c r="Y151" s="3" t="str">
        <f ca="1">IFERROR(__xludf.DUMMYFUNCTION("""COMPUTED_VALUE"""),"S-2")</f>
        <v>S-2</v>
      </c>
      <c r="Z151" s="3" t="str">
        <f ca="1">IFERROR(__xludf.DUMMYFUNCTION("""COMPUTED_VALUE"""),"6 Tahun 10 Bulan 27 Hari")</f>
        <v>6 Tahun 10 Bulan 27 Hari</v>
      </c>
      <c r="AA151" s="8">
        <f ca="1">IFERROR(__xludf.DUMMYFUNCTION("""COMPUTED_VALUE"""),57162)</f>
        <v>57162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4"/>
      <c r="AR151" s="3"/>
      <c r="AS151" s="4"/>
      <c r="AT151" s="3"/>
      <c r="AU151" s="3"/>
    </row>
    <row r="152" spans="1:47" x14ac:dyDescent="0.2">
      <c r="A152" s="12">
        <v>151</v>
      </c>
      <c r="B152" s="3" t="str">
        <f ca="1">IFERROR(__xludf.DUMMYFUNCTION("""COMPUTED_VALUE"""),"Rahman Afandi")</f>
        <v>Rahman Afandi</v>
      </c>
      <c r="C152" s="3" t="str">
        <f ca="1">IFERROR(__xludf.DUMMYFUNCTION("""COMPUTED_VALUE"""),"Dr. H. Rahman Afandi, S.Ag., M.S.I.")</f>
        <v>Dr. H. Rahman Afandi, S.Ag., M.S.I.</v>
      </c>
      <c r="D152" s="3" t="str">
        <f ca="1">IFERROR(__xludf.DUMMYFUNCTION("""COMPUTED_VALUE"""),"Dr. H. Rahman Afandi, S.Ag., M.S.I.")</f>
        <v>Dr. H. Rahman Afandi, S.Ag., M.S.I.</v>
      </c>
      <c r="E152" s="3" t="str">
        <f ca="1">IFERROR(__xludf.DUMMYFUNCTION("""COMPUTED_VALUE"""),"196808032005011001")</f>
        <v>196808032005011001</v>
      </c>
      <c r="F152" s="3" t="str">
        <f ca="1">IFERROR(__xludf.DUMMYFUNCTION("""COMPUTED_VALUE"""),"19680803 200501 1 001")</f>
        <v>19680803 200501 1 001</v>
      </c>
      <c r="G152" s="3">
        <f ca="1">IFERROR(__xludf.DUMMYFUNCTION("""COMPUTED_VALUE"""),2003086802)</f>
        <v>2003086802</v>
      </c>
      <c r="H152" s="6" t="str">
        <f ca="1">IFERROR(__xludf.DUMMYFUNCTION("""COMPUTED_VALUE"""),"0135746647130113")</f>
        <v>0135746647130113</v>
      </c>
      <c r="I152" s="3" t="str">
        <f ca="1">IFERROR(__xludf.DUMMYFUNCTION("""COMPUTED_VALUE"""),"PNS")</f>
        <v>PNS</v>
      </c>
      <c r="J152" s="3" t="str">
        <f ca="1">IFERROR(__xludf.DUMMYFUNCTION("""COMPUTED_VALUE"""),"Dosen PNS")</f>
        <v>Dosen PNS</v>
      </c>
      <c r="K152" s="5" t="str">
        <f ca="1">IFERROR(__xludf.DUMMYFUNCTION("""COMPUTED_VALUE"""),"L")</f>
        <v>L</v>
      </c>
      <c r="L152" s="3" t="str">
        <f ca="1">IFERROR(__xludf.DUMMYFUNCTION("""COMPUTED_VALUE"""),"Purbalingga")</f>
        <v>Purbalingga</v>
      </c>
      <c r="M152" s="7">
        <f ca="1">IFERROR(__xludf.DUMMYFUNCTION("""COMPUTED_VALUE"""),25053)</f>
        <v>25053</v>
      </c>
      <c r="N152" s="4" t="str">
        <f ca="1">IFERROR(__xludf.DUMMYFUNCTION("""COMPUTED_VALUE"""),"Pembina")</f>
        <v>Pembina</v>
      </c>
      <c r="O152" s="3" t="str">
        <f ca="1">IFERROR(__xludf.DUMMYFUNCTION("""COMPUTED_VALUE"""),"IV/a")</f>
        <v>IV/a</v>
      </c>
      <c r="P152" s="7">
        <f ca="1">IFERROR(__xludf.DUMMYFUNCTION("""COMPUTED_VALUE"""),45383)</f>
        <v>45383</v>
      </c>
      <c r="Q152" s="3" t="str">
        <f ca="1">IFERROR(__xludf.DUMMYFUNCTION("""COMPUTED_VALUE"""),"015402/B.II/3/2024")</f>
        <v>015402/B.II/3/2024</v>
      </c>
      <c r="R152" s="3" t="str">
        <f ca="1">IFERROR(__xludf.DUMMYFUNCTION("""COMPUTED_VALUE"""),"Lektor Kepala")</f>
        <v>Lektor Kepala</v>
      </c>
      <c r="S152" s="3" t="str">
        <f ca="1">IFERROR(__xludf.DUMMYFUNCTION("""COMPUTED_VALUE"""),"Lektor Kepala")</f>
        <v>Lektor Kepala</v>
      </c>
      <c r="T152" s="7">
        <f ca="1">IFERROR(__xludf.DUMMYFUNCTION("""COMPUTED_VALUE"""),45170)</f>
        <v>45170</v>
      </c>
      <c r="U152" s="3" t="str">
        <f ca="1">IFERROR(__xludf.DUMMYFUNCTION("""COMPUTED_VALUE"""),"127227/B.II/3/2023")</f>
        <v>127227/B.II/3/2023</v>
      </c>
      <c r="V152" s="7">
        <f ca="1">IFERROR(__xludf.DUMMYFUNCTION("""COMPUTED_VALUE"""),45289)</f>
        <v>45289</v>
      </c>
      <c r="W152" s="3">
        <f ca="1">IFERROR(__xludf.DUMMYFUNCTION("""COMPUTED_VALUE"""),13)</f>
        <v>13</v>
      </c>
      <c r="X152" s="7" t="str">
        <f ca="1">IFERROR(__xludf.DUMMYFUNCTION("""COMPUTED_VALUE"""),"Kepala Pusat Kajian dan Pengembangan Budaya Penginyongan Pada Lembaga Penelitian dan Pengabdian Kepada Masyarakat")</f>
        <v>Kepala Pusat Kajian dan Pengembangan Budaya Penginyongan Pada Lembaga Penelitian dan Pengabdian Kepada Masyarakat</v>
      </c>
      <c r="Y152" s="3" t="str">
        <f ca="1">IFERROR(__xludf.DUMMYFUNCTION("""COMPUTED_VALUE"""),"S-3")</f>
        <v>S-3</v>
      </c>
      <c r="Z152" s="3" t="str">
        <f ca="1">IFERROR(__xludf.DUMMYFUNCTION("""COMPUTED_VALUE"""),"21 Tahun 0 Bulan 27 Hari")</f>
        <v>21 Tahun 0 Bulan 27 Hari</v>
      </c>
      <c r="AA152" s="8">
        <f ca="1">IFERROR(__xludf.DUMMYFUNCTION("""COMPUTED_VALUE"""),48823)</f>
        <v>48823</v>
      </c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4"/>
      <c r="AR152" s="3"/>
      <c r="AS152" s="4"/>
      <c r="AT152" s="3"/>
      <c r="AU152" s="3"/>
    </row>
    <row r="153" spans="1:47" x14ac:dyDescent="0.2">
      <c r="A153" s="12">
        <v>152</v>
      </c>
      <c r="B153" s="3" t="str">
        <f ca="1">IFERROR(__xludf.DUMMYFUNCTION("""COMPUTED_VALUE"""),"Rahman Latif Alfian")</f>
        <v>Rahman Latif Alfian</v>
      </c>
      <c r="C153" s="3" t="str">
        <f ca="1">IFERROR(__xludf.DUMMYFUNCTION("""COMPUTED_VALUE"""),"Rahman Latif Alfian, S.Pd., M.Ant.")</f>
        <v>Rahman Latif Alfian, S.Pd., M.Ant.</v>
      </c>
      <c r="D153" s="3" t="str">
        <f ca="1">IFERROR(__xludf.DUMMYFUNCTION("""COMPUTED_VALUE"""),"Rahman Latif Alfian, S.Pd., M.Ant.")</f>
        <v>Rahman Latif Alfian, S.Pd., M.Ant.</v>
      </c>
      <c r="E153" s="3" t="str">
        <f ca="1">IFERROR(__xludf.DUMMYFUNCTION("""COMPUTED_VALUE"""),"199109272020121005")</f>
        <v>199109272020121005</v>
      </c>
      <c r="F153" s="3" t="str">
        <f ca="1">IFERROR(__xludf.DUMMYFUNCTION("""COMPUTED_VALUE"""),"‌19910927 202012 1 005")</f>
        <v>‌19910927 202012 1 005</v>
      </c>
      <c r="G153" s="3">
        <f ca="1">IFERROR(__xludf.DUMMYFUNCTION("""COMPUTED_VALUE"""),2027099101)</f>
        <v>2027099101</v>
      </c>
      <c r="H153" s="6" t="str">
        <f ca="1">IFERROR(__xludf.DUMMYFUNCTION("""COMPUTED_VALUE"""),"7259769670130303")</f>
        <v>7259769670130303</v>
      </c>
      <c r="I153" s="3" t="str">
        <f ca="1">IFERROR(__xludf.DUMMYFUNCTION("""COMPUTED_VALUE"""),"PNS")</f>
        <v>PNS</v>
      </c>
      <c r="J153" s="3" t="str">
        <f ca="1">IFERROR(__xludf.DUMMYFUNCTION("""COMPUTED_VALUE"""),"Dosen PNS")</f>
        <v>Dosen PNS</v>
      </c>
      <c r="K153" s="5" t="str">
        <f ca="1">IFERROR(__xludf.DUMMYFUNCTION("""COMPUTED_VALUE"""),"L")</f>
        <v>L</v>
      </c>
      <c r="L153" s="3" t="str">
        <f ca="1">IFERROR(__xludf.DUMMYFUNCTION("""COMPUTED_VALUE"""),"Pati")</f>
        <v>Pati</v>
      </c>
      <c r="M153" s="7">
        <f ca="1">IFERROR(__xludf.DUMMYFUNCTION("""COMPUTED_VALUE"""),33508)</f>
        <v>33508</v>
      </c>
      <c r="N153" s="4" t="str">
        <f ca="1">IFERROR(__xludf.DUMMYFUNCTION("""COMPUTED_VALUE"""),"Penata Muda Tk.I")</f>
        <v>Penata Muda Tk.I</v>
      </c>
      <c r="O153" s="3" t="str">
        <f ca="1">IFERROR(__xludf.DUMMYFUNCTION("""COMPUTED_VALUE"""),"III/b")</f>
        <v>III/b</v>
      </c>
      <c r="P153" s="7">
        <f ca="1">IFERROR(__xludf.DUMMYFUNCTION("""COMPUTED_VALUE"""),44562)</f>
        <v>44562</v>
      </c>
      <c r="Q153" s="3" t="str">
        <f ca="1">IFERROR(__xludf.DUMMYFUNCTION("""COMPUTED_VALUE"""),"3568/Un.19/R/KP.00.3/12/2021")</f>
        <v>3568/Un.19/R/KP.00.3/12/2021</v>
      </c>
      <c r="R153" s="3" t="str">
        <f ca="1">IFERROR(__xludf.DUMMYFUNCTION("""COMPUTED_VALUE"""),"Asisten Ahli")</f>
        <v>Asisten Ahli</v>
      </c>
      <c r="S153" s="3" t="str">
        <f ca="1">IFERROR(__xludf.DUMMYFUNCTION("""COMPUTED_VALUE"""),"Asisten Ahli")</f>
        <v>Asisten Ahli</v>
      </c>
      <c r="T153" s="7">
        <f ca="1">IFERROR(__xludf.DUMMYFUNCTION("""COMPUTED_VALUE"""),45047)</f>
        <v>45047</v>
      </c>
      <c r="U153" s="3" t="str">
        <f ca="1">IFERROR(__xludf.DUMMYFUNCTION("""COMPUTED_VALUE"""),"013488/B.II/3/2023")</f>
        <v>013488/B.II/3/2023</v>
      </c>
      <c r="V153" s="7">
        <f ca="1">IFERROR(__xludf.DUMMYFUNCTION("""COMPUTED_VALUE"""),45090)</f>
        <v>45090</v>
      </c>
      <c r="W153" s="3">
        <f ca="1">IFERROR(__xludf.DUMMYFUNCTION("""COMPUTED_VALUE"""),9)</f>
        <v>9</v>
      </c>
      <c r="X153" s="3"/>
      <c r="Y153" s="3" t="str">
        <f ca="1">IFERROR(__xludf.DUMMYFUNCTION("""COMPUTED_VALUE"""),"S-2")</f>
        <v>S-2</v>
      </c>
      <c r="Z153" s="3" t="str">
        <f ca="1">IFERROR(__xludf.DUMMYFUNCTION("""COMPUTED_VALUE"""),"5 Tahun 1 Bulan 27 Hari")</f>
        <v>5 Tahun 1 Bulan 27 Hari</v>
      </c>
      <c r="AA153" s="8">
        <f ca="1">IFERROR(__xludf.DUMMYFUNCTION("""COMPUTED_VALUE"""),57254)</f>
        <v>57254</v>
      </c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4"/>
      <c r="AR153" s="3"/>
      <c r="AS153" s="4"/>
      <c r="AT153" s="3"/>
      <c r="AU153" s="3"/>
    </row>
    <row r="154" spans="1:47" x14ac:dyDescent="0.2">
      <c r="A154" s="12">
        <v>153</v>
      </c>
      <c r="B154" s="3" t="str">
        <f ca="1">IFERROR(__xludf.DUMMYFUNCTION("""COMPUTED_VALUE"""),"Rahmini Hadi")</f>
        <v>Rahmini Hadi</v>
      </c>
      <c r="C154" s="3" t="str">
        <f ca="1">IFERROR(__xludf.DUMMYFUNCTION("""COMPUTED_VALUE"""),"Dr. Hj. Rahmini Hadi, S.E., M.Si.")</f>
        <v>Dr. Hj. Rahmini Hadi, S.E., M.Si.</v>
      </c>
      <c r="D154" s="3" t="str">
        <f ca="1">IFERROR(__xludf.DUMMYFUNCTION("""COMPUTED_VALUE"""),"Dr. Hj. Rahmini Hadi, S.E., M.Si.")</f>
        <v>Dr. Hj. Rahmini Hadi, S.E., M.Si.</v>
      </c>
      <c r="E154" s="3" t="str">
        <f ca="1">IFERROR(__xludf.DUMMYFUNCTION("""COMPUTED_VALUE"""),"197012242005012001")</f>
        <v>197012242005012001</v>
      </c>
      <c r="F154" s="3" t="str">
        <f ca="1">IFERROR(__xludf.DUMMYFUNCTION("""COMPUTED_VALUE"""),"19701224 200501 2 001")</f>
        <v>19701224 200501 2 001</v>
      </c>
      <c r="G154" s="3">
        <f ca="1">IFERROR(__xludf.DUMMYFUNCTION("""COMPUTED_VALUE"""),2024127002)</f>
        <v>2024127002</v>
      </c>
      <c r="H154" s="6" t="str">
        <f ca="1">IFERROR(__xludf.DUMMYFUNCTION("""COMPUTED_VALUE"""),"7556748649230073")</f>
        <v>7556748649230073</v>
      </c>
      <c r="I154" s="3" t="str">
        <f ca="1">IFERROR(__xludf.DUMMYFUNCTION("""COMPUTED_VALUE"""),"PNS")</f>
        <v>PNS</v>
      </c>
      <c r="J154" s="3" t="str">
        <f ca="1">IFERROR(__xludf.DUMMYFUNCTION("""COMPUTED_VALUE"""),"Dosen PNS")</f>
        <v>Dosen PNS</v>
      </c>
      <c r="K154" s="5" t="str">
        <f ca="1">IFERROR(__xludf.DUMMYFUNCTION("""COMPUTED_VALUE"""),"P")</f>
        <v>P</v>
      </c>
      <c r="L154" s="3" t="str">
        <f ca="1">IFERROR(__xludf.DUMMYFUNCTION("""COMPUTED_VALUE"""),"Banyumas")</f>
        <v>Banyumas</v>
      </c>
      <c r="M154" s="9">
        <f ca="1">IFERROR(__xludf.DUMMYFUNCTION("""COMPUTED_VALUE"""),25926)</f>
        <v>25926</v>
      </c>
      <c r="N154" s="4" t="str">
        <f ca="1">IFERROR(__xludf.DUMMYFUNCTION("""COMPUTED_VALUE"""),"Pembina Tk.I")</f>
        <v>Pembina Tk.I</v>
      </c>
      <c r="O154" s="3" t="str">
        <f ca="1">IFERROR(__xludf.DUMMYFUNCTION("""COMPUTED_VALUE"""),"IV/b")</f>
        <v>IV/b</v>
      </c>
      <c r="P154" s="7">
        <f ca="1">IFERROR(__xludf.DUMMYFUNCTION("""COMPUTED_VALUE"""),45383)</f>
        <v>45383</v>
      </c>
      <c r="Q154" s="3" t="str">
        <f ca="1">IFERROR(__xludf.DUMMYFUNCTION("""COMPUTED_VALUE"""),"014640/B.II/3/2024")</f>
        <v>014640/B.II/3/2024</v>
      </c>
      <c r="R154" s="3" t="str">
        <f ca="1">IFERROR(__xludf.DUMMYFUNCTION("""COMPUTED_VALUE"""),"Lektor Kepala")</f>
        <v>Lektor Kepala</v>
      </c>
      <c r="S154" s="3" t="str">
        <f ca="1">IFERROR(__xludf.DUMMYFUNCTION("""COMPUTED_VALUE"""),"Lektor Kepala")</f>
        <v>Lektor Kepala</v>
      </c>
      <c r="T154" s="7">
        <f ca="1">IFERROR(__xludf.DUMMYFUNCTION("""COMPUTED_VALUE"""),44501)</f>
        <v>44501</v>
      </c>
      <c r="U154" s="3" t="str">
        <f ca="1">IFERROR(__xludf.DUMMYFUNCTION("""COMPUTED_VALUE"""),"3427/Un.19/Kp.07.6/12/2021")</f>
        <v>3427/Un.19/Kp.07.6/12/2021</v>
      </c>
      <c r="V154" s="7">
        <f ca="1">IFERROR(__xludf.DUMMYFUNCTION("""COMPUTED_VALUE"""),44501)</f>
        <v>44501</v>
      </c>
      <c r="W154" s="3">
        <f ca="1">IFERROR(__xludf.DUMMYFUNCTION("""COMPUTED_VALUE"""),13)</f>
        <v>13</v>
      </c>
      <c r="X154" s="7" t="str">
        <f ca="1">IFERROR(__xludf.DUMMYFUNCTION("""COMPUTED_VALUE"""),"Kepala Pusat Pengembangan Bisnis")</f>
        <v>Kepala Pusat Pengembangan Bisnis</v>
      </c>
      <c r="Y154" s="3" t="str">
        <f ca="1">IFERROR(__xludf.DUMMYFUNCTION("""COMPUTED_VALUE"""),"S-3")</f>
        <v>S-3</v>
      </c>
      <c r="Z154" s="3" t="str">
        <f ca="1">IFERROR(__xludf.DUMMYFUNCTION("""COMPUTED_VALUE"""),"21 Tahun 0 Bulan 27 Hari")</f>
        <v>21 Tahun 0 Bulan 27 Hari</v>
      </c>
      <c r="AA154" s="8">
        <f ca="1">IFERROR(__xludf.DUMMYFUNCTION("""COMPUTED_VALUE"""),49675)</f>
        <v>49675</v>
      </c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4"/>
      <c r="AR154" s="3"/>
      <c r="AS154" s="4"/>
      <c r="AT154" s="3"/>
      <c r="AU154" s="3"/>
    </row>
    <row r="155" spans="1:47" x14ac:dyDescent="0.2">
      <c r="A155" s="12">
        <v>154</v>
      </c>
      <c r="B155" s="3" t="str">
        <f ca="1">IFERROR(__xludf.DUMMYFUNCTION("""COMPUTED_VALUE"""),"Ridwan")</f>
        <v>Ridwan</v>
      </c>
      <c r="C155" s="3" t="str">
        <f ca="1">IFERROR(__xludf.DUMMYFUNCTION("""COMPUTED_VALUE"""),"Prof. Dr. H. Ridwan, M.Ag.")</f>
        <v>Prof. Dr. H. Ridwan, M.Ag.</v>
      </c>
      <c r="D155" s="3" t="str">
        <f ca="1">IFERROR(__xludf.DUMMYFUNCTION("""COMPUTED_VALUE"""),"Prof. Dr. H. Ridwan, M.Ag.")</f>
        <v>Prof. Dr. H. Ridwan, M.Ag.</v>
      </c>
      <c r="E155" s="3" t="str">
        <f ca="1">IFERROR(__xludf.DUMMYFUNCTION("""COMPUTED_VALUE"""),"197201052000031003")</f>
        <v>197201052000031003</v>
      </c>
      <c r="F155" s="3" t="str">
        <f ca="1">IFERROR(__xludf.DUMMYFUNCTION("""COMPUTED_VALUE"""),"19720105 200003 1 003")</f>
        <v>19720105 200003 1 003</v>
      </c>
      <c r="G155" s="3">
        <f ca="1">IFERROR(__xludf.DUMMYFUNCTION("""COMPUTED_VALUE"""),2005017204)</f>
        <v>2005017204</v>
      </c>
      <c r="H155" s="6" t="str">
        <f ca="1">IFERROR(__xludf.DUMMYFUNCTION("""COMPUTED_VALUE"""),"5437750651130162")</f>
        <v>5437750651130162</v>
      </c>
      <c r="I155" s="3" t="str">
        <f ca="1">IFERROR(__xludf.DUMMYFUNCTION("""COMPUTED_VALUE"""),"PNS")</f>
        <v>PNS</v>
      </c>
      <c r="J155" s="3" t="str">
        <f ca="1">IFERROR(__xludf.DUMMYFUNCTION("""COMPUTED_VALUE"""),"Dosen PNS")</f>
        <v>Dosen PNS</v>
      </c>
      <c r="K155" s="5" t="str">
        <f ca="1">IFERROR(__xludf.DUMMYFUNCTION("""COMPUTED_VALUE"""),"L")</f>
        <v>L</v>
      </c>
      <c r="L155" s="3" t="str">
        <f ca="1">IFERROR(__xludf.DUMMYFUNCTION("""COMPUTED_VALUE"""),"Brebes")</f>
        <v>Brebes</v>
      </c>
      <c r="M155" s="7">
        <f ca="1">IFERROR(__xludf.DUMMYFUNCTION("""COMPUTED_VALUE"""),26303)</f>
        <v>26303</v>
      </c>
      <c r="N155" s="4" t="str">
        <f ca="1">IFERROR(__xludf.DUMMYFUNCTION("""COMPUTED_VALUE"""),"Pembina Utama")</f>
        <v>Pembina Utama</v>
      </c>
      <c r="O155" s="3" t="str">
        <f ca="1">IFERROR(__xludf.DUMMYFUNCTION("""COMPUTED_VALUE"""),"IV/e")</f>
        <v>IV/e</v>
      </c>
      <c r="P155" s="7">
        <f ca="1">IFERROR(__xludf.DUMMYFUNCTION("""COMPUTED_VALUE"""),45383)</f>
        <v>45383</v>
      </c>
      <c r="Q155" s="3" t="str">
        <f ca="1">IFERROR(__xludf.DUMMYFUNCTION("""COMPUTED_VALUE"""),"00046/KEP/AA/15001/24")</f>
        <v>00046/KEP/AA/15001/24</v>
      </c>
      <c r="R155" s="3" t="str">
        <f ca="1">IFERROR(__xludf.DUMMYFUNCTION("""COMPUTED_VALUE"""),"Guru Besar")</f>
        <v>Guru Besar</v>
      </c>
      <c r="S155" s="3" t="str">
        <f ca="1">IFERROR(__xludf.DUMMYFUNCTION("""COMPUTED_VALUE"""),"Guru Besar")</f>
        <v>Guru Besar</v>
      </c>
      <c r="T155" s="7">
        <f ca="1">IFERROR(__xludf.DUMMYFUNCTION("""COMPUTED_VALUE"""),44409)</f>
        <v>44409</v>
      </c>
      <c r="U155" s="3" t="str">
        <f ca="1">IFERROR(__xludf.DUMMYFUNCTION("""COMPUTED_VALUE"""),"58902/MPK.A/KP.05.01/2021")</f>
        <v>58902/MPK.A/KP.05.01/2021</v>
      </c>
      <c r="V155" s="7">
        <f ca="1">IFERROR(__xludf.DUMMYFUNCTION("""COMPUTED_VALUE"""),44442)</f>
        <v>44442</v>
      </c>
      <c r="W155" s="3">
        <f ca="1">IFERROR(__xludf.DUMMYFUNCTION("""COMPUTED_VALUE"""),15)</f>
        <v>15</v>
      </c>
      <c r="X155" s="7" t="str">
        <f ca="1">IFERROR(__xludf.DUMMYFUNCTION("""COMPUTED_VALUE"""),"Rektor")</f>
        <v>Rektor</v>
      </c>
      <c r="Y155" s="3" t="str">
        <f ca="1">IFERROR(__xludf.DUMMYFUNCTION("""COMPUTED_VALUE"""),"S-3")</f>
        <v>S-3</v>
      </c>
      <c r="Z155" s="3" t="str">
        <f ca="1">IFERROR(__xludf.DUMMYFUNCTION("""COMPUTED_VALUE"""),"25 Tahun 10 Bulan 27 Hari")</f>
        <v>25 Tahun 10 Bulan 27 Hari</v>
      </c>
      <c r="AA155" s="8">
        <f ca="1">IFERROR(__xludf.DUMMYFUNCTION("""COMPUTED_VALUE"""),51898)</f>
        <v>51898</v>
      </c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4"/>
      <c r="AR155" s="3"/>
      <c r="AS155" s="4"/>
      <c r="AT155" s="3"/>
      <c r="AU155" s="3"/>
    </row>
    <row r="156" spans="1:47" x14ac:dyDescent="0.2">
      <c r="A156" s="12">
        <v>155</v>
      </c>
      <c r="B156" s="3" t="str">
        <f ca="1">IFERROR(__xludf.DUMMYFUNCTION("""COMPUTED_VALUE"""),"Rina Heriyanti")</f>
        <v>Rina Heriyanti</v>
      </c>
      <c r="C156" s="3" t="str">
        <f ca="1">IFERROR(__xludf.DUMMYFUNCTION("""COMPUTED_VALUE"""),"Dr. Rina Heriyanti, S.S., M.Hum.")</f>
        <v>Dr. Rina Heriyanti, S.S., M.Hum.</v>
      </c>
      <c r="D156" s="3" t="str">
        <f ca="1">IFERROR(__xludf.DUMMYFUNCTION("""COMPUTED_VALUE"""),"Dr. Rina Heriyanti, S.S., M.Hum.")</f>
        <v>Dr. Rina Heriyanti, S.S., M.Hum.</v>
      </c>
      <c r="E156" s="3" t="str">
        <f ca="1">IFERROR(__xludf.DUMMYFUNCTION("""COMPUTED_VALUE"""),"197208281999032004")</f>
        <v>197208281999032004</v>
      </c>
      <c r="F156" s="3" t="str">
        <f ca="1">IFERROR(__xludf.DUMMYFUNCTION("""COMPUTED_VALUE"""),"19720828 199903 2 004")</f>
        <v>19720828 199903 2 004</v>
      </c>
      <c r="G156" s="3">
        <f ca="1">IFERROR(__xludf.DUMMYFUNCTION("""COMPUTED_VALUE"""),2028087202)</f>
        <v>2028087202</v>
      </c>
      <c r="H156" s="6" t="str">
        <f ca="1">IFERROR(__xludf.DUMMYFUNCTION("""COMPUTED_VALUE"""),"2160750651230153")</f>
        <v>2160750651230153</v>
      </c>
      <c r="I156" s="3" t="str">
        <f ca="1">IFERROR(__xludf.DUMMYFUNCTION("""COMPUTED_VALUE"""),"PNS")</f>
        <v>PNS</v>
      </c>
      <c r="J156" s="3" t="str">
        <f ca="1">IFERROR(__xludf.DUMMYFUNCTION("""COMPUTED_VALUE"""),"Dosen PNS")</f>
        <v>Dosen PNS</v>
      </c>
      <c r="K156" s="5" t="str">
        <f ca="1">IFERROR(__xludf.DUMMYFUNCTION("""COMPUTED_VALUE"""),"P")</f>
        <v>P</v>
      </c>
      <c r="L156" s="3" t="str">
        <f ca="1">IFERROR(__xludf.DUMMYFUNCTION("""COMPUTED_VALUE"""),"Banyumas")</f>
        <v>Banyumas</v>
      </c>
      <c r="M156" s="7">
        <f ca="1">IFERROR(__xludf.DUMMYFUNCTION("""COMPUTED_VALUE"""),26539)</f>
        <v>26539</v>
      </c>
      <c r="N156" s="4" t="str">
        <f ca="1">IFERROR(__xludf.DUMMYFUNCTION("""COMPUTED_VALUE"""),"Penata Tk.I")</f>
        <v>Penata Tk.I</v>
      </c>
      <c r="O156" s="3" t="str">
        <f ca="1">IFERROR(__xludf.DUMMYFUNCTION("""COMPUTED_VALUE"""),"III/d")</f>
        <v>III/d</v>
      </c>
      <c r="P156" s="7">
        <f ca="1">IFERROR(__xludf.DUMMYFUNCTION("""COMPUTED_VALUE"""),45200)</f>
        <v>45200</v>
      </c>
      <c r="Q156" s="3" t="str">
        <f ca="1">IFERROR(__xludf.DUMMYFUNCTION("""COMPUTED_VALUE"""),"1128/Un.19/K.AUPK/KP.07.1/08/2023")</f>
        <v>1128/Un.19/K.AUPK/KP.07.1/08/2023</v>
      </c>
      <c r="R156" s="3" t="str">
        <f ca="1">IFERROR(__xludf.DUMMYFUNCTION("""COMPUTED_VALUE"""),"Lektor")</f>
        <v>Lektor</v>
      </c>
      <c r="S156" s="3" t="str">
        <f ca="1">IFERROR(__xludf.DUMMYFUNCTION("""COMPUTED_VALUE"""),"Lektor")</f>
        <v>Lektor</v>
      </c>
      <c r="T156" s="7">
        <f ca="1">IFERROR(__xludf.DUMMYFUNCTION("""COMPUTED_VALUE"""),38991)</f>
        <v>38991</v>
      </c>
      <c r="U156" s="3"/>
      <c r="V156" s="3"/>
      <c r="W156" s="3">
        <f ca="1">IFERROR(__xludf.DUMMYFUNCTION("""COMPUTED_VALUE"""),11)</f>
        <v>11</v>
      </c>
      <c r="X156" s="7" t="str">
        <f ca="1">IFERROR(__xludf.DUMMYFUNCTION("""COMPUTED_VALUE"""),"Kepala Pusat Pemeringkatan dan Reputasi Pada Lembaga Penjaminan Mutu")</f>
        <v>Kepala Pusat Pemeringkatan dan Reputasi Pada Lembaga Penjaminan Mutu</v>
      </c>
      <c r="Y156" s="3" t="str">
        <f ca="1">IFERROR(__xludf.DUMMYFUNCTION("""COMPUTED_VALUE"""),"S-3")</f>
        <v>S-3</v>
      </c>
      <c r="Z156" s="3" t="str">
        <f ca="1">IFERROR(__xludf.DUMMYFUNCTION("""COMPUTED_VALUE"""),"26 Tahun 10 Bulan 27 Hari")</f>
        <v>26 Tahun 10 Bulan 27 Hari</v>
      </c>
      <c r="AA156" s="8">
        <f ca="1">IFERROR(__xludf.DUMMYFUNCTION("""COMPUTED_VALUE"""),50284)</f>
        <v>50284</v>
      </c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4"/>
      <c r="AR156" s="3"/>
      <c r="AS156" s="4"/>
      <c r="AT156" s="3"/>
      <c r="AU156" s="3"/>
    </row>
    <row r="157" spans="1:47" x14ac:dyDescent="0.2">
      <c r="A157" s="12">
        <v>156</v>
      </c>
      <c r="B157" s="3" t="str">
        <f ca="1">IFERROR(__xludf.DUMMYFUNCTION("""COMPUTED_VALUE"""),"Rindha Widyaningsih")</f>
        <v>Rindha Widyaningsih</v>
      </c>
      <c r="C157" s="3" t="str">
        <f ca="1">IFERROR(__xludf.DUMMYFUNCTION("""COMPUTED_VALUE"""),"Rindha Widyaningsih, S.Fil., M.A.")</f>
        <v>Rindha Widyaningsih, S.Fil., M.A.</v>
      </c>
      <c r="D157" s="3" t="str">
        <f ca="1">IFERROR(__xludf.DUMMYFUNCTION("""COMPUTED_VALUE"""),"Rindha Widyaningsih, S.Fil., M.A.")</f>
        <v>Rindha Widyaningsih, S.Fil., M.A.</v>
      </c>
      <c r="E157" s="3" t="str">
        <f ca="1">IFERROR(__xludf.DUMMYFUNCTION("""COMPUTED_VALUE"""),"198412262020122004")</f>
        <v>198412262020122004</v>
      </c>
      <c r="F157" s="3" t="str">
        <f ca="1">IFERROR(__xludf.DUMMYFUNCTION("""COMPUTED_VALUE"""),"‌19841226 202012 2 004")</f>
        <v>‌19841226 202012 2 004</v>
      </c>
      <c r="G157" s="3" t="str">
        <f ca="1">IFERROR(__xludf.DUMMYFUNCTION("""COMPUTED_VALUE"""),"0626128403")</f>
        <v>0626128403</v>
      </c>
      <c r="H157" s="6" t="str">
        <f ca="1">IFERROR(__xludf.DUMMYFUNCTION("""COMPUTED_VALUE"""),"8558762663231143")</f>
        <v>8558762663231143</v>
      </c>
      <c r="I157" s="3" t="str">
        <f ca="1">IFERROR(__xludf.DUMMYFUNCTION("""COMPUTED_VALUE"""),"PNS")</f>
        <v>PNS</v>
      </c>
      <c r="J157" s="3" t="str">
        <f ca="1">IFERROR(__xludf.DUMMYFUNCTION("""COMPUTED_VALUE"""),"Dosen PNS")</f>
        <v>Dosen PNS</v>
      </c>
      <c r="K157" s="5" t="str">
        <f ca="1">IFERROR(__xludf.DUMMYFUNCTION("""COMPUTED_VALUE"""),"P")</f>
        <v>P</v>
      </c>
      <c r="L157" s="3" t="str">
        <f ca="1">IFERROR(__xludf.DUMMYFUNCTION("""COMPUTED_VALUE"""),"Grobogan")</f>
        <v>Grobogan</v>
      </c>
      <c r="M157" s="9">
        <f ca="1">IFERROR(__xludf.DUMMYFUNCTION("""COMPUTED_VALUE"""),31042)</f>
        <v>31042</v>
      </c>
      <c r="N157" s="4" t="str">
        <f ca="1">IFERROR(__xludf.DUMMYFUNCTION("""COMPUTED_VALUE"""),"Penata Muda Tk.I")</f>
        <v>Penata Muda Tk.I</v>
      </c>
      <c r="O157" s="3" t="str">
        <f ca="1">IFERROR(__xludf.DUMMYFUNCTION("""COMPUTED_VALUE"""),"III/b")</f>
        <v>III/b</v>
      </c>
      <c r="P157" s="7">
        <f ca="1">IFERROR(__xludf.DUMMYFUNCTION("""COMPUTED_VALUE"""),44562)</f>
        <v>44562</v>
      </c>
      <c r="Q157" s="3" t="str">
        <f ca="1">IFERROR(__xludf.DUMMYFUNCTION("""COMPUTED_VALUE"""),"3559/Un.19/R/KP 00.3/12/2021")</f>
        <v>3559/Un.19/R/KP 00.3/12/2021</v>
      </c>
      <c r="R157" s="3" t="str">
        <f ca="1">IFERROR(__xludf.DUMMYFUNCTION("""COMPUTED_VALUE"""),"Asisten Ahli")</f>
        <v>Asisten Ahli</v>
      </c>
      <c r="S157" s="3" t="str">
        <f ca="1">IFERROR(__xludf.DUMMYFUNCTION("""COMPUTED_VALUE"""),"Asisten Ahli")</f>
        <v>Asisten Ahli</v>
      </c>
      <c r="T157" s="7">
        <f ca="1">IFERROR(__xludf.DUMMYFUNCTION("""COMPUTED_VALUE"""),45047)</f>
        <v>45047</v>
      </c>
      <c r="U157" s="3" t="str">
        <f ca="1">IFERROR(__xludf.DUMMYFUNCTION("""COMPUTED_VALUE"""),"013479/B.11/3/2023")</f>
        <v>013479/B.11/3/2023</v>
      </c>
      <c r="V157" s="7">
        <f ca="1">IFERROR(__xludf.DUMMYFUNCTION("""COMPUTED_VALUE"""),45090)</f>
        <v>45090</v>
      </c>
      <c r="W157" s="3">
        <f ca="1">IFERROR(__xludf.DUMMYFUNCTION("""COMPUTED_VALUE"""),9)</f>
        <v>9</v>
      </c>
      <c r="X157" s="3"/>
      <c r="Y157" s="3" t="str">
        <f ca="1">IFERROR(__xludf.DUMMYFUNCTION("""COMPUTED_VALUE"""),"S-2")</f>
        <v>S-2</v>
      </c>
      <c r="Z157" s="3" t="str">
        <f ca="1">IFERROR(__xludf.DUMMYFUNCTION("""COMPUTED_VALUE"""),"5 Tahun 1 Bulan 27 Hari")</f>
        <v>5 Tahun 1 Bulan 27 Hari</v>
      </c>
      <c r="AA157" s="8">
        <f ca="1">IFERROR(__xludf.DUMMYFUNCTION("""COMPUTED_VALUE"""),54789)</f>
        <v>54789</v>
      </c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4"/>
      <c r="AR157" s="3"/>
      <c r="AS157" s="4"/>
      <c r="AT157" s="3"/>
      <c r="AU157" s="3"/>
    </row>
    <row r="158" spans="1:47" x14ac:dyDescent="0.2">
      <c r="A158" s="12">
        <v>157</v>
      </c>
      <c r="B158" s="3" t="str">
        <f ca="1">IFERROR(__xludf.DUMMYFUNCTION("""COMPUTED_VALUE"""),"Rini Meliana")</f>
        <v>Rini Meliana</v>
      </c>
      <c r="C158" s="3" t="str">
        <f ca="1">IFERROR(__xludf.DUMMYFUNCTION("""COMPUTED_VALUE"""),"Rini Meliana, S.E., M.Ak.")</f>
        <v>Rini Meliana, S.E., M.Ak.</v>
      </c>
      <c r="D158" s="3" t="str">
        <f ca="1">IFERROR(__xludf.DUMMYFUNCTION("""COMPUTED_VALUE"""),"Rini Meliana, S.E., M.Ak.")</f>
        <v>Rini Meliana, S.E., M.Ak.</v>
      </c>
      <c r="E158" s="3" t="str">
        <f ca="1">IFERROR(__xludf.DUMMYFUNCTION("""COMPUTED_VALUE"""),"199407132020122016")</f>
        <v>199407132020122016</v>
      </c>
      <c r="F158" s="3" t="str">
        <f ca="1">IFERROR(__xludf.DUMMYFUNCTION("""COMPUTED_VALUE"""),"‌19940713 202012 2 016")</f>
        <v>‌19940713 202012 2 016</v>
      </c>
      <c r="G158" s="3">
        <f ca="1">IFERROR(__xludf.DUMMYFUNCTION("""COMPUTED_VALUE"""),2013079401)</f>
        <v>2013079401</v>
      </c>
      <c r="H158" s="6" t="str">
        <f ca="1">IFERROR(__xludf.DUMMYFUNCTION("""COMPUTED_VALUE"""),"7045772673230253")</f>
        <v>7045772673230253</v>
      </c>
      <c r="I158" s="3" t="str">
        <f ca="1">IFERROR(__xludf.DUMMYFUNCTION("""COMPUTED_VALUE"""),"PNS")</f>
        <v>PNS</v>
      </c>
      <c r="J158" s="3" t="str">
        <f ca="1">IFERROR(__xludf.DUMMYFUNCTION("""COMPUTED_VALUE"""),"Dosen PNS")</f>
        <v>Dosen PNS</v>
      </c>
      <c r="K158" s="5" t="str">
        <f ca="1">IFERROR(__xludf.DUMMYFUNCTION("""COMPUTED_VALUE"""),"P")</f>
        <v>P</v>
      </c>
      <c r="L158" s="3" t="str">
        <f ca="1">IFERROR(__xludf.DUMMYFUNCTION("""COMPUTED_VALUE"""),"Banjarnegara")</f>
        <v>Banjarnegara</v>
      </c>
      <c r="M158" s="7">
        <f ca="1">IFERROR(__xludf.DUMMYFUNCTION("""COMPUTED_VALUE"""),34528)</f>
        <v>34528</v>
      </c>
      <c r="N158" s="4" t="str">
        <f ca="1">IFERROR(__xludf.DUMMYFUNCTION("""COMPUTED_VALUE"""),"Penata Muda Tk.I")</f>
        <v>Penata Muda Tk.I</v>
      </c>
      <c r="O158" s="3" t="str">
        <f ca="1">IFERROR(__xludf.DUMMYFUNCTION("""COMPUTED_VALUE"""),"III/b")</f>
        <v>III/b</v>
      </c>
      <c r="P158" s="7">
        <f ca="1">IFERROR(__xludf.DUMMYFUNCTION("""COMPUTED_VALUE"""),44562)</f>
        <v>44562</v>
      </c>
      <c r="Q158" s="3" t="str">
        <f ca="1">IFERROR(__xludf.DUMMYFUNCTION("""COMPUTED_VALUE"""),"3586/Un.19/R/KP 00.3/12/2021")</f>
        <v>3586/Un.19/R/KP 00.3/12/2021</v>
      </c>
      <c r="R158" s="3" t="str">
        <f ca="1">IFERROR(__xludf.DUMMYFUNCTION("""COMPUTED_VALUE"""),"Asisten Ahli")</f>
        <v>Asisten Ahli</v>
      </c>
      <c r="S158" s="3" t="str">
        <f ca="1">IFERROR(__xludf.DUMMYFUNCTION("""COMPUTED_VALUE"""),"Asisten Ahli")</f>
        <v>Asisten Ahli</v>
      </c>
      <c r="T158" s="7">
        <f ca="1">IFERROR(__xludf.DUMMYFUNCTION("""COMPUTED_VALUE"""),45047)</f>
        <v>45047</v>
      </c>
      <c r="U158" s="3" t="str">
        <f ca="1">IFERROR(__xludf.DUMMYFUNCTION("""COMPUTED_VALUE"""),"013477/B.II/3/2023")</f>
        <v>013477/B.II/3/2023</v>
      </c>
      <c r="V158" s="7">
        <f ca="1">IFERROR(__xludf.DUMMYFUNCTION("""COMPUTED_VALUE"""),45090)</f>
        <v>45090</v>
      </c>
      <c r="W158" s="3">
        <f ca="1">IFERROR(__xludf.DUMMYFUNCTION("""COMPUTED_VALUE"""),9)</f>
        <v>9</v>
      </c>
      <c r="X158" s="3"/>
      <c r="Y158" s="3" t="str">
        <f ca="1">IFERROR(__xludf.DUMMYFUNCTION("""COMPUTED_VALUE"""),"S-2")</f>
        <v>S-2</v>
      </c>
      <c r="Z158" s="3" t="str">
        <f ca="1">IFERROR(__xludf.DUMMYFUNCTION("""COMPUTED_VALUE"""),"5 Tahun 1 Bulan 27 Hari")</f>
        <v>5 Tahun 1 Bulan 27 Hari</v>
      </c>
      <c r="AA158" s="8">
        <f ca="1">IFERROR(__xludf.DUMMYFUNCTION("""COMPUTED_VALUE"""),58288)</f>
        <v>58288</v>
      </c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4"/>
      <c r="AR158" s="3"/>
      <c r="AS158" s="4"/>
      <c r="AT158" s="3"/>
      <c r="AU158" s="3"/>
    </row>
    <row r="159" spans="1:47" x14ac:dyDescent="0.2">
      <c r="A159" s="12">
        <v>158</v>
      </c>
      <c r="B159" s="3" t="str">
        <f ca="1">IFERROR(__xludf.DUMMYFUNCTION("""COMPUTED_VALUE"""),"Riris Eka Setiani")</f>
        <v>Riris Eka Setiani</v>
      </c>
      <c r="C159" s="3" t="str">
        <f ca="1">IFERROR(__xludf.DUMMYFUNCTION("""COMPUTED_VALUE"""),"Riris Eka Setiani, M.Pd.I.")</f>
        <v>Riris Eka Setiani, M.Pd.I.</v>
      </c>
      <c r="D159" s="3" t="str">
        <f ca="1">IFERROR(__xludf.DUMMYFUNCTION("""COMPUTED_VALUE"""),"Riris Eka Setiani, M.Pd.I.")</f>
        <v>Riris Eka Setiani, M.Pd.I.</v>
      </c>
      <c r="E159" s="3" t="str">
        <f ca="1">IFERROR(__xludf.DUMMYFUNCTION("""COMPUTED_VALUE"""),"198810072019032016")</f>
        <v>198810072019032016</v>
      </c>
      <c r="F159" s="3" t="str">
        <f ca="1">IFERROR(__xludf.DUMMYFUNCTION("""COMPUTED_VALUE"""),"19881007 201903 2 016")</f>
        <v>19881007 201903 2 016</v>
      </c>
      <c r="G159" s="3">
        <f ca="1">IFERROR(__xludf.DUMMYFUNCTION("""COMPUTED_VALUE"""),2007108801)</f>
        <v>2007108801</v>
      </c>
      <c r="H159" s="6" t="str">
        <f ca="1">IFERROR(__xludf.DUMMYFUNCTION("""COMPUTED_VALUE"""),"5339766667230293")</f>
        <v>5339766667230293</v>
      </c>
      <c r="I159" s="3" t="str">
        <f ca="1">IFERROR(__xludf.DUMMYFUNCTION("""COMPUTED_VALUE"""),"PNS")</f>
        <v>PNS</v>
      </c>
      <c r="J159" s="3" t="str">
        <f ca="1">IFERROR(__xludf.DUMMYFUNCTION("""COMPUTED_VALUE"""),"Dosen PNS")</f>
        <v>Dosen PNS</v>
      </c>
      <c r="K159" s="5" t="str">
        <f ca="1">IFERROR(__xludf.DUMMYFUNCTION("""COMPUTED_VALUE"""),"P")</f>
        <v>P</v>
      </c>
      <c r="L159" s="3" t="str">
        <f ca="1">IFERROR(__xludf.DUMMYFUNCTION("""COMPUTED_VALUE"""),"Purbalingga")</f>
        <v>Purbalingga</v>
      </c>
      <c r="M159" s="7">
        <f ca="1">IFERROR(__xludf.DUMMYFUNCTION("""COMPUTED_VALUE"""),32423)</f>
        <v>32423</v>
      </c>
      <c r="N159" s="4" t="str">
        <f ca="1">IFERROR(__xludf.DUMMYFUNCTION("""COMPUTED_VALUE"""),"Penata Tk.I")</f>
        <v>Penata Tk.I</v>
      </c>
      <c r="O159" s="3" t="str">
        <f ca="1">IFERROR(__xludf.DUMMYFUNCTION("""COMPUTED_VALUE"""),"III/d")</f>
        <v>III/d</v>
      </c>
      <c r="P159" s="7">
        <f ca="1">IFERROR(__xludf.DUMMYFUNCTION("""COMPUTED_VALUE"""),45931)</f>
        <v>45931</v>
      </c>
      <c r="Q159" s="3" t="str">
        <f ca="1">IFERROR(__xludf.DUMMYFUNCTION("""COMPUTED_VALUE"""),"199571/B.II/KP.07.1/08/2025")</f>
        <v>199571/B.II/KP.07.1/08/2025</v>
      </c>
      <c r="R159" s="3" t="str">
        <f ca="1">IFERROR(__xludf.DUMMYFUNCTION("""COMPUTED_VALUE"""),"Lektor")</f>
        <v>Lektor</v>
      </c>
      <c r="S159" s="3" t="str">
        <f ca="1">IFERROR(__xludf.DUMMYFUNCTION("""COMPUTED_VALUE"""),"Lektor")</f>
        <v>Lektor</v>
      </c>
      <c r="T159" s="7">
        <f ca="1">IFERROR(__xludf.DUMMYFUNCTION("""COMPUTED_VALUE"""),44986)</f>
        <v>44986</v>
      </c>
      <c r="U159" s="3" t="str">
        <f ca="1">IFERROR(__xludf.DUMMYFUNCTION("""COMPUTED_VALUE"""),"484/Un.19/K.AUPK/Kp.07.6/3/2023")</f>
        <v>484/Un.19/K.AUPK/Kp.07.6/3/2023</v>
      </c>
      <c r="V159" s="7">
        <f ca="1">IFERROR(__xludf.DUMMYFUNCTION("""COMPUTED_VALUE"""),44986)</f>
        <v>44986</v>
      </c>
      <c r="W159" s="3">
        <f ca="1">IFERROR(__xludf.DUMMYFUNCTION("""COMPUTED_VALUE"""),11)</f>
        <v>11</v>
      </c>
      <c r="X159" s="3"/>
      <c r="Y159" s="3" t="str">
        <f ca="1">IFERROR(__xludf.DUMMYFUNCTION("""COMPUTED_VALUE"""),"S-2")</f>
        <v>S-2</v>
      </c>
      <c r="Z159" s="3" t="str">
        <f ca="1">IFERROR(__xludf.DUMMYFUNCTION("""COMPUTED_VALUE"""),"6 Tahun 10 Bulan 27 Hari")</f>
        <v>6 Tahun 10 Bulan 27 Hari</v>
      </c>
      <c r="AA159" s="8">
        <f ca="1">IFERROR(__xludf.DUMMYFUNCTION("""COMPUTED_VALUE"""),56189)</f>
        <v>56189</v>
      </c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4"/>
      <c r="AR159" s="3"/>
      <c r="AS159" s="4"/>
      <c r="AT159" s="3"/>
      <c r="AU159" s="3"/>
    </row>
    <row r="160" spans="1:47" x14ac:dyDescent="0.2">
      <c r="A160" s="12">
        <v>159</v>
      </c>
      <c r="B160" s="3" t="str">
        <f ca="1">IFERROR(__xludf.DUMMYFUNCTION("""COMPUTED_VALUE"""),"Risma Hikmawati")</f>
        <v>Risma Hikmawati</v>
      </c>
      <c r="C160" s="3" t="str">
        <f ca="1">IFERROR(__xludf.DUMMYFUNCTION("""COMPUTED_VALUE"""),"Risma Hikmawati, M.Ud.")</f>
        <v>Risma Hikmawati, M.Ud.</v>
      </c>
      <c r="D160" s="3" t="str">
        <f ca="1">IFERROR(__xludf.DUMMYFUNCTION("""COMPUTED_VALUE"""),"Risma Hikmawati, M.Ud.")</f>
        <v>Risma Hikmawati, M.Ud.</v>
      </c>
      <c r="E160" s="3" t="str">
        <f ca="1">IFERROR(__xludf.DUMMYFUNCTION("""COMPUTED_VALUE"""),"198907172020122017")</f>
        <v>198907172020122017</v>
      </c>
      <c r="F160" s="3" t="str">
        <f ca="1">IFERROR(__xludf.DUMMYFUNCTION("""COMPUTED_VALUE"""),"‌19890717 202012 2 017")</f>
        <v>‌19890717 202012 2 017</v>
      </c>
      <c r="G160" s="3">
        <f ca="1">IFERROR(__xludf.DUMMYFUNCTION("""COMPUTED_VALUE"""),2117078905)</f>
        <v>2117078905</v>
      </c>
      <c r="H160" s="6" t="str">
        <f ca="1">IFERROR(__xludf.DUMMYFUNCTION("""COMPUTED_VALUE"""),"0049767668230473")</f>
        <v>0049767668230473</v>
      </c>
      <c r="I160" s="3" t="str">
        <f ca="1">IFERROR(__xludf.DUMMYFUNCTION("""COMPUTED_VALUE"""),"PNS")</f>
        <v>PNS</v>
      </c>
      <c r="J160" s="3" t="str">
        <f ca="1">IFERROR(__xludf.DUMMYFUNCTION("""COMPUTED_VALUE"""),"Dosen PNS")</f>
        <v>Dosen PNS</v>
      </c>
      <c r="K160" s="5" t="str">
        <f ca="1">IFERROR(__xludf.DUMMYFUNCTION("""COMPUTED_VALUE"""),"P")</f>
        <v>P</v>
      </c>
      <c r="L160" s="3" t="str">
        <f ca="1">IFERROR(__xludf.DUMMYFUNCTION("""COMPUTED_VALUE"""),"Bandung")</f>
        <v>Bandung</v>
      </c>
      <c r="M160" s="7">
        <f ca="1">IFERROR(__xludf.DUMMYFUNCTION("""COMPUTED_VALUE"""),32706)</f>
        <v>32706</v>
      </c>
      <c r="N160" s="4" t="str">
        <f ca="1">IFERROR(__xludf.DUMMYFUNCTION("""COMPUTED_VALUE"""),"Penata")</f>
        <v>Penata</v>
      </c>
      <c r="O160" s="3" t="str">
        <f ca="1">IFERROR(__xludf.DUMMYFUNCTION("""COMPUTED_VALUE"""),"III/c")</f>
        <v>III/c</v>
      </c>
      <c r="P160" s="7">
        <f ca="1">IFERROR(__xludf.DUMMYFUNCTION("""COMPUTED_VALUE"""),45748)</f>
        <v>45748</v>
      </c>
      <c r="Q160" s="3" t="str">
        <f ca="1">IFERROR(__xludf.DUMMYFUNCTION("""COMPUTED_VALUE"""),"278/Un.19/K.AUPK/KP.11.1/02/2025")</f>
        <v>278/Un.19/K.AUPK/KP.11.1/02/2025</v>
      </c>
      <c r="R160" s="3" t="str">
        <f ca="1">IFERROR(__xludf.DUMMYFUNCTION("""COMPUTED_VALUE"""),"Lektor")</f>
        <v>Lektor</v>
      </c>
      <c r="S160" s="3" t="str">
        <f ca="1">IFERROR(__xludf.DUMMYFUNCTION("""COMPUTED_VALUE"""),"Lektor")</f>
        <v>Lektor</v>
      </c>
      <c r="T160" s="7">
        <f ca="1">IFERROR(__xludf.DUMMYFUNCTION("""COMPUTED_VALUE"""),45689)</f>
        <v>45689</v>
      </c>
      <c r="U160" s="3" t="str">
        <f ca="1">IFERROR(__xludf.DUMMYFUNCTION("""COMPUTED_VALUE"""),"234.2/Un.19/R/KP.08.1/1/2025")</f>
        <v>234.2/Un.19/R/KP.08.1/1/2025</v>
      </c>
      <c r="V160" s="7">
        <f ca="1">IFERROR(__xludf.DUMMYFUNCTION("""COMPUTED_VALUE"""),45681)</f>
        <v>45681</v>
      </c>
      <c r="W160" s="3">
        <f ca="1">IFERROR(__xludf.DUMMYFUNCTION("""COMPUTED_VALUE"""),11)</f>
        <v>11</v>
      </c>
      <c r="X160" s="3"/>
      <c r="Y160" s="3" t="str">
        <f ca="1">IFERROR(__xludf.DUMMYFUNCTION("""COMPUTED_VALUE"""),"S-2")</f>
        <v>S-2</v>
      </c>
      <c r="Z160" s="3" t="str">
        <f ca="1">IFERROR(__xludf.DUMMYFUNCTION("""COMPUTED_VALUE"""),"5 Tahun 1 Bulan 27 Hari")</f>
        <v>5 Tahun 1 Bulan 27 Hari</v>
      </c>
      <c r="AA160" s="8">
        <f ca="1">IFERROR(__xludf.DUMMYFUNCTION("""COMPUTED_VALUE"""),56462)</f>
        <v>56462</v>
      </c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4"/>
      <c r="AR160" s="3"/>
      <c r="AS160" s="4"/>
      <c r="AT160" s="3"/>
      <c r="AU160" s="3"/>
    </row>
    <row r="161" spans="1:47" x14ac:dyDescent="0.2">
      <c r="A161" s="12">
        <v>160</v>
      </c>
      <c r="B161" s="3" t="str">
        <f ca="1">IFERROR(__xludf.DUMMYFUNCTION("""COMPUTED_VALUE"""),"Rohmad")</f>
        <v>Rohmad</v>
      </c>
      <c r="C161" s="3" t="str">
        <f ca="1">IFERROR(__xludf.DUMMYFUNCTION("""COMPUTED_VALUE"""),"Prof. Dr. H. Rohmad, M.Pd.")</f>
        <v>Prof. Dr. H. Rohmad, M.Pd.</v>
      </c>
      <c r="D161" s="3" t="str">
        <f ca="1">IFERROR(__xludf.DUMMYFUNCTION("""COMPUTED_VALUE"""),"Prof. Dr. H. Rohmad, M.Pd.")</f>
        <v>Prof. Dr. H. Rohmad, M.Pd.</v>
      </c>
      <c r="E161" s="3" t="str">
        <f ca="1">IFERROR(__xludf.DUMMYFUNCTION("""COMPUTED_VALUE"""),"196612221991031002")</f>
        <v>196612221991031002</v>
      </c>
      <c r="F161" s="3" t="str">
        <f ca="1">IFERROR(__xludf.DUMMYFUNCTION("""COMPUTED_VALUE"""),"19661222 199103 1 002")</f>
        <v>19661222 199103 1 002</v>
      </c>
      <c r="G161" s="3">
        <f ca="1">IFERROR(__xludf.DUMMYFUNCTION("""COMPUTED_VALUE"""),2022126603)</f>
        <v>2022126603</v>
      </c>
      <c r="H161" s="6" t="str">
        <f ca="1">IFERROR(__xludf.DUMMYFUNCTION("""COMPUTED_VALUE"""),"1554744645130093")</f>
        <v>1554744645130093</v>
      </c>
      <c r="I161" s="3" t="str">
        <f ca="1">IFERROR(__xludf.DUMMYFUNCTION("""COMPUTED_VALUE"""),"PNS")</f>
        <v>PNS</v>
      </c>
      <c r="J161" s="3" t="str">
        <f ca="1">IFERROR(__xludf.DUMMYFUNCTION("""COMPUTED_VALUE"""),"Dosen PNS")</f>
        <v>Dosen PNS</v>
      </c>
      <c r="K161" s="5" t="str">
        <f ca="1">IFERROR(__xludf.DUMMYFUNCTION("""COMPUTED_VALUE"""),"L")</f>
        <v>L</v>
      </c>
      <c r="L161" s="3" t="str">
        <f ca="1">IFERROR(__xludf.DUMMYFUNCTION("""COMPUTED_VALUE"""),"Karanganyar")</f>
        <v>Karanganyar</v>
      </c>
      <c r="M161" s="9">
        <f ca="1">IFERROR(__xludf.DUMMYFUNCTION("""COMPUTED_VALUE"""),24463)</f>
        <v>24463</v>
      </c>
      <c r="N161" s="4" t="str">
        <f ca="1">IFERROR(__xludf.DUMMYFUNCTION("""COMPUTED_VALUE"""),"Pembina Utama")</f>
        <v>Pembina Utama</v>
      </c>
      <c r="O161" s="3" t="str">
        <f ca="1">IFERROR(__xludf.DUMMYFUNCTION("""COMPUTED_VALUE"""),"IV/e")</f>
        <v>IV/e</v>
      </c>
      <c r="P161" s="7">
        <f ca="1">IFERROR(__xludf.DUMMYFUNCTION("""COMPUTED_VALUE"""),45931)</f>
        <v>45931</v>
      </c>
      <c r="Q161" s="3" t="str">
        <f ca="1">IFERROR(__xludf.DUMMYFUNCTION("""COMPUTED_VALUE"""),"00501/KEP/AA/15001/25")</f>
        <v>00501/KEP/AA/15001/25</v>
      </c>
      <c r="R161" s="3" t="str">
        <f ca="1">IFERROR(__xludf.DUMMYFUNCTION("""COMPUTED_VALUE"""),"Guru Besar")</f>
        <v>Guru Besar</v>
      </c>
      <c r="S161" s="3" t="str">
        <f ca="1">IFERROR(__xludf.DUMMYFUNCTION("""COMPUTED_VALUE"""),"Guru Besar")</f>
        <v>Guru Besar</v>
      </c>
      <c r="T161" s="7">
        <f ca="1">IFERROR(__xludf.DUMMYFUNCTION("""COMPUTED_VALUE"""),45017)</f>
        <v>45017</v>
      </c>
      <c r="U161" s="3" t="str">
        <f ca="1">IFERROR(__xludf.DUMMYFUNCTION("""COMPUTED_VALUE"""),"24322/M/07/2023")</f>
        <v>24322/M/07/2023</v>
      </c>
      <c r="V161" s="7">
        <f ca="1">IFERROR(__xludf.DUMMYFUNCTION("""COMPUTED_VALUE"""),45034)</f>
        <v>45034</v>
      </c>
      <c r="W161" s="3">
        <f ca="1">IFERROR(__xludf.DUMMYFUNCTION("""COMPUTED_VALUE"""),15)</f>
        <v>15</v>
      </c>
      <c r="X161" s="7" t="str">
        <f ca="1">IFERROR(__xludf.DUMMYFUNCTION("""COMPUTED_VALUE"""),"Kepala Satuan Pengawas Internal")</f>
        <v>Kepala Satuan Pengawas Internal</v>
      </c>
      <c r="Y161" s="3" t="str">
        <f ca="1">IFERROR(__xludf.DUMMYFUNCTION("""COMPUTED_VALUE"""),"S-3")</f>
        <v>S-3</v>
      </c>
      <c r="Z161" s="3" t="str">
        <f ca="1">IFERROR(__xludf.DUMMYFUNCTION("""COMPUTED_VALUE"""),"34 Tahun 10 Bulan 27 Hari")</f>
        <v>34 Tahun 10 Bulan 27 Hari</v>
      </c>
      <c r="AA161" s="8">
        <f ca="1">IFERROR(__xludf.DUMMYFUNCTION("""COMPUTED_VALUE"""),50041)</f>
        <v>50041</v>
      </c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4"/>
      <c r="AR161" s="3"/>
      <c r="AS161" s="4"/>
      <c r="AT161" s="3"/>
      <c r="AU161" s="3"/>
    </row>
    <row r="162" spans="1:47" x14ac:dyDescent="0.2">
      <c r="A162" s="12">
        <v>161</v>
      </c>
      <c r="B162" s="3" t="str">
        <f ca="1">IFERROR(__xludf.DUMMYFUNCTION("""COMPUTED_VALUE"""),"Rohmat")</f>
        <v>Rohmat</v>
      </c>
      <c r="C162" s="3" t="str">
        <f ca="1">IFERROR(__xludf.DUMMYFUNCTION("""COMPUTED_VALUE"""),"Prof. Dr. H. Rohmat, M.Ag., M.Pd.")</f>
        <v>Prof. Dr. H. Rohmat, M.Ag., M.Pd.</v>
      </c>
      <c r="D162" s="3" t="str">
        <f ca="1">IFERROR(__xludf.DUMMYFUNCTION("""COMPUTED_VALUE"""),"Prof. Dr. H. Rohmat, M.Ag., M.Pd.")</f>
        <v>Prof. Dr. H. Rohmat, M.Ag., M.Pd.</v>
      </c>
      <c r="E162" s="3" t="str">
        <f ca="1">IFERROR(__xludf.DUMMYFUNCTION("""COMPUTED_VALUE"""),"197204202003121001")</f>
        <v>197204202003121001</v>
      </c>
      <c r="F162" s="3" t="str">
        <f ca="1">IFERROR(__xludf.DUMMYFUNCTION("""COMPUTED_VALUE"""),"19720420 200312 1 001")</f>
        <v>19720420 200312 1 001</v>
      </c>
      <c r="G162" s="3">
        <f ca="1">IFERROR(__xludf.DUMMYFUNCTION("""COMPUTED_VALUE"""),2020047203)</f>
        <v>2020047203</v>
      </c>
      <c r="H162" s="6" t="str">
        <f ca="1">IFERROR(__xludf.DUMMYFUNCTION("""COMPUTED_VALUE"""),"7752750651130142")</f>
        <v>7752750651130142</v>
      </c>
      <c r="I162" s="3" t="str">
        <f ca="1">IFERROR(__xludf.DUMMYFUNCTION("""COMPUTED_VALUE"""),"PNS")</f>
        <v>PNS</v>
      </c>
      <c r="J162" s="3" t="str">
        <f ca="1">IFERROR(__xludf.DUMMYFUNCTION("""COMPUTED_VALUE"""),"Dosen PNS")</f>
        <v>Dosen PNS</v>
      </c>
      <c r="K162" s="5" t="str">
        <f ca="1">IFERROR(__xludf.DUMMYFUNCTION("""COMPUTED_VALUE"""),"L")</f>
        <v>L</v>
      </c>
      <c r="L162" s="3" t="str">
        <f ca="1">IFERROR(__xludf.DUMMYFUNCTION("""COMPUTED_VALUE"""),"Cilacap")</f>
        <v>Cilacap</v>
      </c>
      <c r="M162" s="7">
        <f ca="1">IFERROR(__xludf.DUMMYFUNCTION("""COMPUTED_VALUE"""),26409)</f>
        <v>26409</v>
      </c>
      <c r="N162" s="4" t="str">
        <f ca="1">IFERROR(__xludf.DUMMYFUNCTION("""COMPUTED_VALUE"""),"Pembina Utama Muda")</f>
        <v>Pembina Utama Muda</v>
      </c>
      <c r="O162" s="3" t="str">
        <f ca="1">IFERROR(__xludf.DUMMYFUNCTION("""COMPUTED_VALUE"""),"IV/c")</f>
        <v>IV/c</v>
      </c>
      <c r="P162" s="7">
        <f ca="1">IFERROR(__xludf.DUMMYFUNCTION("""COMPUTED_VALUE"""),45323)</f>
        <v>45323</v>
      </c>
      <c r="Q162" s="3" t="str">
        <f ca="1">IFERROR(__xludf.DUMMYFUNCTION("""COMPUTED_VALUE"""),"00005/KEP/AA/15001/24")</f>
        <v>00005/KEP/AA/15001/24</v>
      </c>
      <c r="R162" s="3" t="str">
        <f ca="1">IFERROR(__xludf.DUMMYFUNCTION("""COMPUTED_VALUE"""),"Guru Besar")</f>
        <v>Guru Besar</v>
      </c>
      <c r="S162" s="3" t="str">
        <f ca="1">IFERROR(__xludf.DUMMYFUNCTION("""COMPUTED_VALUE"""),"Guru Besar")</f>
        <v>Guru Besar</v>
      </c>
      <c r="T162" s="7">
        <f ca="1">IFERROR(__xludf.DUMMYFUNCTION("""COMPUTED_VALUE"""),45139)</f>
        <v>45139</v>
      </c>
      <c r="U162" s="3" t="str">
        <f ca="1">IFERROR(__xludf.DUMMYFUNCTION("""COMPUTED_VALUE"""),"46265/M/07/2023")</f>
        <v>46265/M/07/2023</v>
      </c>
      <c r="V162" s="7">
        <f ca="1">IFERROR(__xludf.DUMMYFUNCTION("""COMPUTED_VALUE"""),45163)</f>
        <v>45163</v>
      </c>
      <c r="W162" s="3">
        <f ca="1">IFERROR(__xludf.DUMMYFUNCTION("""COMPUTED_VALUE"""),15)</f>
        <v>15</v>
      </c>
      <c r="X162" s="7" t="str">
        <f ca="1">IFERROR(__xludf.DUMMYFUNCTION("""COMPUTED_VALUE"""),"Ketua Program Studi S-3 Studi Islam Interdisipliner Pascasarjana")</f>
        <v>Ketua Program Studi S-3 Studi Islam Interdisipliner Pascasarjana</v>
      </c>
      <c r="Y162" s="3" t="str">
        <f ca="1">IFERROR(__xludf.DUMMYFUNCTION("""COMPUTED_VALUE"""),"S-3")</f>
        <v>S-3</v>
      </c>
      <c r="Z162" s="3" t="str">
        <f ca="1">IFERROR(__xludf.DUMMYFUNCTION("""COMPUTED_VALUE"""),"22 Tahun 1 Bulan 27 Hari")</f>
        <v>22 Tahun 1 Bulan 27 Hari</v>
      </c>
      <c r="AA162" s="8">
        <f ca="1">IFERROR(__xludf.DUMMYFUNCTION("""COMPUTED_VALUE"""),51987)</f>
        <v>51987</v>
      </c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4"/>
      <c r="AR162" s="3"/>
      <c r="AS162" s="4"/>
      <c r="AT162" s="3"/>
      <c r="AU162" s="3"/>
    </row>
    <row r="163" spans="1:47" x14ac:dyDescent="0.2">
      <c r="A163" s="12">
        <v>162</v>
      </c>
      <c r="B163" s="3" t="str">
        <f ca="1">IFERROR(__xludf.DUMMYFUNCTION("""COMPUTED_VALUE"""),"Ryan Fahmi Hikmat")</f>
        <v>Ryan Fahmi Hikmat</v>
      </c>
      <c r="C163" s="3" t="str">
        <f ca="1">IFERROR(__xludf.DUMMYFUNCTION("""COMPUTED_VALUE"""),"Ryan Fahmi Hikmat, S.E., M.M.")</f>
        <v>Ryan Fahmi Hikmat, S.E., M.M.</v>
      </c>
      <c r="D163" s="3" t="str">
        <f ca="1">IFERROR(__xludf.DUMMYFUNCTION("""COMPUTED_VALUE"""),"Ryan Fahmi Hikmat, S.E., M.M.")</f>
        <v>Ryan Fahmi Hikmat, S.E., M.M.</v>
      </c>
      <c r="E163" s="3" t="str">
        <f ca="1">IFERROR(__xludf.DUMMYFUNCTION("""COMPUTED_VALUE"""),"199203282020121005")</f>
        <v>199203282020121005</v>
      </c>
      <c r="F163" s="3" t="str">
        <f ca="1">IFERROR(__xludf.DUMMYFUNCTION("""COMPUTED_VALUE"""),"‌19920328 202012 1 005")</f>
        <v>‌19920328 202012 1 005</v>
      </c>
      <c r="G163" s="3">
        <f ca="1">IFERROR(__xludf.DUMMYFUNCTION("""COMPUTED_VALUE"""),2028039204)</f>
        <v>2028039204</v>
      </c>
      <c r="H163" s="6" t="str">
        <f ca="1">IFERROR(__xludf.DUMMYFUNCTION("""COMPUTED_VALUE"""),"9660770671130262")</f>
        <v>9660770671130262</v>
      </c>
      <c r="I163" s="3" t="str">
        <f ca="1">IFERROR(__xludf.DUMMYFUNCTION("""COMPUTED_VALUE"""),"PNS")</f>
        <v>PNS</v>
      </c>
      <c r="J163" s="3" t="str">
        <f ca="1">IFERROR(__xludf.DUMMYFUNCTION("""COMPUTED_VALUE"""),"Dosen PNS")</f>
        <v>Dosen PNS</v>
      </c>
      <c r="K163" s="5" t="str">
        <f ca="1">IFERROR(__xludf.DUMMYFUNCTION("""COMPUTED_VALUE"""),"L")</f>
        <v>L</v>
      </c>
      <c r="L163" s="3" t="str">
        <f ca="1">IFERROR(__xludf.DUMMYFUNCTION("""COMPUTED_VALUE"""),"Banyumas")</f>
        <v>Banyumas</v>
      </c>
      <c r="M163" s="7">
        <f ca="1">IFERROR(__xludf.DUMMYFUNCTION("""COMPUTED_VALUE"""),33691)</f>
        <v>33691</v>
      </c>
      <c r="N163" s="4" t="str">
        <f ca="1">IFERROR(__xludf.DUMMYFUNCTION("""COMPUTED_VALUE"""),"Penata Muda Tk.I")</f>
        <v>Penata Muda Tk.I</v>
      </c>
      <c r="O163" s="3" t="str">
        <f ca="1">IFERROR(__xludf.DUMMYFUNCTION("""COMPUTED_VALUE"""),"III/b")</f>
        <v>III/b</v>
      </c>
      <c r="P163" s="7">
        <f ca="1">IFERROR(__xludf.DUMMYFUNCTION("""COMPUTED_VALUE"""),44562)</f>
        <v>44562</v>
      </c>
      <c r="Q163" s="3" t="str">
        <f ca="1">IFERROR(__xludf.DUMMYFUNCTION("""COMPUTED_VALUE"""),"3572/Un.19/R/KP 00.3/12/2021")</f>
        <v>3572/Un.19/R/KP 00.3/12/2021</v>
      </c>
      <c r="R163" s="3" t="str">
        <f ca="1">IFERROR(__xludf.DUMMYFUNCTION("""COMPUTED_VALUE"""),"Asisten Ahli")</f>
        <v>Asisten Ahli</v>
      </c>
      <c r="S163" s="3" t="str">
        <f ca="1">IFERROR(__xludf.DUMMYFUNCTION("""COMPUTED_VALUE"""),"Asisten Ahli")</f>
        <v>Asisten Ahli</v>
      </c>
      <c r="T163" s="7">
        <f ca="1">IFERROR(__xludf.DUMMYFUNCTION("""COMPUTED_VALUE"""),45047)</f>
        <v>45047</v>
      </c>
      <c r="U163" s="3" t="str">
        <f ca="1">IFERROR(__xludf.DUMMYFUNCTION("""COMPUTED_VALUE"""),"013474/B.II/3/2022")</f>
        <v>013474/B.II/3/2022</v>
      </c>
      <c r="V163" s="7">
        <f ca="1">IFERROR(__xludf.DUMMYFUNCTION("""COMPUTED_VALUE"""),45090)</f>
        <v>45090</v>
      </c>
      <c r="W163" s="3">
        <f ca="1">IFERROR(__xludf.DUMMYFUNCTION("""COMPUTED_VALUE"""),9)</f>
        <v>9</v>
      </c>
      <c r="X163" s="3"/>
      <c r="Y163" s="3" t="str">
        <f ca="1">IFERROR(__xludf.DUMMYFUNCTION("""COMPUTED_VALUE"""),"S-2")</f>
        <v>S-2</v>
      </c>
      <c r="Z163" s="3" t="str">
        <f ca="1">IFERROR(__xludf.DUMMYFUNCTION("""COMPUTED_VALUE"""),"5 Tahun 1 Bulan 27 Hari")</f>
        <v>5 Tahun 1 Bulan 27 Hari</v>
      </c>
      <c r="AA163" s="8">
        <f ca="1">IFERROR(__xludf.DUMMYFUNCTION("""COMPUTED_VALUE"""),57436)</f>
        <v>57436</v>
      </c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4"/>
      <c r="AR163" s="3"/>
      <c r="AS163" s="4"/>
      <c r="AT163" s="3"/>
      <c r="AU163" s="3"/>
    </row>
    <row r="164" spans="1:47" x14ac:dyDescent="0.2">
      <c r="A164" s="12">
        <v>163</v>
      </c>
      <c r="B164" s="3" t="str">
        <f ca="1">IFERROR(__xludf.DUMMYFUNCTION("""COMPUTED_VALUE"""),"Saefudin")</f>
        <v>Saefudin</v>
      </c>
      <c r="C164" s="3" t="str">
        <f ca="1">IFERROR(__xludf.DUMMYFUNCTION("""COMPUTED_VALUE"""),"Dr. H. Saefudin, M.Ed.")</f>
        <v>Dr. H. Saefudin, M.Ed.</v>
      </c>
      <c r="D164" s="3" t="str">
        <f ca="1">IFERROR(__xludf.DUMMYFUNCTION("""COMPUTED_VALUE"""),"Dr. H. Saefudin, M.Ed.")</f>
        <v>Dr. H. Saefudin, M.Ed.</v>
      </c>
      <c r="E164" s="3" t="str">
        <f ca="1">IFERROR(__xludf.DUMMYFUNCTION("""COMPUTED_VALUE"""),"196211271992031003")</f>
        <v>196211271992031003</v>
      </c>
      <c r="F164" s="3" t="str">
        <f ca="1">IFERROR(__xludf.DUMMYFUNCTION("""COMPUTED_VALUE"""),"19621127 199203 1 003")</f>
        <v>19621127 199203 1 003</v>
      </c>
      <c r="G164" s="3" t="str">
        <f ca="1">IFERROR(__xludf.DUMMYFUNCTION("""COMPUTED_VALUE"""),"0627116201")</f>
        <v>0627116201</v>
      </c>
      <c r="H164" s="6" t="str">
        <f ca="1">IFERROR(__xludf.DUMMYFUNCTION("""COMPUTED_VALUE"""),"1459740641130063")</f>
        <v>1459740641130063</v>
      </c>
      <c r="I164" s="3" t="str">
        <f ca="1">IFERROR(__xludf.DUMMYFUNCTION("""COMPUTED_VALUE"""),"PNS")</f>
        <v>PNS</v>
      </c>
      <c r="J164" s="3" t="str">
        <f ca="1">IFERROR(__xludf.DUMMYFUNCTION("""COMPUTED_VALUE"""),"Dosen PNS")</f>
        <v>Dosen PNS</v>
      </c>
      <c r="K164" s="5" t="str">
        <f ca="1">IFERROR(__xludf.DUMMYFUNCTION("""COMPUTED_VALUE"""),"L")</f>
        <v>L</v>
      </c>
      <c r="L164" s="3" t="str">
        <f ca="1">IFERROR(__xludf.DUMMYFUNCTION("""COMPUTED_VALUE"""),"Banyumas")</f>
        <v>Banyumas</v>
      </c>
      <c r="M164" s="9">
        <f ca="1">IFERROR(__xludf.DUMMYFUNCTION("""COMPUTED_VALUE"""),22977)</f>
        <v>22977</v>
      </c>
      <c r="N164" s="4" t="str">
        <f ca="1">IFERROR(__xludf.DUMMYFUNCTION("""COMPUTED_VALUE"""),"Pembina Utama Madya")</f>
        <v>Pembina Utama Madya</v>
      </c>
      <c r="O164" s="3" t="str">
        <f ca="1">IFERROR(__xludf.DUMMYFUNCTION("""COMPUTED_VALUE"""),"IV/d")</f>
        <v>IV/d</v>
      </c>
      <c r="P164" s="7">
        <f ca="1">IFERROR(__xludf.DUMMYFUNCTION("""COMPUTED_VALUE"""),43922)</f>
        <v>43922</v>
      </c>
      <c r="Q164" s="3"/>
      <c r="R164" s="3" t="str">
        <f ca="1">IFERROR(__xludf.DUMMYFUNCTION("""COMPUTED_VALUE"""),"Lektor")</f>
        <v>Lektor</v>
      </c>
      <c r="S164" s="3" t="str">
        <f ca="1">IFERROR(__xludf.DUMMYFUNCTION("""COMPUTED_VALUE"""),"Lektor")</f>
        <v>Lektor</v>
      </c>
      <c r="T164" s="7">
        <f ca="1">IFERROR(__xludf.DUMMYFUNCTION("""COMPUTED_VALUE"""),44228)</f>
        <v>44228</v>
      </c>
      <c r="U164" s="3" t="str">
        <f ca="1">IFERROR(__xludf.DUMMYFUNCTION("""COMPUTED_VALUE"""),"000835/B.II/3/2021")</f>
        <v>000835/B.II/3/2021</v>
      </c>
      <c r="V164" s="7">
        <f ca="1">IFERROR(__xludf.DUMMYFUNCTION("""COMPUTED_VALUE"""),44228)</f>
        <v>44228</v>
      </c>
      <c r="W164" s="3">
        <f ca="1">IFERROR(__xludf.DUMMYFUNCTION("""COMPUTED_VALUE"""),11)</f>
        <v>11</v>
      </c>
      <c r="X164" s="3"/>
      <c r="Y164" s="3" t="str">
        <f ca="1">IFERROR(__xludf.DUMMYFUNCTION("""COMPUTED_VALUE"""),"S-3")</f>
        <v>S-3</v>
      </c>
      <c r="Z164" s="3" t="str">
        <f ca="1">IFERROR(__xludf.DUMMYFUNCTION("""COMPUTED_VALUE"""),"33 Tahun 10 Bulan 27 Hari")</f>
        <v>33 Tahun 10 Bulan 27 Hari</v>
      </c>
      <c r="AA164" s="8">
        <f ca="1">IFERROR(__xludf.DUMMYFUNCTION("""COMPUTED_VALUE"""),46722)</f>
        <v>46722</v>
      </c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4"/>
      <c r="AR164" s="3"/>
      <c r="AS164" s="4"/>
      <c r="AT164" s="3"/>
      <c r="AU164" s="3"/>
    </row>
    <row r="165" spans="1:47" x14ac:dyDescent="0.2">
      <c r="A165" s="12">
        <v>164</v>
      </c>
      <c r="B165" s="3" t="str">
        <f ca="1">IFERROR(__xludf.DUMMYFUNCTION("""COMPUTED_VALUE"""),"Safrina Muarrifah")</f>
        <v>Safrina Muarrifah</v>
      </c>
      <c r="C165" s="3" t="str">
        <f ca="1">IFERROR(__xludf.DUMMYFUNCTION("""COMPUTED_VALUE"""),"Safrina Muarrifah, S.E., M.Si.")</f>
        <v>Safrina Muarrifah, S.E., M.Si.</v>
      </c>
      <c r="D165" s="3" t="str">
        <f ca="1">IFERROR(__xludf.DUMMYFUNCTION("""COMPUTED_VALUE"""),"Safrina Muarrifah, S.E., M.Si.")</f>
        <v>Safrina Muarrifah, S.E., M.Si.</v>
      </c>
      <c r="E165" s="3" t="str">
        <f ca="1">IFERROR(__xludf.DUMMYFUNCTION("""COMPUTED_VALUE"""),"199212302019032026")</f>
        <v>199212302019032026</v>
      </c>
      <c r="F165" s="3" t="str">
        <f ca="1">IFERROR(__xludf.DUMMYFUNCTION("""COMPUTED_VALUE"""),"19921230 201903 2 026")</f>
        <v>19921230 201903 2 026</v>
      </c>
      <c r="G165" s="3">
        <f ca="1">IFERROR(__xludf.DUMMYFUNCTION("""COMPUTED_VALUE"""),2030129201)</f>
        <v>2030129201</v>
      </c>
      <c r="H165" s="6" t="str">
        <f ca="1">IFERROR(__xludf.DUMMYFUNCTION("""COMPUTED_VALUE"""),"4562770671230263")</f>
        <v>4562770671230263</v>
      </c>
      <c r="I165" s="3" t="str">
        <f ca="1">IFERROR(__xludf.DUMMYFUNCTION("""COMPUTED_VALUE"""),"PNS")</f>
        <v>PNS</v>
      </c>
      <c r="J165" s="3" t="str">
        <f ca="1">IFERROR(__xludf.DUMMYFUNCTION("""COMPUTED_VALUE"""),"Dosen PNS")</f>
        <v>Dosen PNS</v>
      </c>
      <c r="K165" s="5" t="str">
        <f ca="1">IFERROR(__xludf.DUMMYFUNCTION("""COMPUTED_VALUE"""),"P")</f>
        <v>P</v>
      </c>
      <c r="L165" s="3" t="str">
        <f ca="1">IFERROR(__xludf.DUMMYFUNCTION("""COMPUTED_VALUE"""),"Banyumas")</f>
        <v>Banyumas</v>
      </c>
      <c r="M165" s="9">
        <f ca="1">IFERROR(__xludf.DUMMYFUNCTION("""COMPUTED_VALUE"""),33968)</f>
        <v>33968</v>
      </c>
      <c r="N165" s="4" t="str">
        <f ca="1">IFERROR(__xludf.DUMMYFUNCTION("""COMPUTED_VALUE"""),"Penata Muda Tk.I")</f>
        <v>Penata Muda Tk.I</v>
      </c>
      <c r="O165" s="3" t="str">
        <f ca="1">IFERROR(__xludf.DUMMYFUNCTION("""COMPUTED_VALUE"""),"III/b")</f>
        <v>III/b</v>
      </c>
      <c r="P165" s="7">
        <f ca="1">IFERROR(__xludf.DUMMYFUNCTION("""COMPUTED_VALUE"""),43891)</f>
        <v>43891</v>
      </c>
      <c r="Q165" s="3" t="str">
        <f ca="1">IFERROR(__xludf.DUMMYFUNCTION("""COMPUTED_VALUE"""),"520/In.17/R/KP.07.1/2/2020")</f>
        <v>520/In.17/R/KP.07.1/2/2020</v>
      </c>
      <c r="R165" s="3" t="str">
        <f ca="1">IFERROR(__xludf.DUMMYFUNCTION("""COMPUTED_VALUE"""),"Asisten Ahli")</f>
        <v>Asisten Ahli</v>
      </c>
      <c r="S165" s="3" t="str">
        <f ca="1">IFERROR(__xludf.DUMMYFUNCTION("""COMPUTED_VALUE"""),"Asisten Ahli")</f>
        <v>Asisten Ahli</v>
      </c>
      <c r="T165" s="7">
        <f ca="1">IFERROR(__xludf.DUMMYFUNCTION("""COMPUTED_VALUE"""),45047)</f>
        <v>45047</v>
      </c>
      <c r="U165" s="3" t="str">
        <f ca="1">IFERROR(__xludf.DUMMYFUNCTION("""COMPUTED_VALUE"""),"013481/B.II/3/2023")</f>
        <v>013481/B.II/3/2023</v>
      </c>
      <c r="V165" s="7">
        <f ca="1">IFERROR(__xludf.DUMMYFUNCTION("""COMPUTED_VALUE"""),45090)</f>
        <v>45090</v>
      </c>
      <c r="W165" s="3">
        <f ca="1">IFERROR(__xludf.DUMMYFUNCTION("""COMPUTED_VALUE"""),9)</f>
        <v>9</v>
      </c>
      <c r="X165" s="3"/>
      <c r="Y165" s="3" t="str">
        <f ca="1">IFERROR(__xludf.DUMMYFUNCTION("""COMPUTED_VALUE"""),"S-2")</f>
        <v>S-2</v>
      </c>
      <c r="Z165" s="3" t="str">
        <f ca="1">IFERROR(__xludf.DUMMYFUNCTION("""COMPUTED_VALUE"""),"6 Tahun 10 Bulan 27 Hari")</f>
        <v>6 Tahun 10 Bulan 27 Hari</v>
      </c>
      <c r="AA165" s="8">
        <f ca="1">IFERROR(__xludf.DUMMYFUNCTION("""COMPUTED_VALUE"""),57711)</f>
        <v>57711</v>
      </c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4"/>
      <c r="AR165" s="3"/>
      <c r="AS165" s="4"/>
      <c r="AT165" s="3"/>
      <c r="AU165" s="3"/>
    </row>
    <row r="166" spans="1:47" x14ac:dyDescent="0.2">
      <c r="A166" s="12">
        <v>165</v>
      </c>
      <c r="B166" s="3" t="str">
        <f ca="1">IFERROR(__xludf.DUMMYFUNCTION("""COMPUTED_VALUE"""),"Sarpini")</f>
        <v>Sarpini</v>
      </c>
      <c r="C166" s="3" t="str">
        <f ca="1">IFERROR(__xludf.DUMMYFUNCTION("""COMPUTED_VALUE"""),"Dr. Sarpini, M.E.Sy.")</f>
        <v>Dr. Sarpini, M.E.Sy.</v>
      </c>
      <c r="D166" s="3" t="str">
        <f ca="1">IFERROR(__xludf.DUMMYFUNCTION("""COMPUTED_VALUE"""),"Dr. Sarpini, M.E.Sy.")</f>
        <v>Dr. Sarpini, M.E.Sy.</v>
      </c>
      <c r="E166" s="3" t="str">
        <f ca="1">IFERROR(__xludf.DUMMYFUNCTION("""COMPUTED_VALUE"""),"198304042018012001")</f>
        <v>198304042018012001</v>
      </c>
      <c r="F166" s="3" t="str">
        <f ca="1">IFERROR(__xludf.DUMMYFUNCTION("""COMPUTED_VALUE"""),"19830404 201801 2 001")</f>
        <v>19830404 201801 2 001</v>
      </c>
      <c r="G166" s="3">
        <f ca="1">IFERROR(__xludf.DUMMYFUNCTION("""COMPUTED_VALUE"""),2004048302)</f>
        <v>2004048302</v>
      </c>
      <c r="H166" s="6" t="str">
        <f ca="1">IFERROR(__xludf.DUMMYFUNCTION("""COMPUTED_VALUE"""),"3736761662237132")</f>
        <v>3736761662237132</v>
      </c>
      <c r="I166" s="3" t="str">
        <f ca="1">IFERROR(__xludf.DUMMYFUNCTION("""COMPUTED_VALUE"""),"PNS")</f>
        <v>PNS</v>
      </c>
      <c r="J166" s="3" t="str">
        <f ca="1">IFERROR(__xludf.DUMMYFUNCTION("""COMPUTED_VALUE"""),"Dosen PNS")</f>
        <v>Dosen PNS</v>
      </c>
      <c r="K166" s="5" t="str">
        <f ca="1">IFERROR(__xludf.DUMMYFUNCTION("""COMPUTED_VALUE"""),"P")</f>
        <v>P</v>
      </c>
      <c r="L166" s="3" t="str">
        <f ca="1">IFERROR(__xludf.DUMMYFUNCTION("""COMPUTED_VALUE"""),"Rembang")</f>
        <v>Rembang</v>
      </c>
      <c r="M166" s="7">
        <f ca="1">IFERROR(__xludf.DUMMYFUNCTION("""COMPUTED_VALUE"""),30410)</f>
        <v>30410</v>
      </c>
      <c r="N166" s="4" t="str">
        <f ca="1">IFERROR(__xludf.DUMMYFUNCTION("""COMPUTED_VALUE"""),"Penata Tk.I")</f>
        <v>Penata Tk.I</v>
      </c>
      <c r="O166" s="3" t="str">
        <f ca="1">IFERROR(__xludf.DUMMYFUNCTION("""COMPUTED_VALUE"""),"III/d")</f>
        <v>III/d</v>
      </c>
      <c r="P166" s="7">
        <f ca="1">IFERROR(__xludf.DUMMYFUNCTION("""COMPUTED_VALUE"""),45383)</f>
        <v>45383</v>
      </c>
      <c r="Q166" s="3" t="str">
        <f ca="1">IFERROR(__xludf.DUMMYFUNCTION("""COMPUTED_VALUE"""),"512/Un.19/K.AUPK/KP.07.1/03/2024")</f>
        <v>512/Un.19/K.AUPK/KP.07.1/03/2024</v>
      </c>
      <c r="R166" s="3" t="str">
        <f ca="1">IFERROR(__xludf.DUMMYFUNCTION("""COMPUTED_VALUE"""),"Lektor")</f>
        <v>Lektor</v>
      </c>
      <c r="S166" s="3" t="str">
        <f ca="1">IFERROR(__xludf.DUMMYFUNCTION("""COMPUTED_VALUE"""),"Lektor")</f>
        <v>Lektor</v>
      </c>
      <c r="T166" s="7">
        <f ca="1">IFERROR(__xludf.DUMMYFUNCTION("""COMPUTED_VALUE"""),44440)</f>
        <v>44440</v>
      </c>
      <c r="U166" s="3"/>
      <c r="V166" s="3"/>
      <c r="W166" s="3">
        <f ca="1">IFERROR(__xludf.DUMMYFUNCTION("""COMPUTED_VALUE"""),11)</f>
        <v>11</v>
      </c>
      <c r="X166" s="3"/>
      <c r="Y166" s="3" t="str">
        <f ca="1">IFERROR(__xludf.DUMMYFUNCTION("""COMPUTED_VALUE"""),"S-3")</f>
        <v>S-3</v>
      </c>
      <c r="Z166" s="3" t="str">
        <f ca="1">IFERROR(__xludf.DUMMYFUNCTION("""COMPUTED_VALUE"""),"8 Tahun 0 Bulan 27 Hari")</f>
        <v>8 Tahun 0 Bulan 27 Hari</v>
      </c>
      <c r="AA166" s="8">
        <f ca="1">IFERROR(__xludf.DUMMYFUNCTION("""COMPUTED_VALUE"""),54179)</f>
        <v>54179</v>
      </c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4"/>
      <c r="AR166" s="3"/>
      <c r="AS166" s="4"/>
      <c r="AT166" s="3"/>
      <c r="AU166" s="3"/>
    </row>
    <row r="167" spans="1:47" x14ac:dyDescent="0.2">
      <c r="A167" s="12">
        <v>166</v>
      </c>
      <c r="B167" s="3" t="str">
        <f ca="1">IFERROR(__xludf.DUMMYFUNCTION("""COMPUTED_VALUE"""),"Shobrun Jamil")</f>
        <v>Shobrun Jamil</v>
      </c>
      <c r="C167" s="3" t="str">
        <f ca="1">IFERROR(__xludf.DUMMYFUNCTION("""COMPUTED_VALUE"""),"Dr. Shobrun Jamil, S.Pd.I., M.A.")</f>
        <v>Dr. Shobrun Jamil, S.Pd.I., M.A.</v>
      </c>
      <c r="D167" s="3" t="str">
        <f ca="1">IFERROR(__xludf.DUMMYFUNCTION("""COMPUTED_VALUE"""),"Dr. Shobrun Jamil, S.Pd.I., M.A.")</f>
        <v>Dr. Shobrun Jamil, S.Pd.I., M.A.</v>
      </c>
      <c r="E167" s="3" t="str">
        <f ca="1">IFERROR(__xludf.DUMMYFUNCTION("""COMPUTED_VALUE"""),"197712292009031002")</f>
        <v>197712292009031002</v>
      </c>
      <c r="F167" s="3" t="str">
        <f ca="1">IFERROR(__xludf.DUMMYFUNCTION("""COMPUTED_VALUE"""),"19771229 200903 1 002")</f>
        <v>19771229 200903 1 002</v>
      </c>
      <c r="G167" s="3"/>
      <c r="H167" s="6" t="str">
        <f ca="1">IFERROR(__xludf.DUMMYFUNCTION("""COMPUTED_VALUE"""),"1561755661200003")</f>
        <v>1561755661200003</v>
      </c>
      <c r="I167" s="3" t="str">
        <f ca="1">IFERROR(__xludf.DUMMYFUNCTION("""COMPUTED_VALUE"""),"PNS")</f>
        <v>PNS</v>
      </c>
      <c r="J167" s="3" t="str">
        <f ca="1">IFERROR(__xludf.DUMMYFUNCTION("""COMPUTED_VALUE"""),"Dosen PNS")</f>
        <v>Dosen PNS</v>
      </c>
      <c r="K167" s="5" t="str">
        <f ca="1">IFERROR(__xludf.DUMMYFUNCTION("""COMPUTED_VALUE"""),"L")</f>
        <v>L</v>
      </c>
      <c r="L167" s="3" t="str">
        <f ca="1">IFERROR(__xludf.DUMMYFUNCTION("""COMPUTED_VALUE"""),"Brebes")</f>
        <v>Brebes</v>
      </c>
      <c r="M167" s="9">
        <f ca="1">IFERROR(__xludf.DUMMYFUNCTION("""COMPUTED_VALUE"""),28488)</f>
        <v>28488</v>
      </c>
      <c r="N167" s="4" t="str">
        <f ca="1">IFERROR(__xludf.DUMMYFUNCTION("""COMPUTED_VALUE"""),"Pembina")</f>
        <v>Pembina</v>
      </c>
      <c r="O167" s="3" t="str">
        <f ca="1">IFERROR(__xludf.DUMMYFUNCTION("""COMPUTED_VALUE"""),"IV/a")</f>
        <v>IV/a</v>
      </c>
      <c r="P167" s="7">
        <f ca="1">IFERROR(__xludf.DUMMYFUNCTION("""COMPUTED_VALUE"""),45748)</f>
        <v>45748</v>
      </c>
      <c r="Q167" s="3" t="str">
        <f ca="1">IFERROR(__xludf.DUMMYFUNCTION("""COMPUTED_VALUE"""),"290/Un.19/K.AUPK/KP.11.1/02/2025")</f>
        <v>290/Un.19/K.AUPK/KP.11.1/02/2025</v>
      </c>
      <c r="R167" s="3" t="str">
        <f ca="1">IFERROR(__xludf.DUMMYFUNCTION("""COMPUTED_VALUE"""),"Lektor")</f>
        <v>Lektor</v>
      </c>
      <c r="S167" s="3" t="str">
        <f ca="1">IFERROR(__xludf.DUMMYFUNCTION("""COMPUTED_VALUE"""),"Lektor")</f>
        <v>Lektor</v>
      </c>
      <c r="T167" s="7">
        <f ca="1">IFERROR(__xludf.DUMMYFUNCTION("""COMPUTED_VALUE"""),45748)</f>
        <v>45748</v>
      </c>
      <c r="U167" s="3" t="str">
        <f ca="1">IFERROR(__xludf.DUMMYFUNCTION("""COMPUTED_VALUE"""),"171270/B.II/KP.07.6/03/2025")</f>
        <v>171270/B.II/KP.07.6/03/2025</v>
      </c>
      <c r="V167" s="7">
        <f ca="1">IFERROR(__xludf.DUMMYFUNCTION("""COMPUTED_VALUE"""),45740)</f>
        <v>45740</v>
      </c>
      <c r="W167" s="3">
        <f ca="1">IFERROR(__xludf.DUMMYFUNCTION("""COMPUTED_VALUE"""),11)</f>
        <v>11</v>
      </c>
      <c r="X167" s="3"/>
      <c r="Y167" s="3" t="str">
        <f ca="1">IFERROR(__xludf.DUMMYFUNCTION("""COMPUTED_VALUE"""),"S-3")</f>
        <v>S-3</v>
      </c>
      <c r="Z167" s="3" t="str">
        <f ca="1">IFERROR(__xludf.DUMMYFUNCTION("""COMPUTED_VALUE"""),"16 Tahun 10 Bulan 27 Hari")</f>
        <v>16 Tahun 10 Bulan 27 Hari</v>
      </c>
      <c r="AA167" s="8">
        <f ca="1">IFERROR(__xludf.DUMMYFUNCTION("""COMPUTED_VALUE"""),52232)</f>
        <v>52232</v>
      </c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4"/>
      <c r="AR167" s="3"/>
      <c r="AS167" s="4"/>
      <c r="AT167" s="3"/>
      <c r="AU167" s="3"/>
    </row>
    <row r="168" spans="1:47" x14ac:dyDescent="0.2">
      <c r="A168" s="12">
        <v>167</v>
      </c>
      <c r="B168" s="3" t="str">
        <f ca="1">IFERROR(__xludf.DUMMYFUNCTION("""COMPUTED_VALUE"""),"Shofiyulloh")</f>
        <v>Shofiyulloh</v>
      </c>
      <c r="C168" s="3" t="str">
        <f ca="1">IFERROR(__xludf.DUMMYFUNCTION("""COMPUTED_VALUE"""),"Shofiyulloh, M.H.I.")</f>
        <v>Shofiyulloh, M.H.I.</v>
      </c>
      <c r="D168" s="3" t="str">
        <f ca="1">IFERROR(__xludf.DUMMYFUNCTION("""COMPUTED_VALUE"""),"Dr. Shofiyulloh, M.H.I.")</f>
        <v>Dr. Shofiyulloh, M.H.I.</v>
      </c>
      <c r="E168" s="3" t="str">
        <f ca="1">IFERROR(__xludf.DUMMYFUNCTION("""COMPUTED_VALUE"""),"198707032019031004")</f>
        <v>198707032019031004</v>
      </c>
      <c r="F168" s="3" t="str">
        <f ca="1">IFERROR(__xludf.DUMMYFUNCTION("""COMPUTED_VALUE"""),"19870703 201903 1 004")</f>
        <v>19870703 201903 1 004</v>
      </c>
      <c r="G168" s="3" t="str">
        <f ca="1">IFERROR(__xludf.DUMMYFUNCTION("""COMPUTED_VALUE"""),"0003078704")</f>
        <v>0003078704</v>
      </c>
      <c r="H168" s="6" t="str">
        <f ca="1">IFERROR(__xludf.DUMMYFUNCTION("""COMPUTED_VALUE"""),"2035765666130343")</f>
        <v>2035765666130343</v>
      </c>
      <c r="I168" s="3" t="str">
        <f ca="1">IFERROR(__xludf.DUMMYFUNCTION("""COMPUTED_VALUE"""),"PNS")</f>
        <v>PNS</v>
      </c>
      <c r="J168" s="3" t="str">
        <f ca="1">IFERROR(__xludf.DUMMYFUNCTION("""COMPUTED_VALUE"""),"Dosen PNS")</f>
        <v>Dosen PNS</v>
      </c>
      <c r="K168" s="5" t="str">
        <f ca="1">IFERROR(__xludf.DUMMYFUNCTION("""COMPUTED_VALUE"""),"L")</f>
        <v>L</v>
      </c>
      <c r="L168" s="3" t="str">
        <f ca="1">IFERROR(__xludf.DUMMYFUNCTION("""COMPUTED_VALUE"""),"Cirebon")</f>
        <v>Cirebon</v>
      </c>
      <c r="M168" s="7">
        <f ca="1">IFERROR(__xludf.DUMMYFUNCTION("""COMPUTED_VALUE"""),31961)</f>
        <v>31961</v>
      </c>
      <c r="N168" s="4" t="str">
        <f ca="1">IFERROR(__xludf.DUMMYFUNCTION("""COMPUTED_VALUE"""),"Penata Tk.I")</f>
        <v>Penata Tk.I</v>
      </c>
      <c r="O168" s="3" t="str">
        <f ca="1">IFERROR(__xludf.DUMMYFUNCTION("""COMPUTED_VALUE"""),"III/d")</f>
        <v>III/d</v>
      </c>
      <c r="P168" s="7">
        <f ca="1">IFERROR(__xludf.DUMMYFUNCTION("""COMPUTED_VALUE"""),46023)</f>
        <v>46023</v>
      </c>
      <c r="Q168" s="3" t="str">
        <f ca="1">IFERROR(__xludf.DUMMYFUNCTION("""COMPUTED_VALUE"""),"219692/B.II/KP.07.1/12/2025")</f>
        <v>219692/B.II/KP.07.1/12/2025</v>
      </c>
      <c r="R168" s="3" t="str">
        <f ca="1">IFERROR(__xludf.DUMMYFUNCTION("""COMPUTED_VALUE"""),"Lektor")</f>
        <v>Lektor</v>
      </c>
      <c r="S168" s="3" t="str">
        <f ca="1">IFERROR(__xludf.DUMMYFUNCTION("""COMPUTED_VALUE"""),"Lektor")</f>
        <v>Lektor</v>
      </c>
      <c r="T168" s="7">
        <f ca="1">IFERROR(__xludf.DUMMYFUNCTION("""COMPUTED_VALUE"""),45047)</f>
        <v>45047</v>
      </c>
      <c r="U168" s="3" t="str">
        <f ca="1">IFERROR(__xludf.DUMMYFUNCTION("""COMPUTED_VALUE"""),"680/Un.19/K.AUPK/Kp.07.6/5/2023")</f>
        <v>680/Un.19/K.AUPK/Kp.07.6/5/2023</v>
      </c>
      <c r="V168" s="7">
        <f ca="1">IFERROR(__xludf.DUMMYFUNCTION("""COMPUTED_VALUE"""),45051)</f>
        <v>45051</v>
      </c>
      <c r="W168" s="3">
        <f ca="1">IFERROR(__xludf.DUMMYFUNCTION("""COMPUTED_VALUE"""),11)</f>
        <v>11</v>
      </c>
      <c r="X168" s="3"/>
      <c r="Y168" s="3" t="str">
        <f ca="1">IFERROR(__xludf.DUMMYFUNCTION("""COMPUTED_VALUE"""),"S-3")</f>
        <v>S-3</v>
      </c>
      <c r="Z168" s="3" t="str">
        <f ca="1">IFERROR(__xludf.DUMMYFUNCTION("""COMPUTED_VALUE"""),"6 Tahun 10 Bulan 27 Hari")</f>
        <v>6 Tahun 10 Bulan 27 Hari</v>
      </c>
      <c r="AA168" s="8">
        <f ca="1">IFERROR(__xludf.DUMMYFUNCTION("""COMPUTED_VALUE"""),55732)</f>
        <v>55732</v>
      </c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4"/>
      <c r="AR168" s="3"/>
      <c r="AS168" s="4"/>
      <c r="AT168" s="3"/>
      <c r="AU168" s="3"/>
    </row>
    <row r="169" spans="1:47" x14ac:dyDescent="0.2">
      <c r="A169" s="12">
        <v>168</v>
      </c>
      <c r="B169" s="3" t="str">
        <f ca="1">IFERROR(__xludf.DUMMYFUNCTION("""COMPUTED_VALUE"""),"Sidik Fauji")</f>
        <v>Sidik Fauji</v>
      </c>
      <c r="C169" s="3" t="str">
        <f ca="1">IFERROR(__xludf.DUMMYFUNCTION("""COMPUTED_VALUE"""),"Sidik Fauji, M.Hum.")</f>
        <v>Sidik Fauji, M.Hum.</v>
      </c>
      <c r="D169" s="3" t="str">
        <f ca="1">IFERROR(__xludf.DUMMYFUNCTION("""COMPUTED_VALUE"""),"Sidik Fauji, M.Hum.")</f>
        <v>Sidik Fauji, M.Hum.</v>
      </c>
      <c r="E169" s="3" t="str">
        <f ca="1">IFERROR(__xludf.DUMMYFUNCTION("""COMPUTED_VALUE"""),"199201242018011002")</f>
        <v>199201242018011002</v>
      </c>
      <c r="F169" s="3" t="str">
        <f ca="1">IFERROR(__xludf.DUMMYFUNCTION("""COMPUTED_VALUE"""),"19920124 201801 1 002")</f>
        <v>19920124 201801 1 002</v>
      </c>
      <c r="G169" s="3">
        <f ca="1">IFERROR(__xludf.DUMMYFUNCTION("""COMPUTED_VALUE"""),2024019201)</f>
        <v>2024019201</v>
      </c>
      <c r="H169" s="6" t="str">
        <f ca="1">IFERROR(__xludf.DUMMYFUNCTION("""COMPUTED_VALUE"""),"2456770671130262")</f>
        <v>2456770671130262</v>
      </c>
      <c r="I169" s="3" t="str">
        <f ca="1">IFERROR(__xludf.DUMMYFUNCTION("""COMPUTED_VALUE"""),"PNS")</f>
        <v>PNS</v>
      </c>
      <c r="J169" s="3" t="str">
        <f ca="1">IFERROR(__xludf.DUMMYFUNCTION("""COMPUTED_VALUE"""),"Dosen PNS")</f>
        <v>Dosen PNS</v>
      </c>
      <c r="K169" s="5" t="str">
        <f ca="1">IFERROR(__xludf.DUMMYFUNCTION("""COMPUTED_VALUE"""),"L")</f>
        <v>L</v>
      </c>
      <c r="L169" s="3" t="str">
        <f ca="1">IFERROR(__xludf.DUMMYFUNCTION("""COMPUTED_VALUE"""),"Kebumen")</f>
        <v>Kebumen</v>
      </c>
      <c r="M169" s="7">
        <f ca="1">IFERROR(__xludf.DUMMYFUNCTION("""COMPUTED_VALUE"""),33627)</f>
        <v>33627</v>
      </c>
      <c r="N169" s="4" t="str">
        <f ca="1">IFERROR(__xludf.DUMMYFUNCTION("""COMPUTED_VALUE"""),"Penata Tk.I")</f>
        <v>Penata Tk.I</v>
      </c>
      <c r="O169" s="3" t="str">
        <f ca="1">IFERROR(__xludf.DUMMYFUNCTION("""COMPUTED_VALUE"""),"III/d")</f>
        <v>III/d</v>
      </c>
      <c r="P169" s="7">
        <f ca="1">IFERROR(__xludf.DUMMYFUNCTION("""COMPUTED_VALUE"""),45383)</f>
        <v>45383</v>
      </c>
      <c r="Q169" s="3" t="str">
        <f ca="1">IFERROR(__xludf.DUMMYFUNCTION("""COMPUTED_VALUE"""),"507/Un.19/K.AUPK/KP.07.1/03/2024")</f>
        <v>507/Un.19/K.AUPK/KP.07.1/03/2024</v>
      </c>
      <c r="R169" s="3" t="str">
        <f ca="1">IFERROR(__xludf.DUMMYFUNCTION("""COMPUTED_VALUE"""),"Lektor")</f>
        <v>Lektor</v>
      </c>
      <c r="S169" s="3" t="str">
        <f ca="1">IFERROR(__xludf.DUMMYFUNCTION("""COMPUTED_VALUE"""),"Lektor")</f>
        <v>Lektor</v>
      </c>
      <c r="T169" s="7">
        <f ca="1">IFERROR(__xludf.DUMMYFUNCTION("""COMPUTED_VALUE"""),44440)</f>
        <v>44440</v>
      </c>
      <c r="U169" s="3"/>
      <c r="V169" s="3"/>
      <c r="W169" s="3">
        <f ca="1">IFERROR(__xludf.DUMMYFUNCTION("""COMPUTED_VALUE"""),11)</f>
        <v>11</v>
      </c>
      <c r="X169" s="7" t="str">
        <f ca="1">IFERROR(__xludf.DUMMYFUNCTION("""COMPUTED_VALUE"""),"Kepala Laboratorium Pada Fakultas Ushuluddin, Adab, dan Humaniora")</f>
        <v>Kepala Laboratorium Pada Fakultas Ushuluddin, Adab, dan Humaniora</v>
      </c>
      <c r="Y169" s="3" t="str">
        <f ca="1">IFERROR(__xludf.DUMMYFUNCTION("""COMPUTED_VALUE"""),"S-2")</f>
        <v>S-2</v>
      </c>
      <c r="Z169" s="3" t="str">
        <f ca="1">IFERROR(__xludf.DUMMYFUNCTION("""COMPUTED_VALUE"""),"8 Tahun 0 Bulan 27 Hari")</f>
        <v>8 Tahun 0 Bulan 27 Hari</v>
      </c>
      <c r="AA169" s="8">
        <f ca="1">IFERROR(__xludf.DUMMYFUNCTION("""COMPUTED_VALUE"""),57377)</f>
        <v>57377</v>
      </c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4"/>
      <c r="AR169" s="3"/>
      <c r="AS169" s="4"/>
      <c r="AT169" s="3"/>
      <c r="AU169" s="3"/>
    </row>
    <row r="170" spans="1:47" x14ac:dyDescent="0.2">
      <c r="A170" s="12">
        <v>169</v>
      </c>
      <c r="B170" s="3" t="str">
        <f ca="1">IFERROR(__xludf.DUMMYFUNCTION("""COMPUTED_VALUE"""),"Siswadi")</f>
        <v>Siswadi</v>
      </c>
      <c r="C170" s="3" t="str">
        <f ca="1">IFERROR(__xludf.DUMMYFUNCTION("""COMPUTED_VALUE"""),"Dr. H. Siswadi, M.Ag.")</f>
        <v>Dr. H. Siswadi, M.Ag.</v>
      </c>
      <c r="D170" s="3" t="str">
        <f ca="1">IFERROR(__xludf.DUMMYFUNCTION("""COMPUTED_VALUE"""),"Dr. H. Siswadi, M.Ag.")</f>
        <v>Dr. H. Siswadi, M.Ag.</v>
      </c>
      <c r="E170" s="3" t="str">
        <f ca="1">IFERROR(__xludf.DUMMYFUNCTION("""COMPUTED_VALUE"""),"197010102000031004")</f>
        <v>197010102000031004</v>
      </c>
      <c r="F170" s="3" t="str">
        <f ca="1">IFERROR(__xludf.DUMMYFUNCTION("""COMPUTED_VALUE"""),"19701010 200003 1 004")</f>
        <v>19701010 200003 1 004</v>
      </c>
      <c r="G170" s="3">
        <f ca="1">IFERROR(__xludf.DUMMYFUNCTION("""COMPUTED_VALUE"""),2010107004)</f>
        <v>2010107004</v>
      </c>
      <c r="H170" s="6" t="str">
        <f ca="1">IFERROR(__xludf.DUMMYFUNCTION("""COMPUTED_VALUE"""),"0342748649137043")</f>
        <v>0342748649137043</v>
      </c>
      <c r="I170" s="3" t="str">
        <f ca="1">IFERROR(__xludf.DUMMYFUNCTION("""COMPUTED_VALUE"""),"PNS")</f>
        <v>PNS</v>
      </c>
      <c r="J170" s="3" t="str">
        <f ca="1">IFERROR(__xludf.DUMMYFUNCTION("""COMPUTED_VALUE"""),"Dosen PNS")</f>
        <v>Dosen PNS</v>
      </c>
      <c r="K170" s="5" t="str">
        <f ca="1">IFERROR(__xludf.DUMMYFUNCTION("""COMPUTED_VALUE"""),"L")</f>
        <v>L</v>
      </c>
      <c r="L170" s="3" t="str">
        <f ca="1">IFERROR(__xludf.DUMMYFUNCTION("""COMPUTED_VALUE"""),"Banyumas")</f>
        <v>Banyumas</v>
      </c>
      <c r="M170" s="9">
        <f ca="1">IFERROR(__xludf.DUMMYFUNCTION("""COMPUTED_VALUE"""),25851)</f>
        <v>25851</v>
      </c>
      <c r="N170" s="4" t="str">
        <f ca="1">IFERROR(__xludf.DUMMYFUNCTION("""COMPUTED_VALUE"""),"Pembina Tk.I")</f>
        <v>Pembina Tk.I</v>
      </c>
      <c r="O170" s="3" t="str">
        <f ca="1">IFERROR(__xludf.DUMMYFUNCTION("""COMPUTED_VALUE"""),"IV/b")</f>
        <v>IV/b</v>
      </c>
      <c r="P170" s="7">
        <f ca="1">IFERROR(__xludf.DUMMYFUNCTION("""COMPUTED_VALUE"""),45383)</f>
        <v>45383</v>
      </c>
      <c r="Q170" s="3" t="str">
        <f ca="1">IFERROR(__xludf.DUMMYFUNCTION("""COMPUTED_VALUE"""),"014641/B.II/3/2024")</f>
        <v>014641/B.II/3/2024</v>
      </c>
      <c r="R170" s="3" t="str">
        <f ca="1">IFERROR(__xludf.DUMMYFUNCTION("""COMPUTED_VALUE"""),"Lektor Kepala")</f>
        <v>Lektor Kepala</v>
      </c>
      <c r="S170" s="3" t="str">
        <f ca="1">IFERROR(__xludf.DUMMYFUNCTION("""COMPUTED_VALUE"""),"Lektor Kepala")</f>
        <v>Lektor Kepala</v>
      </c>
      <c r="T170" s="7">
        <f ca="1">IFERROR(__xludf.DUMMYFUNCTION("""COMPUTED_VALUE"""),41640)</f>
        <v>41640</v>
      </c>
      <c r="U170" s="3" t="str">
        <f ca="1">IFERROR(__xludf.DUMMYFUNCTION("""COMPUTED_VALUE"""),"B.II/3/12427")</f>
        <v>B.II/3/12427</v>
      </c>
      <c r="V170" s="7">
        <f ca="1">IFERROR(__xludf.DUMMYFUNCTION("""COMPUTED_VALUE"""),41640)</f>
        <v>41640</v>
      </c>
      <c r="W170" s="3">
        <f ca="1">IFERROR(__xludf.DUMMYFUNCTION("""COMPUTED_VALUE"""),13)</f>
        <v>13</v>
      </c>
      <c r="X170" s="7" t="str">
        <f ca="1">IFERROR(__xludf.DUMMYFUNCTION("""COMPUTED_VALUE"""),"Ketua Program Studi S-2 Pendidikan Guru Madrasah Ibtidaiyyah Pascasarjana")</f>
        <v>Ketua Program Studi S-2 Pendidikan Guru Madrasah Ibtidaiyyah Pascasarjana</v>
      </c>
      <c r="Y170" s="3" t="str">
        <f ca="1">IFERROR(__xludf.DUMMYFUNCTION("""COMPUTED_VALUE"""),"S-3")</f>
        <v>S-3</v>
      </c>
      <c r="Z170" s="3" t="str">
        <f ca="1">IFERROR(__xludf.DUMMYFUNCTION("""COMPUTED_VALUE"""),"25 Tahun 10 Bulan 27 Hari")</f>
        <v>25 Tahun 10 Bulan 27 Hari</v>
      </c>
      <c r="AA170" s="8">
        <f ca="1">IFERROR(__xludf.DUMMYFUNCTION("""COMPUTED_VALUE"""),49614)</f>
        <v>49614</v>
      </c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4"/>
      <c r="AR170" s="3"/>
      <c r="AS170" s="4"/>
      <c r="AT170" s="3"/>
      <c r="AU170" s="3"/>
    </row>
    <row r="171" spans="1:47" x14ac:dyDescent="0.2">
      <c r="A171" s="12">
        <v>170</v>
      </c>
      <c r="B171" s="3" t="str">
        <f ca="1">IFERROR(__xludf.DUMMYFUNCTION("""COMPUTED_VALUE"""),"Siti Maghfiroh")</f>
        <v>Siti Maghfiroh</v>
      </c>
      <c r="C171" s="3" t="str">
        <f ca="1">IFERROR(__xludf.DUMMYFUNCTION("""COMPUTED_VALUE"""),"Siti Maghfiroh, S.E.Sy., M.E.")</f>
        <v>Siti Maghfiroh, S.E.Sy., M.E.</v>
      </c>
      <c r="D171" s="3" t="str">
        <f ca="1">IFERROR(__xludf.DUMMYFUNCTION("""COMPUTED_VALUE"""),"Siti Maghfiroh, S.E.Sy., M.E.")</f>
        <v>Siti Maghfiroh, S.E.Sy., M.E.</v>
      </c>
      <c r="E171" s="3" t="str">
        <f ca="1">IFERROR(__xludf.DUMMYFUNCTION("""COMPUTED_VALUE"""),"198506012020122009")</f>
        <v>198506012020122009</v>
      </c>
      <c r="F171" s="3" t="str">
        <f ca="1">IFERROR(__xludf.DUMMYFUNCTION("""COMPUTED_VALUE"""),"‌19850601 202012 2 009")</f>
        <v>‌19850601 202012 2 009</v>
      </c>
      <c r="G171" s="3">
        <f ca="1">IFERROR(__xludf.DUMMYFUNCTION("""COMPUTED_VALUE"""),2001068503)</f>
        <v>2001068503</v>
      </c>
      <c r="H171" s="6" t="str">
        <f ca="1">IFERROR(__xludf.DUMMYFUNCTION("""COMPUTED_VALUE"""),"1933763664231132")</f>
        <v>1933763664231132</v>
      </c>
      <c r="I171" s="3" t="str">
        <f ca="1">IFERROR(__xludf.DUMMYFUNCTION("""COMPUTED_VALUE"""),"PNS")</f>
        <v>PNS</v>
      </c>
      <c r="J171" s="3" t="str">
        <f ca="1">IFERROR(__xludf.DUMMYFUNCTION("""COMPUTED_VALUE"""),"Dosen PNS")</f>
        <v>Dosen PNS</v>
      </c>
      <c r="K171" s="5" t="str">
        <f ca="1">IFERROR(__xludf.DUMMYFUNCTION("""COMPUTED_VALUE"""),"P")</f>
        <v>P</v>
      </c>
      <c r="L171" s="3" t="str">
        <f ca="1">IFERROR(__xludf.DUMMYFUNCTION("""COMPUTED_VALUE"""),"Cilacap")</f>
        <v>Cilacap</v>
      </c>
      <c r="M171" s="7">
        <f ca="1">IFERROR(__xludf.DUMMYFUNCTION("""COMPUTED_VALUE"""),31199)</f>
        <v>31199</v>
      </c>
      <c r="N171" s="4" t="str">
        <f ca="1">IFERROR(__xludf.DUMMYFUNCTION("""COMPUTED_VALUE"""),"Penata Muda Tk.I")</f>
        <v>Penata Muda Tk.I</v>
      </c>
      <c r="O171" s="3" t="str">
        <f ca="1">IFERROR(__xludf.DUMMYFUNCTION("""COMPUTED_VALUE"""),"III/b")</f>
        <v>III/b</v>
      </c>
      <c r="P171" s="7">
        <f ca="1">IFERROR(__xludf.DUMMYFUNCTION("""COMPUTED_VALUE"""),44562)</f>
        <v>44562</v>
      </c>
      <c r="Q171" s="3" t="str">
        <f ca="1">IFERROR(__xludf.DUMMYFUNCTION("""COMPUTED_VALUE"""),"3560/Un.19/R/KP 00.3/12/2021")</f>
        <v>3560/Un.19/R/KP 00.3/12/2021</v>
      </c>
      <c r="R171" s="3" t="str">
        <f ca="1">IFERROR(__xludf.DUMMYFUNCTION("""COMPUTED_VALUE"""),"Asisten Ahli")</f>
        <v>Asisten Ahli</v>
      </c>
      <c r="S171" s="3" t="str">
        <f ca="1">IFERROR(__xludf.DUMMYFUNCTION("""COMPUTED_VALUE"""),"Asisten Ahli")</f>
        <v>Asisten Ahli</v>
      </c>
      <c r="T171" s="7">
        <f ca="1">IFERROR(__xludf.DUMMYFUNCTION("""COMPUTED_VALUE"""),44986)</f>
        <v>44986</v>
      </c>
      <c r="U171" s="3" t="str">
        <f ca="1">IFERROR(__xludf.DUMMYFUNCTION("""COMPUTED_VALUE"""),"013490/B.II/3/2023")</f>
        <v>013490/B.II/3/2023</v>
      </c>
      <c r="V171" s="7">
        <f ca="1">IFERROR(__xludf.DUMMYFUNCTION("""COMPUTED_VALUE"""),45090)</f>
        <v>45090</v>
      </c>
      <c r="W171" s="3">
        <f ca="1">IFERROR(__xludf.DUMMYFUNCTION("""COMPUTED_VALUE"""),9)</f>
        <v>9</v>
      </c>
      <c r="X171" s="3"/>
      <c r="Y171" s="3" t="str">
        <f ca="1">IFERROR(__xludf.DUMMYFUNCTION("""COMPUTED_VALUE"""),"S-2")</f>
        <v>S-2</v>
      </c>
      <c r="Z171" s="3" t="str">
        <f ca="1">IFERROR(__xludf.DUMMYFUNCTION("""COMPUTED_VALUE"""),"5 Tahun 1 Bulan 27 Hari")</f>
        <v>5 Tahun 1 Bulan 27 Hari</v>
      </c>
      <c r="AA171" s="8">
        <f ca="1">IFERROR(__xludf.DUMMYFUNCTION("""COMPUTED_VALUE"""),54970)</f>
        <v>54970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4"/>
      <c r="AR171" s="3"/>
      <c r="AS171" s="4"/>
      <c r="AT171" s="3"/>
      <c r="AU171" s="3"/>
    </row>
    <row r="172" spans="1:47" x14ac:dyDescent="0.2">
      <c r="A172" s="12">
        <v>171</v>
      </c>
      <c r="B172" s="3" t="str">
        <f ca="1">IFERROR(__xludf.DUMMYFUNCTION("""COMPUTED_VALUE"""),"Siti Sarah")</f>
        <v>Siti Sarah</v>
      </c>
      <c r="C172" s="3" t="str">
        <f ca="1">IFERROR(__xludf.DUMMYFUNCTION("""COMPUTED_VALUE"""),"Dr. Siti Sarah, S.Pd.Si., M.Pd.")</f>
        <v>Dr. Siti Sarah, S.Pd.Si., M.Pd.</v>
      </c>
      <c r="D172" s="3" t="str">
        <f ca="1">IFERROR(__xludf.DUMMYFUNCTION("""COMPUTED_VALUE"""),"Dr. Siti Sarah, S.Pd.Si., M.Pd.")</f>
        <v>Dr. Siti Sarah, S.Pd.Si., M.Pd.</v>
      </c>
      <c r="E172" s="3" t="str">
        <f ca="1">IFERROR(__xludf.DUMMYFUNCTION("""COMPUTED_VALUE"""),"198205252020122001")</f>
        <v>198205252020122001</v>
      </c>
      <c r="F172" s="3" t="str">
        <f ca="1">IFERROR(__xludf.DUMMYFUNCTION("""COMPUTED_VALUE"""),"‌19820525 202012 2 001")</f>
        <v>‌19820525 202012 2 001</v>
      </c>
      <c r="G172" s="3" t="str">
        <f ca="1">IFERROR(__xludf.DUMMYFUNCTION("""COMPUTED_VALUE"""),"0625058205")</f>
        <v>0625058205</v>
      </c>
      <c r="H172" s="6" t="str">
        <f ca="1">IFERROR(__xludf.DUMMYFUNCTION("""COMPUTED_VALUE"""),"9857760661231132")</f>
        <v>9857760661231132</v>
      </c>
      <c r="I172" s="3" t="str">
        <f ca="1">IFERROR(__xludf.DUMMYFUNCTION("""COMPUTED_VALUE"""),"PNS")</f>
        <v>PNS</v>
      </c>
      <c r="J172" s="3" t="str">
        <f ca="1">IFERROR(__xludf.DUMMYFUNCTION("""COMPUTED_VALUE"""),"Dosen PNS")</f>
        <v>Dosen PNS</v>
      </c>
      <c r="K172" s="5" t="str">
        <f ca="1">IFERROR(__xludf.DUMMYFUNCTION("""COMPUTED_VALUE"""),"P")</f>
        <v>P</v>
      </c>
      <c r="L172" s="3" t="str">
        <f ca="1">IFERROR(__xludf.DUMMYFUNCTION("""COMPUTED_VALUE"""),"Purbalingga")</f>
        <v>Purbalingga</v>
      </c>
      <c r="M172" s="7">
        <f ca="1">IFERROR(__xludf.DUMMYFUNCTION("""COMPUTED_VALUE"""),30096)</f>
        <v>30096</v>
      </c>
      <c r="N172" s="4" t="str">
        <f ca="1">IFERROR(__xludf.DUMMYFUNCTION("""COMPUTED_VALUE"""),"Penata Tk.I")</f>
        <v>Penata Tk.I</v>
      </c>
      <c r="O172" s="3" t="str">
        <f ca="1">IFERROR(__xludf.DUMMYFUNCTION("""COMPUTED_VALUE"""),"III/d")</f>
        <v>III/d</v>
      </c>
      <c r="P172" s="7">
        <f ca="1">IFERROR(__xludf.DUMMYFUNCTION("""COMPUTED_VALUE"""),45383)</f>
        <v>45383</v>
      </c>
      <c r="Q172" s="3" t="str">
        <f ca="1">IFERROR(__xludf.DUMMYFUNCTION("""COMPUTED_VALUE"""),"517/Un.19/K.AUPK/KP.07.1/03/2024")</f>
        <v>517/Un.19/K.AUPK/KP.07.1/03/2024</v>
      </c>
      <c r="R172" s="3" t="str">
        <f ca="1">IFERROR(__xludf.DUMMYFUNCTION("""COMPUTED_VALUE"""),"Lektor")</f>
        <v>Lektor</v>
      </c>
      <c r="S172" s="3" t="str">
        <f ca="1">IFERROR(__xludf.DUMMYFUNCTION("""COMPUTED_VALUE"""),"Lektor")</f>
        <v>Lektor</v>
      </c>
      <c r="T172" s="7">
        <f ca="1">IFERROR(__xludf.DUMMYFUNCTION("""COMPUTED_VALUE"""),44713)</f>
        <v>44713</v>
      </c>
      <c r="U172" s="3"/>
      <c r="V172" s="3"/>
      <c r="W172" s="3">
        <f ca="1">IFERROR(__xludf.DUMMYFUNCTION("""COMPUTED_VALUE"""),11)</f>
        <v>11</v>
      </c>
      <c r="X172" s="3"/>
      <c r="Y172" s="3" t="str">
        <f ca="1">IFERROR(__xludf.DUMMYFUNCTION("""COMPUTED_VALUE"""),"S-3")</f>
        <v>S-3</v>
      </c>
      <c r="Z172" s="3" t="str">
        <f ca="1">IFERROR(__xludf.DUMMYFUNCTION("""COMPUTED_VALUE"""),"5 Tahun 1 Bulan 27 Hari")</f>
        <v>5 Tahun 1 Bulan 27 Hari</v>
      </c>
      <c r="AA172" s="8">
        <f ca="1">IFERROR(__xludf.DUMMYFUNCTION("""COMPUTED_VALUE"""),53844)</f>
        <v>53844</v>
      </c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4"/>
      <c r="AR172" s="3"/>
      <c r="AS172" s="4"/>
      <c r="AT172" s="3"/>
      <c r="AU172" s="3"/>
    </row>
    <row r="173" spans="1:47" x14ac:dyDescent="0.2">
      <c r="A173" s="12">
        <v>172</v>
      </c>
      <c r="B173" s="3" t="str">
        <f ca="1">IFERROR(__xludf.DUMMYFUNCTION("""COMPUTED_VALUE"""),"Sochimin")</f>
        <v>Sochimin</v>
      </c>
      <c r="C173" s="3" t="str">
        <f ca="1">IFERROR(__xludf.DUMMYFUNCTION("""COMPUTED_VALUE"""),"Dr. H. Sochimin, Lc., M.Si.")</f>
        <v>Dr. H. Sochimin, Lc., M.Si.</v>
      </c>
      <c r="D173" s="3" t="str">
        <f ca="1">IFERROR(__xludf.DUMMYFUNCTION("""COMPUTED_VALUE"""),"Dr. H. Sochimin, Lc., M.Si.")</f>
        <v>Dr. H. Sochimin, Lc., M.Si.</v>
      </c>
      <c r="E173" s="3" t="str">
        <f ca="1">IFERROR(__xludf.DUMMYFUNCTION("""COMPUTED_VALUE"""),"196910092003121001")</f>
        <v>196910092003121001</v>
      </c>
      <c r="F173" s="3" t="str">
        <f ca="1">IFERROR(__xludf.DUMMYFUNCTION("""COMPUTED_VALUE"""),"19691009 200312 1 001")</f>
        <v>19691009 200312 1 001</v>
      </c>
      <c r="G173" s="3">
        <f ca="1">IFERROR(__xludf.DUMMYFUNCTION("""COMPUTED_VALUE"""),2009106901)</f>
        <v>2009106901</v>
      </c>
      <c r="H173" s="6" t="str">
        <f ca="1">IFERROR(__xludf.DUMMYFUNCTION("""COMPUTED_VALUE"""),"0341747648131163")</f>
        <v>0341747648131163</v>
      </c>
      <c r="I173" s="3" t="str">
        <f ca="1">IFERROR(__xludf.DUMMYFUNCTION("""COMPUTED_VALUE"""),"PNS")</f>
        <v>PNS</v>
      </c>
      <c r="J173" s="3" t="str">
        <f ca="1">IFERROR(__xludf.DUMMYFUNCTION("""COMPUTED_VALUE"""),"Dosen PNS")</f>
        <v>Dosen PNS</v>
      </c>
      <c r="K173" s="5" t="str">
        <f ca="1">IFERROR(__xludf.DUMMYFUNCTION("""COMPUTED_VALUE"""),"L")</f>
        <v>L</v>
      </c>
      <c r="L173" s="3" t="str">
        <f ca="1">IFERROR(__xludf.DUMMYFUNCTION("""COMPUTED_VALUE"""),"Banyumas")</f>
        <v>Banyumas</v>
      </c>
      <c r="M173" s="7">
        <f ca="1">IFERROR(__xludf.DUMMYFUNCTION("""COMPUTED_VALUE"""),25485)</f>
        <v>25485</v>
      </c>
      <c r="N173" s="4" t="str">
        <f ca="1">IFERROR(__xludf.DUMMYFUNCTION("""COMPUTED_VALUE"""),"Penata Tk.I")</f>
        <v>Penata Tk.I</v>
      </c>
      <c r="O173" s="3" t="str">
        <f ca="1">IFERROR(__xludf.DUMMYFUNCTION("""COMPUTED_VALUE"""),"III/d")</f>
        <v>III/d</v>
      </c>
      <c r="P173" s="7">
        <f ca="1">IFERROR(__xludf.DUMMYFUNCTION("""COMPUTED_VALUE"""),45200)</f>
        <v>45200</v>
      </c>
      <c r="Q173" s="3" t="str">
        <f ca="1">IFERROR(__xludf.DUMMYFUNCTION("""COMPUTED_VALUE"""),"1123/Un.19/K.AUPK/KP.07.1/08/2023")</f>
        <v>1123/Un.19/K.AUPK/KP.07.1/08/2023</v>
      </c>
      <c r="R173" s="3" t="str">
        <f ca="1">IFERROR(__xludf.DUMMYFUNCTION("""COMPUTED_VALUE"""),"Lektor")</f>
        <v>Lektor</v>
      </c>
      <c r="S173" s="3" t="str">
        <f ca="1">IFERROR(__xludf.DUMMYFUNCTION("""COMPUTED_VALUE"""),"Lektor")</f>
        <v>Lektor</v>
      </c>
      <c r="T173" s="7">
        <f ca="1">IFERROR(__xludf.DUMMYFUNCTION("""COMPUTED_VALUE"""),42887)</f>
        <v>42887</v>
      </c>
      <c r="U173" s="3"/>
      <c r="V173" s="3"/>
      <c r="W173" s="3">
        <f ca="1">IFERROR(__xludf.DUMMYFUNCTION("""COMPUTED_VALUE"""),11)</f>
        <v>11</v>
      </c>
      <c r="X173" s="7" t="str">
        <f ca="1">IFERROR(__xludf.DUMMYFUNCTION("""COMPUTED_VALUE"""),"Koordinator Program Studi S-1 Ekonomi Syariah Pada Fakultas Ekonomi dan Bisnis Islam")</f>
        <v>Koordinator Program Studi S-1 Ekonomi Syariah Pada Fakultas Ekonomi dan Bisnis Islam</v>
      </c>
      <c r="Y173" s="3" t="str">
        <f ca="1">IFERROR(__xludf.DUMMYFUNCTION("""COMPUTED_VALUE"""),"S-3")</f>
        <v>S-3</v>
      </c>
      <c r="Z173" s="3" t="str">
        <f ca="1">IFERROR(__xludf.DUMMYFUNCTION("""COMPUTED_VALUE"""),"22 Tahun 1 Bulan 27 Hari")</f>
        <v>22 Tahun 1 Bulan 27 Hari</v>
      </c>
      <c r="AA173" s="8">
        <f ca="1">IFERROR(__xludf.DUMMYFUNCTION("""COMPUTED_VALUE"""),49249)</f>
        <v>49249</v>
      </c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4"/>
      <c r="AR173" s="3"/>
      <c r="AS173" s="4"/>
      <c r="AT173" s="3"/>
      <c r="AU173" s="3"/>
    </row>
    <row r="174" spans="1:47" x14ac:dyDescent="0.2">
      <c r="A174" s="12">
        <v>173</v>
      </c>
      <c r="B174" s="3" t="str">
        <f ca="1">IFERROR(__xludf.DUMMYFUNCTION("""COMPUTED_VALUE"""),"Sofia Nur")</f>
        <v>Sofia Nur</v>
      </c>
      <c r="C174" s="3" t="str">
        <f ca="1">IFERROR(__xludf.DUMMYFUNCTION("""COMPUTED_VALUE"""),"Dr. H. Sofia Nur, M.Pd.")</f>
        <v>Dr. H. Sofia Nur, M.Pd.</v>
      </c>
      <c r="D174" s="3" t="str">
        <f ca="1">IFERROR(__xludf.DUMMYFUNCTION("""COMPUTED_VALUE"""),"Dr. H. Sofia Nur, M.Pd.")</f>
        <v>Dr. H. Sofia Nur, M.Pd.</v>
      </c>
      <c r="E174" s="3" t="str">
        <f ca="1">IFERROR(__xludf.DUMMYFUNCTION("""COMPUTED_VALUE"""),"196609171992031001")</f>
        <v>196609171992031001</v>
      </c>
      <c r="F174" s="3" t="str">
        <f ca="1">IFERROR(__xludf.DUMMYFUNCTION("""COMPUTED_VALUE"""),"19660917 199203 1 001")</f>
        <v>19660917 199203 1 001</v>
      </c>
      <c r="G174" s="3">
        <f ca="1">IFERROR(__xludf.DUMMYFUNCTION("""COMPUTED_VALUE"""),2017096601)</f>
        <v>2017096601</v>
      </c>
      <c r="H174" s="6" t="str">
        <f ca="1">IFERROR(__xludf.DUMMYFUNCTION("""COMPUTED_VALUE"""),"4249744645131063")</f>
        <v>4249744645131063</v>
      </c>
      <c r="I174" s="3" t="str">
        <f ca="1">IFERROR(__xludf.DUMMYFUNCTION("""COMPUTED_VALUE"""),"PNS")</f>
        <v>PNS</v>
      </c>
      <c r="J174" s="3" t="str">
        <f ca="1">IFERROR(__xludf.DUMMYFUNCTION("""COMPUTED_VALUE"""),"Dosen PNS")</f>
        <v>Dosen PNS</v>
      </c>
      <c r="K174" s="5" t="str">
        <f ca="1">IFERROR(__xludf.DUMMYFUNCTION("""COMPUTED_VALUE"""),"L")</f>
        <v>L</v>
      </c>
      <c r="L174" s="3" t="str">
        <f ca="1">IFERROR(__xludf.DUMMYFUNCTION("""COMPUTED_VALUE"""),"Purworejo")</f>
        <v>Purworejo</v>
      </c>
      <c r="M174" s="7">
        <f ca="1">IFERROR(__xludf.DUMMYFUNCTION("""COMPUTED_VALUE"""),24367)</f>
        <v>24367</v>
      </c>
      <c r="N174" s="4" t="str">
        <f ca="1">IFERROR(__xludf.DUMMYFUNCTION("""COMPUTED_VALUE"""),"Pembina Tk.I")</f>
        <v>Pembina Tk.I</v>
      </c>
      <c r="O174" s="3" t="str">
        <f ca="1">IFERROR(__xludf.DUMMYFUNCTION("""COMPUTED_VALUE"""),"IV/b")</f>
        <v>IV/b</v>
      </c>
      <c r="P174" s="7">
        <f ca="1">IFERROR(__xludf.DUMMYFUNCTION("""COMPUTED_VALUE"""),43922)</f>
        <v>43922</v>
      </c>
      <c r="Q174" s="3" t="str">
        <f ca="1">IFERROR(__xludf.DUMMYFUNCTION("""COMPUTED_VALUE"""),"06465/B.II/3/2020")</f>
        <v>06465/B.II/3/2020</v>
      </c>
      <c r="R174" s="3" t="str">
        <f ca="1">IFERROR(__xludf.DUMMYFUNCTION("""COMPUTED_VALUE"""),"Lektor")</f>
        <v>Lektor</v>
      </c>
      <c r="S174" s="3" t="str">
        <f ca="1">IFERROR(__xludf.DUMMYFUNCTION("""COMPUTED_VALUE"""),"Lektor")</f>
        <v>Lektor</v>
      </c>
      <c r="T174" s="7">
        <f ca="1">IFERROR(__xludf.DUMMYFUNCTION("""COMPUTED_VALUE"""),45383)</f>
        <v>45383</v>
      </c>
      <c r="U174" s="3" t="str">
        <f ca="1">IFERROR(__xludf.DUMMYFUNCTION("""COMPUTED_VALUE"""),"014641/B.II/3/2024")</f>
        <v>014641/B.II/3/2024</v>
      </c>
      <c r="V174" s="9">
        <f ca="1">IFERROR(__xludf.DUMMYFUNCTION("""COMPUTED_VALUE"""),45379)</f>
        <v>45379</v>
      </c>
      <c r="W174" s="3">
        <f ca="1">IFERROR(__xludf.DUMMYFUNCTION("""COMPUTED_VALUE"""),11)</f>
        <v>11</v>
      </c>
      <c r="X174" s="3"/>
      <c r="Y174" s="3" t="str">
        <f ca="1">IFERROR(__xludf.DUMMYFUNCTION("""COMPUTED_VALUE"""),"S-3")</f>
        <v>S-3</v>
      </c>
      <c r="Z174" s="3" t="str">
        <f ca="1">IFERROR(__xludf.DUMMYFUNCTION("""COMPUTED_VALUE"""),"33 Tahun 10 Bulan 27 Hari")</f>
        <v>33 Tahun 10 Bulan 27 Hari</v>
      </c>
      <c r="AA174" s="8">
        <f ca="1">IFERROR(__xludf.DUMMYFUNCTION("""COMPUTED_VALUE"""),48122)</f>
        <v>48122</v>
      </c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4"/>
      <c r="AR174" s="3"/>
      <c r="AS174" s="4"/>
      <c r="AT174" s="3"/>
      <c r="AU174" s="3"/>
    </row>
    <row r="175" spans="1:47" x14ac:dyDescent="0.2">
      <c r="A175" s="12">
        <v>174</v>
      </c>
      <c r="B175" s="3" t="str">
        <f ca="1">IFERROR(__xludf.DUMMYFUNCTION("""COMPUTED_VALUE"""),"Sofia Yustiani Suryandari")</f>
        <v>Sofia Yustiani Suryandari</v>
      </c>
      <c r="C175" s="3" t="str">
        <f ca="1">IFERROR(__xludf.DUMMYFUNCTION("""COMPUTED_VALUE"""),"Sofia Yustiani Suryandari, S.E., M.Si.")</f>
        <v>Sofia Yustiani Suryandari, S.E., M.Si.</v>
      </c>
      <c r="D175" s="3" t="str">
        <f ca="1">IFERROR(__xludf.DUMMYFUNCTION("""COMPUTED_VALUE"""),"Sofia Yustiani Suryandari, S.E., M.Si.")</f>
        <v>Sofia Yustiani Suryandari, S.E., M.Si.</v>
      </c>
      <c r="E175" s="3" t="str">
        <f ca="1">IFERROR(__xludf.DUMMYFUNCTION("""COMPUTED_VALUE"""),"197807162009012006")</f>
        <v>197807162009012006</v>
      </c>
      <c r="F175" s="3" t="str">
        <f ca="1">IFERROR(__xludf.DUMMYFUNCTION("""COMPUTED_VALUE"""),"19780716 200901 2 006")</f>
        <v>19780716 200901 2 006</v>
      </c>
      <c r="G175" s="3">
        <f ca="1">IFERROR(__xludf.DUMMYFUNCTION("""COMPUTED_VALUE"""),2016077802)</f>
        <v>2016077802</v>
      </c>
      <c r="H175" s="6" t="str">
        <f ca="1">IFERROR(__xludf.DUMMYFUNCTION("""COMPUTED_VALUE"""),"9048756657230163")</f>
        <v>9048756657230163</v>
      </c>
      <c r="I175" s="3" t="str">
        <f ca="1">IFERROR(__xludf.DUMMYFUNCTION("""COMPUTED_VALUE"""),"PNS")</f>
        <v>PNS</v>
      </c>
      <c r="J175" s="3" t="str">
        <f ca="1">IFERROR(__xludf.DUMMYFUNCTION("""COMPUTED_VALUE"""),"Dosen PNS")</f>
        <v>Dosen PNS</v>
      </c>
      <c r="K175" s="5" t="str">
        <f ca="1">IFERROR(__xludf.DUMMYFUNCTION("""COMPUTED_VALUE"""),"P")</f>
        <v>P</v>
      </c>
      <c r="L175" s="3" t="str">
        <f ca="1">IFERROR(__xludf.DUMMYFUNCTION("""COMPUTED_VALUE"""),"Sleman")</f>
        <v>Sleman</v>
      </c>
      <c r="M175" s="7">
        <f ca="1">IFERROR(__xludf.DUMMYFUNCTION("""COMPUTED_VALUE"""),28687)</f>
        <v>28687</v>
      </c>
      <c r="N175" s="4" t="str">
        <f ca="1">IFERROR(__xludf.DUMMYFUNCTION("""COMPUTED_VALUE"""),"Penata Tk.I")</f>
        <v>Penata Tk.I</v>
      </c>
      <c r="O175" s="3" t="str">
        <f ca="1">IFERROR(__xludf.DUMMYFUNCTION("""COMPUTED_VALUE"""),"III/d")</f>
        <v>III/d</v>
      </c>
      <c r="P175" s="7">
        <f ca="1">IFERROR(__xludf.DUMMYFUNCTION("""COMPUTED_VALUE"""),45383)</f>
        <v>45383</v>
      </c>
      <c r="Q175" s="3" t="str">
        <f ca="1">IFERROR(__xludf.DUMMYFUNCTION("""COMPUTED_VALUE"""),"518/Un.19/K.AUPK/KP.07.1/03/2024")</f>
        <v>518/Un.19/K.AUPK/KP.07.1/03/2024</v>
      </c>
      <c r="R175" s="3" t="str">
        <f ca="1">IFERROR(__xludf.DUMMYFUNCTION("""COMPUTED_VALUE"""),"Lektor")</f>
        <v>Lektor</v>
      </c>
      <c r="S175" s="3" t="str">
        <f ca="1">IFERROR(__xludf.DUMMYFUNCTION("""COMPUTED_VALUE"""),"Lektor")</f>
        <v>Lektor</v>
      </c>
      <c r="T175" s="7">
        <f ca="1">IFERROR(__xludf.DUMMYFUNCTION("""COMPUTED_VALUE"""),44531)</f>
        <v>44531</v>
      </c>
      <c r="U175" s="3"/>
      <c r="V175" s="3"/>
      <c r="W175" s="3">
        <f ca="1">IFERROR(__xludf.DUMMYFUNCTION("""COMPUTED_VALUE"""),11)</f>
        <v>11</v>
      </c>
      <c r="X175" s="3"/>
      <c r="Y175" s="3" t="str">
        <f ca="1">IFERROR(__xludf.DUMMYFUNCTION("""COMPUTED_VALUE"""),"S-2")</f>
        <v>S-2</v>
      </c>
      <c r="Z175" s="3" t="str">
        <f ca="1">IFERROR(__xludf.DUMMYFUNCTION("""COMPUTED_VALUE"""),"17 Tahun 0 Bulan 27 Hari")</f>
        <v>17 Tahun 0 Bulan 27 Hari</v>
      </c>
      <c r="AA175" s="8">
        <f ca="1">IFERROR(__xludf.DUMMYFUNCTION("""COMPUTED_VALUE"""),52444)</f>
        <v>52444</v>
      </c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4"/>
      <c r="AR175" s="3"/>
      <c r="AS175" s="4"/>
      <c r="AT175" s="3"/>
      <c r="AU175" s="3"/>
    </row>
    <row r="176" spans="1:47" x14ac:dyDescent="0.2">
      <c r="A176" s="12">
        <v>175</v>
      </c>
      <c r="B176" s="3" t="str">
        <f ca="1">IFERROR(__xludf.DUMMYFUNCTION("""COMPUTED_VALUE"""),"Sri Winarsih")</f>
        <v>Sri Winarsih</v>
      </c>
      <c r="C176" s="3" t="str">
        <f ca="1">IFERROR(__xludf.DUMMYFUNCTION("""COMPUTED_VALUE"""),"Dr. Sri Winarsih, S.Ag., M.Pd.")</f>
        <v>Dr. Sri Winarsih, S.Ag., M.Pd.</v>
      </c>
      <c r="D176" s="3" t="str">
        <f ca="1">IFERROR(__xludf.DUMMYFUNCTION("""COMPUTED_VALUE"""),"Dr. Sri Winarsih, S.Ag., M.Pd.")</f>
        <v>Dr. Sri Winarsih, S.Ag., M.Pd.</v>
      </c>
      <c r="E176" s="3" t="str">
        <f ca="1">IFERROR(__xludf.DUMMYFUNCTION("""COMPUTED_VALUE"""),"197305122003122001")</f>
        <v>197305122003122001</v>
      </c>
      <c r="F176" s="3" t="str">
        <f ca="1">IFERROR(__xludf.DUMMYFUNCTION("""COMPUTED_VALUE"""),"19730512 200312 2 001")</f>
        <v>19730512 200312 2 001</v>
      </c>
      <c r="G176" s="3">
        <f ca="1">IFERROR(__xludf.DUMMYFUNCTION("""COMPUTED_VALUE"""),2012057301)</f>
        <v>2012057301</v>
      </c>
      <c r="H176" s="6" t="str">
        <f ca="1">IFERROR(__xludf.DUMMYFUNCTION("""COMPUTED_VALUE"""),"6844751652300012")</f>
        <v>6844751652300012</v>
      </c>
      <c r="I176" s="3" t="str">
        <f ca="1">IFERROR(__xludf.DUMMYFUNCTION("""COMPUTED_VALUE"""),"PNS")</f>
        <v>PNS</v>
      </c>
      <c r="J176" s="3" t="str">
        <f ca="1">IFERROR(__xludf.DUMMYFUNCTION("""COMPUTED_VALUE"""),"Dosen PNS")</f>
        <v>Dosen PNS</v>
      </c>
      <c r="K176" s="5" t="str">
        <f ca="1">IFERROR(__xludf.DUMMYFUNCTION("""COMPUTED_VALUE"""),"P")</f>
        <v>P</v>
      </c>
      <c r="L176" s="3" t="str">
        <f ca="1">IFERROR(__xludf.DUMMYFUNCTION("""COMPUTED_VALUE"""),"Sukoharjo")</f>
        <v>Sukoharjo</v>
      </c>
      <c r="M176" s="7">
        <f ca="1">IFERROR(__xludf.DUMMYFUNCTION("""COMPUTED_VALUE"""),26796)</f>
        <v>26796</v>
      </c>
      <c r="N176" s="4" t="str">
        <f ca="1">IFERROR(__xludf.DUMMYFUNCTION("""COMPUTED_VALUE"""),"Pembina Tk.I")</f>
        <v>Pembina Tk.I</v>
      </c>
      <c r="O176" s="3" t="str">
        <f ca="1">IFERROR(__xludf.DUMMYFUNCTION("""COMPUTED_VALUE"""),"IV/b")</f>
        <v>IV/b</v>
      </c>
      <c r="P176" s="7">
        <f ca="1">IFERROR(__xludf.DUMMYFUNCTION("""COMPUTED_VALUE"""),43009)</f>
        <v>43009</v>
      </c>
      <c r="Q176" s="3" t="str">
        <f ca="1">IFERROR(__xludf.DUMMYFUNCTION("""COMPUTED_VALUE"""),"B. II/3/ 55897")</f>
        <v>B. II/3/ 55897</v>
      </c>
      <c r="R176" s="3" t="str">
        <f ca="1">IFERROR(__xludf.DUMMYFUNCTION("""COMPUTED_VALUE"""),"Lektor Kepala")</f>
        <v>Lektor Kepala</v>
      </c>
      <c r="S176" s="3" t="str">
        <f ca="1">IFERROR(__xludf.DUMMYFUNCTION("""COMPUTED_VALUE"""),"Lektor Kepala")</f>
        <v>Lektor Kepala</v>
      </c>
      <c r="T176" s="7">
        <f ca="1">IFERROR(__xludf.DUMMYFUNCTION("""COMPUTED_VALUE"""),45627)</f>
        <v>45627</v>
      </c>
      <c r="U176" s="3" t="str">
        <f ca="1">IFERROR(__xludf.DUMMYFUNCTION("""COMPUTED_VALUE"""),"046380/B.II/KP.07/11/2024")</f>
        <v>046380/B.II/KP.07/11/2024</v>
      </c>
      <c r="V176" s="7">
        <f ca="1">IFERROR(__xludf.DUMMYFUNCTION("""COMPUTED_VALUE"""),45625)</f>
        <v>45625</v>
      </c>
      <c r="W176" s="3">
        <f ca="1">IFERROR(__xludf.DUMMYFUNCTION("""COMPUTED_VALUE"""),13)</f>
        <v>13</v>
      </c>
      <c r="X176" s="3"/>
      <c r="Y176" s="3" t="str">
        <f ca="1">IFERROR(__xludf.DUMMYFUNCTION("""COMPUTED_VALUE"""),"S-3")</f>
        <v>S-3</v>
      </c>
      <c r="Z176" s="3" t="str">
        <f ca="1">IFERROR(__xludf.DUMMYFUNCTION("""COMPUTED_VALUE"""),"22 Tahun 1 Bulan 27 Hari")</f>
        <v>22 Tahun 1 Bulan 27 Hari</v>
      </c>
      <c r="AA176" s="8">
        <f ca="1">IFERROR(__xludf.DUMMYFUNCTION("""COMPUTED_VALUE"""),50557)</f>
        <v>50557</v>
      </c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4"/>
      <c r="AR176" s="3"/>
      <c r="AS176" s="4"/>
      <c r="AT176" s="3"/>
      <c r="AU176" s="3"/>
    </row>
    <row r="177" spans="1:47" x14ac:dyDescent="0.2">
      <c r="A177" s="12">
        <v>176</v>
      </c>
      <c r="B177" s="3" t="str">
        <f ca="1">IFERROR(__xludf.DUMMYFUNCTION("""COMPUTED_VALUE"""),"Subur")</f>
        <v>Subur</v>
      </c>
      <c r="C177" s="3" t="str">
        <f ca="1">IFERROR(__xludf.DUMMYFUNCTION("""COMPUTED_VALUE"""),"Prof. Dr. H. Subur, M.Ag.")</f>
        <v>Prof. Dr. H. Subur, M.Ag.</v>
      </c>
      <c r="D177" s="3" t="str">
        <f ca="1">IFERROR(__xludf.DUMMYFUNCTION("""COMPUTED_VALUE"""),"Prof. Dr. H. Subur, M.Ag.")</f>
        <v>Prof. Dr. H. Subur, M.Ag.</v>
      </c>
      <c r="E177" s="3" t="str">
        <f ca="1">IFERROR(__xludf.DUMMYFUNCTION("""COMPUTED_VALUE"""),"196703071993031005")</f>
        <v>196703071993031005</v>
      </c>
      <c r="F177" s="3" t="str">
        <f ca="1">IFERROR(__xludf.DUMMYFUNCTION("""COMPUTED_VALUE"""),"19670307 199303 1 005")</f>
        <v>19670307 199303 1 005</v>
      </c>
      <c r="G177" s="3">
        <f ca="1">IFERROR(__xludf.DUMMYFUNCTION("""COMPUTED_VALUE"""),2007036703)</f>
        <v>2007036703</v>
      </c>
      <c r="H177" s="6" t="str">
        <f ca="1">IFERROR(__xludf.DUMMYFUNCTION("""COMPUTED_VALUE"""),"6639745646130082")</f>
        <v>6639745646130082</v>
      </c>
      <c r="I177" s="3" t="str">
        <f ca="1">IFERROR(__xludf.DUMMYFUNCTION("""COMPUTED_VALUE"""),"PNS")</f>
        <v>PNS</v>
      </c>
      <c r="J177" s="3" t="str">
        <f ca="1">IFERROR(__xludf.DUMMYFUNCTION("""COMPUTED_VALUE"""),"Dosen PNS")</f>
        <v>Dosen PNS</v>
      </c>
      <c r="K177" s="5" t="str">
        <f ca="1">IFERROR(__xludf.DUMMYFUNCTION("""COMPUTED_VALUE"""),"L")</f>
        <v>L</v>
      </c>
      <c r="L177" s="3" t="str">
        <f ca="1">IFERROR(__xludf.DUMMYFUNCTION("""COMPUTED_VALUE"""),"Wonosobo")</f>
        <v>Wonosobo</v>
      </c>
      <c r="M177" s="7">
        <f ca="1">IFERROR(__xludf.DUMMYFUNCTION("""COMPUTED_VALUE"""),24538)</f>
        <v>24538</v>
      </c>
      <c r="N177" s="4" t="str">
        <f ca="1">IFERROR(__xludf.DUMMYFUNCTION("""COMPUTED_VALUE"""),"Pembina Utama Madya")</f>
        <v>Pembina Utama Madya</v>
      </c>
      <c r="O177" s="3" t="str">
        <f ca="1">IFERROR(__xludf.DUMMYFUNCTION("""COMPUTED_VALUE"""),"IV/d")</f>
        <v>IV/d</v>
      </c>
      <c r="P177" s="7">
        <f ca="1">IFERROR(__xludf.DUMMYFUNCTION("""COMPUTED_VALUE"""),45017)</f>
        <v>45017</v>
      </c>
      <c r="Q177" s="3" t="str">
        <f ca="1">IFERROR(__xludf.DUMMYFUNCTION("""COMPUTED_VALUE"""),"00047/KEP/AA/15001/23")</f>
        <v>00047/KEP/AA/15001/23</v>
      </c>
      <c r="R177" s="3" t="str">
        <f ca="1">IFERROR(__xludf.DUMMYFUNCTION("""COMPUTED_VALUE"""),"Guru Besar")</f>
        <v>Guru Besar</v>
      </c>
      <c r="S177" s="3" t="str">
        <f ca="1">IFERROR(__xludf.DUMMYFUNCTION("""COMPUTED_VALUE"""),"Guru Besar")</f>
        <v>Guru Besar</v>
      </c>
      <c r="T177" s="7">
        <f ca="1">IFERROR(__xludf.DUMMYFUNCTION("""COMPUTED_VALUE"""),44896)</f>
        <v>44896</v>
      </c>
      <c r="U177" s="3" t="str">
        <f ca="1">IFERROR(__xludf.DUMMYFUNCTION("""COMPUTED_VALUE"""),"74169/MPK.A/KP.07.1/2022")</f>
        <v>74169/MPK.A/KP.07.1/2022</v>
      </c>
      <c r="V177" s="9">
        <f ca="1">IFERROR(__xludf.DUMMYFUNCTION("""COMPUTED_VALUE"""),44915)</f>
        <v>44915</v>
      </c>
      <c r="W177" s="3">
        <f ca="1">IFERROR(__xludf.DUMMYFUNCTION("""COMPUTED_VALUE"""),15)</f>
        <v>15</v>
      </c>
      <c r="X177" s="7" t="str">
        <f ca="1">IFERROR(__xludf.DUMMYFUNCTION("""COMPUTED_VALUE"""),"Wakil Dekan Bidang Kemahasiswaan, Alumni dan Kerja Sama Pada Fakultas Tarbiyah dan Ilmu Keguruan")</f>
        <v>Wakil Dekan Bidang Kemahasiswaan, Alumni dan Kerja Sama Pada Fakultas Tarbiyah dan Ilmu Keguruan</v>
      </c>
      <c r="Y177" s="3" t="str">
        <f ca="1">IFERROR(__xludf.DUMMYFUNCTION("""COMPUTED_VALUE"""),"S-3")</f>
        <v>S-3</v>
      </c>
      <c r="Z177" s="3" t="str">
        <f ca="1">IFERROR(__xludf.DUMMYFUNCTION("""COMPUTED_VALUE"""),"32 Tahun 10 Bulan 27 Hari")</f>
        <v>32 Tahun 10 Bulan 27 Hari</v>
      </c>
      <c r="AA177" s="8">
        <f ca="1">IFERROR(__xludf.DUMMYFUNCTION("""COMPUTED_VALUE"""),50131)</f>
        <v>50131</v>
      </c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4"/>
      <c r="AR177" s="3"/>
      <c r="AS177" s="4"/>
      <c r="AT177" s="3"/>
      <c r="AU177" s="3"/>
    </row>
    <row r="178" spans="1:47" x14ac:dyDescent="0.2">
      <c r="A178" s="12">
        <v>177</v>
      </c>
      <c r="B178" s="3" t="str">
        <f ca="1">IFERROR(__xludf.DUMMYFUNCTION("""COMPUTED_VALUE"""),"Sudiro")</f>
        <v>Sudiro</v>
      </c>
      <c r="C178" s="3" t="str">
        <f ca="1">IFERROR(__xludf.DUMMYFUNCTION("""COMPUTED_VALUE"""),"Dr. H. Sudiro, M.M.")</f>
        <v>Dr. H. Sudiro, M.M.</v>
      </c>
      <c r="D178" s="3" t="str">
        <f ca="1">IFERROR(__xludf.DUMMYFUNCTION("""COMPUTED_VALUE"""),"Dr. H. Sudiro, M.M.")</f>
        <v>Dr. H. Sudiro, M.M.</v>
      </c>
      <c r="E178" s="3" t="str">
        <f ca="1">IFERROR(__xludf.DUMMYFUNCTION("""COMPUTED_VALUE"""),"196604141991031004")</f>
        <v>196604141991031004</v>
      </c>
      <c r="F178" s="3" t="str">
        <f ca="1">IFERROR(__xludf.DUMMYFUNCTION("""COMPUTED_VALUE"""),"19660414 199103 1 004")</f>
        <v>19660414 199103 1 004</v>
      </c>
      <c r="G178" s="3">
        <f ca="1">IFERROR(__xludf.DUMMYFUNCTION("""COMPUTED_VALUE"""),2014046601)</f>
        <v>2014046601</v>
      </c>
      <c r="H178" s="6" t="str">
        <f ca="1">IFERROR(__xludf.DUMMYFUNCTION("""COMPUTED_VALUE"""),"8746744645130122")</f>
        <v>8746744645130122</v>
      </c>
      <c r="I178" s="3" t="str">
        <f ca="1">IFERROR(__xludf.DUMMYFUNCTION("""COMPUTED_VALUE"""),"PNS")</f>
        <v>PNS</v>
      </c>
      <c r="J178" s="3" t="str">
        <f ca="1">IFERROR(__xludf.DUMMYFUNCTION("""COMPUTED_VALUE"""),"Dosen PNS")</f>
        <v>Dosen PNS</v>
      </c>
      <c r="K178" s="5" t="str">
        <f ca="1">IFERROR(__xludf.DUMMYFUNCTION("""COMPUTED_VALUE"""),"L")</f>
        <v>L</v>
      </c>
      <c r="L178" s="3" t="str">
        <f ca="1">IFERROR(__xludf.DUMMYFUNCTION("""COMPUTED_VALUE"""),"Banyumas")</f>
        <v>Banyumas</v>
      </c>
      <c r="M178" s="7">
        <f ca="1">IFERROR(__xludf.DUMMYFUNCTION("""COMPUTED_VALUE"""),24211)</f>
        <v>24211</v>
      </c>
      <c r="N178" s="4" t="str">
        <f ca="1">IFERROR(__xludf.DUMMYFUNCTION("""COMPUTED_VALUE"""),"Pembina")</f>
        <v>Pembina</v>
      </c>
      <c r="O178" s="3" t="str">
        <f ca="1">IFERROR(__xludf.DUMMYFUNCTION("""COMPUTED_VALUE"""),"IV/a")</f>
        <v>IV/a</v>
      </c>
      <c r="P178" s="7">
        <f ca="1">IFERROR(__xludf.DUMMYFUNCTION("""COMPUTED_VALUE"""),39722)</f>
        <v>39722</v>
      </c>
      <c r="Q178" s="3" t="str">
        <f ca="1">IFERROR(__xludf.DUMMYFUNCTION("""COMPUTED_VALUE"""),"B.II/3/12192")</f>
        <v>B.II/3/12192</v>
      </c>
      <c r="R178" s="3" t="str">
        <f ca="1">IFERROR(__xludf.DUMMYFUNCTION("""COMPUTED_VALUE"""),"Lektor")</f>
        <v>Lektor</v>
      </c>
      <c r="S178" s="3" t="str">
        <f ca="1">IFERROR(__xludf.DUMMYFUNCTION("""COMPUTED_VALUE"""),"Lektor")</f>
        <v>Lektor</v>
      </c>
      <c r="T178" s="7">
        <f ca="1">IFERROR(__xludf.DUMMYFUNCTION("""COMPUTED_VALUE"""),43862)</f>
        <v>43862</v>
      </c>
      <c r="U178" s="3" t="str">
        <f ca="1">IFERROR(__xludf.DUMMYFUNCTION("""COMPUTED_VALUE"""),"877/B.II/3/2020")</f>
        <v>877/B.II/3/2020</v>
      </c>
      <c r="V178" s="7">
        <f ca="1">IFERROR(__xludf.DUMMYFUNCTION("""COMPUTED_VALUE"""),43862)</f>
        <v>43862</v>
      </c>
      <c r="W178" s="3">
        <f ca="1">IFERROR(__xludf.DUMMYFUNCTION("""COMPUTED_VALUE"""),11)</f>
        <v>11</v>
      </c>
      <c r="X178" s="3"/>
      <c r="Y178" s="3" t="str">
        <f ca="1">IFERROR(__xludf.DUMMYFUNCTION("""COMPUTED_VALUE"""),"S-3")</f>
        <v>S-3</v>
      </c>
      <c r="Z178" s="3" t="str">
        <f ca="1">IFERROR(__xludf.DUMMYFUNCTION("""COMPUTED_VALUE"""),"34 Tahun 10 Bulan 27 Hari")</f>
        <v>34 Tahun 10 Bulan 27 Hari</v>
      </c>
      <c r="AA178" s="8">
        <f ca="1">IFERROR(__xludf.DUMMYFUNCTION("""COMPUTED_VALUE"""),47969)</f>
        <v>47969</v>
      </c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4"/>
      <c r="AR178" s="3"/>
      <c r="AS178" s="4"/>
      <c r="AT178" s="3"/>
      <c r="AU178" s="3"/>
    </row>
    <row r="179" spans="1:47" x14ac:dyDescent="0.2">
      <c r="A179" s="12">
        <v>178</v>
      </c>
      <c r="B179" s="3" t="str">
        <f ca="1">IFERROR(__xludf.DUMMYFUNCTION("""COMPUTED_VALUE"""),"Sugeng Riyadi")</f>
        <v>Sugeng Riyadi</v>
      </c>
      <c r="C179" s="3" t="str">
        <f ca="1">IFERROR(__xludf.DUMMYFUNCTION("""COMPUTED_VALUE"""),"Sugeng Riyadi, S.E., M.S.I.")</f>
        <v>Sugeng Riyadi, S.E., M.S.I.</v>
      </c>
      <c r="D179" s="3" t="str">
        <f ca="1">IFERROR(__xludf.DUMMYFUNCTION("""COMPUTED_VALUE"""),"Sugeng Riyadi, S.E., M.S.I.")</f>
        <v>Sugeng Riyadi, S.E., M.S.I.</v>
      </c>
      <c r="E179" s="3" t="str">
        <f ca="1">IFERROR(__xludf.DUMMYFUNCTION("""COMPUTED_VALUE"""),"198107302015031001")</f>
        <v>198107302015031001</v>
      </c>
      <c r="F179" s="3" t="str">
        <f ca="1">IFERROR(__xludf.DUMMYFUNCTION("""COMPUTED_VALUE"""),"19810730 201503 1 001")</f>
        <v>19810730 201503 1 001</v>
      </c>
      <c r="G179" s="3">
        <f ca="1">IFERROR(__xludf.DUMMYFUNCTION("""COMPUTED_VALUE"""),2030078101)</f>
        <v>2030078101</v>
      </c>
      <c r="H179" s="6" t="str">
        <f ca="1">IFERROR(__xludf.DUMMYFUNCTION("""COMPUTED_VALUE"""),"0062759660130133")</f>
        <v>0062759660130133</v>
      </c>
      <c r="I179" s="3" t="str">
        <f ca="1">IFERROR(__xludf.DUMMYFUNCTION("""COMPUTED_VALUE"""),"PNS")</f>
        <v>PNS</v>
      </c>
      <c r="J179" s="3" t="str">
        <f ca="1">IFERROR(__xludf.DUMMYFUNCTION("""COMPUTED_VALUE"""),"Dosen PNS")</f>
        <v>Dosen PNS</v>
      </c>
      <c r="K179" s="5" t="str">
        <f ca="1">IFERROR(__xludf.DUMMYFUNCTION("""COMPUTED_VALUE"""),"L")</f>
        <v>L</v>
      </c>
      <c r="L179" s="3" t="str">
        <f ca="1">IFERROR(__xludf.DUMMYFUNCTION("""COMPUTED_VALUE"""),"Bungo Tebo")</f>
        <v>Bungo Tebo</v>
      </c>
      <c r="M179" s="7">
        <f ca="1">IFERROR(__xludf.DUMMYFUNCTION("""COMPUTED_VALUE"""),29797)</f>
        <v>29797</v>
      </c>
      <c r="N179" s="4" t="str">
        <f ca="1">IFERROR(__xludf.DUMMYFUNCTION("""COMPUTED_VALUE"""),"Penata Tk.I")</f>
        <v>Penata Tk.I</v>
      </c>
      <c r="O179" s="3" t="str">
        <f ca="1">IFERROR(__xludf.DUMMYFUNCTION("""COMPUTED_VALUE"""),"III/d")</f>
        <v>III/d</v>
      </c>
      <c r="P179" s="7">
        <f ca="1">IFERROR(__xludf.DUMMYFUNCTION("""COMPUTED_VALUE"""),45931)</f>
        <v>45931</v>
      </c>
      <c r="Q179" s="3" t="str">
        <f ca="1">IFERROR(__xludf.DUMMYFUNCTION("""COMPUTED_VALUE"""),"199576/B.II/KP.07.1/08/2025")</f>
        <v>199576/B.II/KP.07.1/08/2025</v>
      </c>
      <c r="R179" s="3" t="str">
        <f ca="1">IFERROR(__xludf.DUMMYFUNCTION("""COMPUTED_VALUE"""),"Lektor")</f>
        <v>Lektor</v>
      </c>
      <c r="S179" s="3" t="str">
        <f ca="1">IFERROR(__xludf.DUMMYFUNCTION("""COMPUTED_VALUE"""),"Lektor")</f>
        <v>Lektor</v>
      </c>
      <c r="T179" s="7">
        <f ca="1">IFERROR(__xludf.DUMMYFUNCTION("""COMPUTED_VALUE"""),44621)</f>
        <v>44621</v>
      </c>
      <c r="U179" s="3"/>
      <c r="V179" s="3"/>
      <c r="W179" s="3">
        <f ca="1">IFERROR(__xludf.DUMMYFUNCTION("""COMPUTED_VALUE"""),11)</f>
        <v>11</v>
      </c>
      <c r="X179" s="3"/>
      <c r="Y179" s="3" t="str">
        <f ca="1">IFERROR(__xludf.DUMMYFUNCTION("""COMPUTED_VALUE"""),"S-2")</f>
        <v>S-2</v>
      </c>
      <c r="Z179" s="3" t="str">
        <f ca="1">IFERROR(__xludf.DUMMYFUNCTION("""COMPUTED_VALUE"""),"10 Tahun 10 Bulan 27 Hari")</f>
        <v>10 Tahun 10 Bulan 27 Hari</v>
      </c>
      <c r="AA179" s="8">
        <f ca="1">IFERROR(__xludf.DUMMYFUNCTION("""COMPUTED_VALUE"""),53540)</f>
        <v>53540</v>
      </c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4"/>
      <c r="AR179" s="3"/>
      <c r="AS179" s="4"/>
      <c r="AT179" s="3"/>
      <c r="AU179" s="3"/>
    </row>
    <row r="180" spans="1:47" x14ac:dyDescent="0.2">
      <c r="A180" s="12">
        <v>179</v>
      </c>
      <c r="B180" s="3" t="str">
        <f ca="1">IFERROR(__xludf.DUMMYFUNCTION("""COMPUTED_VALUE"""),"Sulkhan Chakim")</f>
        <v>Sulkhan Chakim</v>
      </c>
      <c r="C180" s="3" t="str">
        <f ca="1">IFERROR(__xludf.DUMMYFUNCTION("""COMPUTED_VALUE"""),"Prof. Dr. H. Sulkhan Chakim, S.Ag., M.M.")</f>
        <v>Prof. Dr. H. Sulkhan Chakim, S.Ag., M.M.</v>
      </c>
      <c r="D180" s="3" t="str">
        <f ca="1">IFERROR(__xludf.DUMMYFUNCTION("""COMPUTED_VALUE"""),"Prof. Dr. H. Sulkhan Chakim, S.Ag., M.M.")</f>
        <v>Prof. Dr. H. Sulkhan Chakim, S.Ag., M.M.</v>
      </c>
      <c r="E180" s="3" t="str">
        <f ca="1">IFERROR(__xludf.DUMMYFUNCTION("""COMPUTED_VALUE"""),"196805082000031002")</f>
        <v>196805082000031002</v>
      </c>
      <c r="F180" s="3" t="str">
        <f ca="1">IFERROR(__xludf.DUMMYFUNCTION("""COMPUTED_VALUE"""),"19680508 200003 1 002")</f>
        <v>19680508 200003 1 002</v>
      </c>
      <c r="G180" s="3">
        <f ca="1">IFERROR(__xludf.DUMMYFUNCTION("""COMPUTED_VALUE"""),2008056802)</f>
        <v>2008056802</v>
      </c>
      <c r="H180" s="6" t="str">
        <f ca="1">IFERROR(__xludf.DUMMYFUNCTION("""COMPUTED_VALUE"""),"3840746647130132")</f>
        <v>3840746647130132</v>
      </c>
      <c r="I180" s="3" t="str">
        <f ca="1">IFERROR(__xludf.DUMMYFUNCTION("""COMPUTED_VALUE"""),"PNS")</f>
        <v>PNS</v>
      </c>
      <c r="J180" s="3" t="str">
        <f ca="1">IFERROR(__xludf.DUMMYFUNCTION("""COMPUTED_VALUE"""),"Dosen PNS")</f>
        <v>Dosen PNS</v>
      </c>
      <c r="K180" s="5" t="str">
        <f ca="1">IFERROR(__xludf.DUMMYFUNCTION("""COMPUTED_VALUE"""),"L")</f>
        <v>L</v>
      </c>
      <c r="L180" s="3" t="str">
        <f ca="1">IFERROR(__xludf.DUMMYFUNCTION("""COMPUTED_VALUE"""),"Temanggung")</f>
        <v>Temanggung</v>
      </c>
      <c r="M180" s="7">
        <f ca="1">IFERROR(__xludf.DUMMYFUNCTION("""COMPUTED_VALUE"""),24966)</f>
        <v>24966</v>
      </c>
      <c r="N180" s="4" t="str">
        <f ca="1">IFERROR(__xludf.DUMMYFUNCTION("""COMPUTED_VALUE"""),"Pembina Utama Madya")</f>
        <v>Pembina Utama Madya</v>
      </c>
      <c r="O180" s="3" t="str">
        <f ca="1">IFERROR(__xludf.DUMMYFUNCTION("""COMPUTED_VALUE"""),"IV/d")</f>
        <v>IV/d</v>
      </c>
      <c r="P180" s="7">
        <f ca="1">IFERROR(__xludf.DUMMYFUNCTION("""COMPUTED_VALUE"""),45748)</f>
        <v>45748</v>
      </c>
      <c r="Q180" s="3" t="str">
        <f ca="1">IFERROR(__xludf.DUMMYFUNCTION("""COMPUTED_VALUE"""),"00139/KEP/AA/15001/25")</f>
        <v>00139/KEP/AA/15001/25</v>
      </c>
      <c r="R180" s="3" t="str">
        <f ca="1">IFERROR(__xludf.DUMMYFUNCTION("""COMPUTED_VALUE"""),"Guru Besar")</f>
        <v>Guru Besar</v>
      </c>
      <c r="S180" s="3" t="str">
        <f ca="1">IFERROR(__xludf.DUMMYFUNCTION("""COMPUTED_VALUE"""),"Guru Besar")</f>
        <v>Guru Besar</v>
      </c>
      <c r="T180" s="7">
        <f ca="1">IFERROR(__xludf.DUMMYFUNCTION("""COMPUTED_VALUE"""),44866)</f>
        <v>44866</v>
      </c>
      <c r="U180" s="3" t="str">
        <f ca="1">IFERROR(__xludf.DUMMYFUNCTION("""COMPUTED_VALUE"""),"73414/MPK.A/KP.07.1/2022")</f>
        <v>73414/MPK.A/KP.07.1/2022</v>
      </c>
      <c r="V180" s="9">
        <f ca="1">IFERROR(__xludf.DUMMYFUNCTION("""COMPUTED_VALUE"""),44907)</f>
        <v>44907</v>
      </c>
      <c r="W180" s="3">
        <f ca="1">IFERROR(__xludf.DUMMYFUNCTION("""COMPUTED_VALUE"""),15)</f>
        <v>15</v>
      </c>
      <c r="X180" s="7" t="str">
        <f ca="1">IFERROR(__xludf.DUMMYFUNCTION("""COMPUTED_VALUE"""),"Wakil Rektor Bidang Administrasi Umum, Perencanaan, dan Keuangan")</f>
        <v>Wakil Rektor Bidang Administrasi Umum, Perencanaan, dan Keuangan</v>
      </c>
      <c r="Y180" s="3" t="str">
        <f ca="1">IFERROR(__xludf.DUMMYFUNCTION("""COMPUTED_VALUE"""),"S-3")</f>
        <v>S-3</v>
      </c>
      <c r="Z180" s="3" t="str">
        <f ca="1">IFERROR(__xludf.DUMMYFUNCTION("""COMPUTED_VALUE"""),"25 Tahun 10 Bulan 27 Hari")</f>
        <v>25 Tahun 10 Bulan 27 Hari</v>
      </c>
      <c r="AA180" s="8">
        <f ca="1">IFERROR(__xludf.DUMMYFUNCTION("""COMPUTED_VALUE"""),50557)</f>
        <v>50557</v>
      </c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4"/>
      <c r="AR180" s="3"/>
      <c r="AS180" s="4"/>
      <c r="AT180" s="3"/>
      <c r="AU180" s="3"/>
    </row>
    <row r="181" spans="1:47" x14ac:dyDescent="0.2">
      <c r="A181" s="12">
        <v>180</v>
      </c>
      <c r="B181" s="3" t="str">
        <f ca="1">IFERROR(__xludf.DUMMYFUNCTION("""COMPUTED_VALUE"""),"Sumiarti")</f>
        <v>Sumiarti</v>
      </c>
      <c r="C181" s="3" t="str">
        <f ca="1">IFERROR(__xludf.DUMMYFUNCTION("""COMPUTED_VALUE"""),"Dr. Hj. Sumiarti, M.Ag.")</f>
        <v>Dr. Hj. Sumiarti, M.Ag.</v>
      </c>
      <c r="D181" s="3" t="str">
        <f ca="1">IFERROR(__xludf.DUMMYFUNCTION("""COMPUTED_VALUE"""),"Dr. Hj. Sumiarti, M.Ag.")</f>
        <v>Dr. Hj. Sumiarti, M.Ag.</v>
      </c>
      <c r="E181" s="3" t="str">
        <f ca="1">IFERROR(__xludf.DUMMYFUNCTION("""COMPUTED_VALUE"""),"197301252000032001")</f>
        <v>197301252000032001</v>
      </c>
      <c r="F181" s="3" t="str">
        <f ca="1">IFERROR(__xludf.DUMMYFUNCTION("""COMPUTED_VALUE"""),"19730125 200003 2 001")</f>
        <v>19730125 200003 2 001</v>
      </c>
      <c r="G181" s="3">
        <f ca="1">IFERROR(__xludf.DUMMYFUNCTION("""COMPUTED_VALUE"""),2025017302)</f>
        <v>2025017302</v>
      </c>
      <c r="H181" s="6" t="str">
        <f ca="1">IFERROR(__xludf.DUMMYFUNCTION("""COMPUTED_VALUE"""),"2457751652230082")</f>
        <v>2457751652230082</v>
      </c>
      <c r="I181" s="3" t="str">
        <f ca="1">IFERROR(__xludf.DUMMYFUNCTION("""COMPUTED_VALUE"""),"PNS")</f>
        <v>PNS</v>
      </c>
      <c r="J181" s="3" t="str">
        <f ca="1">IFERROR(__xludf.DUMMYFUNCTION("""COMPUTED_VALUE"""),"Dosen PNS")</f>
        <v>Dosen PNS</v>
      </c>
      <c r="K181" s="5" t="str">
        <f ca="1">IFERROR(__xludf.DUMMYFUNCTION("""COMPUTED_VALUE"""),"P")</f>
        <v>P</v>
      </c>
      <c r="L181" s="3" t="str">
        <f ca="1">IFERROR(__xludf.DUMMYFUNCTION("""COMPUTED_VALUE"""),"Banyumas")</f>
        <v>Banyumas</v>
      </c>
      <c r="M181" s="7">
        <f ca="1">IFERROR(__xludf.DUMMYFUNCTION("""COMPUTED_VALUE"""),26689)</f>
        <v>26689</v>
      </c>
      <c r="N181" s="4" t="str">
        <f ca="1">IFERROR(__xludf.DUMMYFUNCTION("""COMPUTED_VALUE"""),"Pembina Tk.I")</f>
        <v>Pembina Tk.I</v>
      </c>
      <c r="O181" s="3" t="str">
        <f ca="1">IFERROR(__xludf.DUMMYFUNCTION("""COMPUTED_VALUE"""),"IV/b")</f>
        <v>IV/b</v>
      </c>
      <c r="P181" s="7">
        <f ca="1">IFERROR(__xludf.DUMMYFUNCTION("""COMPUTED_VALUE"""),43739)</f>
        <v>43739</v>
      </c>
      <c r="Q181" s="3" t="str">
        <f ca="1">IFERROR(__xludf.DUMMYFUNCTION("""COMPUTED_VALUE"""),"B.II/3/031676")</f>
        <v>B.II/3/031676</v>
      </c>
      <c r="R181" s="3" t="str">
        <f ca="1">IFERROR(__xludf.DUMMYFUNCTION("""COMPUTED_VALUE"""),"Lektor Kepala")</f>
        <v>Lektor Kepala</v>
      </c>
      <c r="S181" s="3" t="str">
        <f ca="1">IFERROR(__xludf.DUMMYFUNCTION("""COMPUTED_VALUE"""),"Lektor Kepala")</f>
        <v>Lektor Kepala</v>
      </c>
      <c r="T181" s="7">
        <f ca="1">IFERROR(__xludf.DUMMYFUNCTION("""COMPUTED_VALUE"""),43556)</f>
        <v>43556</v>
      </c>
      <c r="U181" s="3" t="str">
        <f ca="1">IFERROR(__xludf.DUMMYFUNCTION("""COMPUTED_VALUE"""),"911 tahun 2019")</f>
        <v>911 tahun 2019</v>
      </c>
      <c r="V181" s="7">
        <f ca="1">IFERROR(__xludf.DUMMYFUNCTION("""COMPUTED_VALUE"""),43556)</f>
        <v>43556</v>
      </c>
      <c r="W181" s="3">
        <f ca="1">IFERROR(__xludf.DUMMYFUNCTION("""COMPUTED_VALUE"""),13)</f>
        <v>13</v>
      </c>
      <c r="X181" s="7" t="str">
        <f ca="1">IFERROR(__xludf.DUMMYFUNCTION("""COMPUTED_VALUE"""),"Kepala Pusat Promosi dan Informasi Mahasiswa Baru")</f>
        <v>Kepala Pusat Promosi dan Informasi Mahasiswa Baru</v>
      </c>
      <c r="Y181" s="3" t="str">
        <f ca="1">IFERROR(__xludf.DUMMYFUNCTION("""COMPUTED_VALUE"""),"S-3")</f>
        <v>S-3</v>
      </c>
      <c r="Z181" s="3" t="str">
        <f ca="1">IFERROR(__xludf.DUMMYFUNCTION("""COMPUTED_VALUE"""),"25 Tahun 10 Bulan 27 Hari")</f>
        <v>25 Tahun 10 Bulan 27 Hari</v>
      </c>
      <c r="AA181" s="8">
        <f ca="1">IFERROR(__xludf.DUMMYFUNCTION("""COMPUTED_VALUE"""),50437)</f>
        <v>50437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4"/>
      <c r="AR181" s="3"/>
      <c r="AS181" s="4"/>
      <c r="AT181" s="3"/>
      <c r="AU181" s="3"/>
    </row>
    <row r="182" spans="1:47" x14ac:dyDescent="0.2">
      <c r="A182" s="12">
        <v>181</v>
      </c>
      <c r="B182" s="3" t="str">
        <f ca="1">IFERROR(__xludf.DUMMYFUNCTION("""COMPUTED_VALUE"""),"Sunhaji")</f>
        <v>Sunhaji</v>
      </c>
      <c r="C182" s="3" t="str">
        <f ca="1">IFERROR(__xludf.DUMMYFUNCTION("""COMPUTED_VALUE"""),"Prof. Dr. H. Sunhaji, M.Ag.")</f>
        <v>Prof. Dr. H. Sunhaji, M.Ag.</v>
      </c>
      <c r="D182" s="3" t="str">
        <f ca="1">IFERROR(__xludf.DUMMYFUNCTION("""COMPUTED_VALUE"""),"Prof. Dr. H. Sunhaji, M.Ag.")</f>
        <v>Prof. Dr. H. Sunhaji, M.Ag.</v>
      </c>
      <c r="E182" s="3" t="str">
        <f ca="1">IFERROR(__xludf.DUMMYFUNCTION("""COMPUTED_VALUE"""),"196810081994031001")</f>
        <v>196810081994031001</v>
      </c>
      <c r="F182" s="3" t="str">
        <f ca="1">IFERROR(__xludf.DUMMYFUNCTION("""COMPUTED_VALUE"""),"19681008 199403 1 001")</f>
        <v>19681008 199403 1 001</v>
      </c>
      <c r="G182" s="3">
        <f ca="1">IFERROR(__xludf.DUMMYFUNCTION("""COMPUTED_VALUE"""),2008106802)</f>
        <v>2008106802</v>
      </c>
      <c r="H182" s="6" t="str">
        <f ca="1">IFERROR(__xludf.DUMMYFUNCTION("""COMPUTED_VALUE"""),"7340746647130123")</f>
        <v>7340746647130123</v>
      </c>
      <c r="I182" s="3" t="str">
        <f ca="1">IFERROR(__xludf.DUMMYFUNCTION("""COMPUTED_VALUE"""),"PNS")</f>
        <v>PNS</v>
      </c>
      <c r="J182" s="3" t="str">
        <f ca="1">IFERROR(__xludf.DUMMYFUNCTION("""COMPUTED_VALUE"""),"Dosen PNS")</f>
        <v>Dosen PNS</v>
      </c>
      <c r="K182" s="5" t="str">
        <f ca="1">IFERROR(__xludf.DUMMYFUNCTION("""COMPUTED_VALUE"""),"L")</f>
        <v>L</v>
      </c>
      <c r="L182" s="3" t="str">
        <f ca="1">IFERROR(__xludf.DUMMYFUNCTION("""COMPUTED_VALUE"""),"Kebumen")</f>
        <v>Kebumen</v>
      </c>
      <c r="M182" s="7">
        <f ca="1">IFERROR(__xludf.DUMMYFUNCTION("""COMPUTED_VALUE"""),25119)</f>
        <v>25119</v>
      </c>
      <c r="N182" s="4" t="str">
        <f ca="1">IFERROR(__xludf.DUMMYFUNCTION("""COMPUTED_VALUE"""),"Pembina Utama")</f>
        <v>Pembina Utama</v>
      </c>
      <c r="O182" s="3" t="str">
        <f ca="1">IFERROR(__xludf.DUMMYFUNCTION("""COMPUTED_VALUE"""),"IV/e")</f>
        <v>IV/e</v>
      </c>
      <c r="P182" s="7">
        <f ca="1">IFERROR(__xludf.DUMMYFUNCTION("""COMPUTED_VALUE"""),44652)</f>
        <v>44652</v>
      </c>
      <c r="Q182" s="3"/>
      <c r="R182" s="3" t="str">
        <f ca="1">IFERROR(__xludf.DUMMYFUNCTION("""COMPUTED_VALUE"""),"Guru Besar")</f>
        <v>Guru Besar</v>
      </c>
      <c r="S182" s="3" t="str">
        <f ca="1">IFERROR(__xludf.DUMMYFUNCTION("""COMPUTED_VALUE"""),"Guru Besar")</f>
        <v>Guru Besar</v>
      </c>
      <c r="T182" s="7">
        <f ca="1">IFERROR(__xludf.DUMMYFUNCTION("""COMPUTED_VALUE"""),43160)</f>
        <v>43160</v>
      </c>
      <c r="U182" s="3" t="str">
        <f ca="1">IFERROR(__xludf.DUMMYFUNCTION("""COMPUTED_VALUE"""),"14421/A2.3/KP/2018")</f>
        <v>14421/A2.3/KP/2018</v>
      </c>
      <c r="V182" s="7">
        <f ca="1">IFERROR(__xludf.DUMMYFUNCTION("""COMPUTED_VALUE"""),43194)</f>
        <v>43194</v>
      </c>
      <c r="W182" s="3">
        <f ca="1">IFERROR(__xludf.DUMMYFUNCTION("""COMPUTED_VALUE"""),15)</f>
        <v>15</v>
      </c>
      <c r="X182" s="7" t="str">
        <f ca="1">IFERROR(__xludf.DUMMYFUNCTION("""COMPUTED_VALUE"""),"Wakil Rektor Bidang Kemahasiswaan dan Kerjasama")</f>
        <v>Wakil Rektor Bidang Kemahasiswaan dan Kerjasama</v>
      </c>
      <c r="Y182" s="3" t="str">
        <f ca="1">IFERROR(__xludf.DUMMYFUNCTION("""COMPUTED_VALUE"""),"S-3")</f>
        <v>S-3</v>
      </c>
      <c r="Z182" s="3" t="str">
        <f ca="1">IFERROR(__xludf.DUMMYFUNCTION("""COMPUTED_VALUE"""),"31 Tahun 10 Bulan 27 Hari")</f>
        <v>31 Tahun 10 Bulan 27 Hari</v>
      </c>
      <c r="AA182" s="8">
        <f ca="1">IFERROR(__xludf.DUMMYFUNCTION("""COMPUTED_VALUE"""),50710)</f>
        <v>50710</v>
      </c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4"/>
      <c r="AR182" s="3"/>
      <c r="AS182" s="4"/>
      <c r="AT182" s="3"/>
      <c r="AU182" s="3"/>
    </row>
    <row r="183" spans="1:47" x14ac:dyDescent="0.2">
      <c r="A183" s="12">
        <v>182</v>
      </c>
      <c r="B183" s="3" t="str">
        <f ca="1">IFERROR(__xludf.DUMMYFUNCTION("""COMPUTED_VALUE"""),"Supani")</f>
        <v>Supani</v>
      </c>
      <c r="C183" s="3" t="str">
        <f ca="1">IFERROR(__xludf.DUMMYFUNCTION("""COMPUTED_VALUE"""),"Prof. Dr. H. Supani, S.Ag., M.A.")</f>
        <v>Prof. Dr. H. Supani, S.Ag., M.A.</v>
      </c>
      <c r="D183" s="3" t="str">
        <f ca="1">IFERROR(__xludf.DUMMYFUNCTION("""COMPUTED_VALUE"""),"Prof. Dr. H. Supani, S.Ag., M.A.")</f>
        <v>Prof. Dr. H. Supani, S.Ag., M.A.</v>
      </c>
      <c r="E183" s="3" t="str">
        <f ca="1">IFERROR(__xludf.DUMMYFUNCTION("""COMPUTED_VALUE"""),"197007052003121001")</f>
        <v>197007052003121001</v>
      </c>
      <c r="F183" s="3" t="str">
        <f ca="1">IFERROR(__xludf.DUMMYFUNCTION("""COMPUTED_VALUE"""),"19700705 200312 1 001")</f>
        <v>19700705 200312 1 001</v>
      </c>
      <c r="G183" s="3">
        <f ca="1">IFERROR(__xludf.DUMMYFUNCTION("""COMPUTED_VALUE"""),2005077001)</f>
        <v>2005077001</v>
      </c>
      <c r="H183" s="6" t="str">
        <f ca="1">IFERROR(__xludf.DUMMYFUNCTION("""COMPUTED_VALUE"""),"9037748649130203")</f>
        <v>9037748649130203</v>
      </c>
      <c r="I183" s="3" t="str">
        <f ca="1">IFERROR(__xludf.DUMMYFUNCTION("""COMPUTED_VALUE"""),"PNS")</f>
        <v>PNS</v>
      </c>
      <c r="J183" s="3" t="str">
        <f ca="1">IFERROR(__xludf.DUMMYFUNCTION("""COMPUTED_VALUE"""),"Dosen PNS")</f>
        <v>Dosen PNS</v>
      </c>
      <c r="K183" s="5" t="str">
        <f ca="1">IFERROR(__xludf.DUMMYFUNCTION("""COMPUTED_VALUE"""),"L")</f>
        <v>L</v>
      </c>
      <c r="L183" s="3" t="str">
        <f ca="1">IFERROR(__xludf.DUMMYFUNCTION("""COMPUTED_VALUE"""),"Jepara")</f>
        <v>Jepara</v>
      </c>
      <c r="M183" s="7">
        <f ca="1">IFERROR(__xludf.DUMMYFUNCTION("""COMPUTED_VALUE"""),25754)</f>
        <v>25754</v>
      </c>
      <c r="N183" s="4" t="str">
        <f ca="1">IFERROR(__xludf.DUMMYFUNCTION("""COMPUTED_VALUE"""),"Pembina Tk.I")</f>
        <v>Pembina Tk.I</v>
      </c>
      <c r="O183" s="3" t="str">
        <f ca="1">IFERROR(__xludf.DUMMYFUNCTION("""COMPUTED_VALUE"""),"IV/b")</f>
        <v>IV/b</v>
      </c>
      <c r="P183" s="7">
        <f ca="1">IFERROR(__xludf.DUMMYFUNCTION("""COMPUTED_VALUE"""),45383)</f>
        <v>45383</v>
      </c>
      <c r="Q183" s="3" t="str">
        <f ca="1">IFERROR(__xludf.DUMMYFUNCTION("""COMPUTED_VALUE"""),"014642/B.II/3/2024")</f>
        <v>014642/B.II/3/2024</v>
      </c>
      <c r="R183" s="3" t="str">
        <f ca="1">IFERROR(__xludf.DUMMYFUNCTION("""COMPUTED_VALUE"""),"Guru Besar")</f>
        <v>Guru Besar</v>
      </c>
      <c r="S183" s="3" t="str">
        <f ca="1">IFERROR(__xludf.DUMMYFUNCTION("""COMPUTED_VALUE"""),"Guru Besar")</f>
        <v>Guru Besar</v>
      </c>
      <c r="T183" s="7">
        <f ca="1">IFERROR(__xludf.DUMMYFUNCTION("""COMPUTED_VALUE"""),45992)</f>
        <v>45992</v>
      </c>
      <c r="U183" s="3" t="str">
        <f ca="1">IFERROR(__xludf.DUMMYFUNCTION("""COMPUTED_VALUE"""),"215331/MA/KP.07.6/11/2025")</f>
        <v>215331/MA/KP.07.6/11/2025</v>
      </c>
      <c r="V183" s="7">
        <f ca="1">IFERROR(__xludf.DUMMYFUNCTION("""COMPUTED_VALUE"""),45986)</f>
        <v>45986</v>
      </c>
      <c r="W183" s="3">
        <f ca="1">IFERROR(__xludf.DUMMYFUNCTION("""COMPUTED_VALUE"""),15)</f>
        <v>15</v>
      </c>
      <c r="X183" s="7" t="str">
        <f ca="1">IFERROR(__xludf.DUMMYFUNCTION("""COMPUTED_VALUE"""),"Dekan Fakultas Syariah")</f>
        <v>Dekan Fakultas Syariah</v>
      </c>
      <c r="Y183" s="3" t="str">
        <f ca="1">IFERROR(__xludf.DUMMYFUNCTION("""COMPUTED_VALUE"""),"S-3")</f>
        <v>S-3</v>
      </c>
      <c r="Z183" s="3" t="str">
        <f ca="1">IFERROR(__xludf.DUMMYFUNCTION("""COMPUTED_VALUE"""),"22 Tahun 1 Bulan 27 Hari")</f>
        <v>22 Tahun 1 Bulan 27 Hari</v>
      </c>
      <c r="AA183" s="8">
        <f ca="1">IFERROR(__xludf.DUMMYFUNCTION("""COMPUTED_VALUE"""),51349)</f>
        <v>51349</v>
      </c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4"/>
      <c r="AR183" s="3"/>
      <c r="AS183" s="4"/>
      <c r="AT183" s="3"/>
      <c r="AU183" s="3"/>
    </row>
    <row r="184" spans="1:47" x14ac:dyDescent="0.2">
      <c r="A184" s="12">
        <v>183</v>
      </c>
      <c r="B184" s="3" t="str">
        <f ca="1">IFERROR(__xludf.DUMMYFUNCTION("""COMPUTED_VALUE"""),"Suparjo")</f>
        <v>Suparjo</v>
      </c>
      <c r="C184" s="3" t="str">
        <f ca="1">IFERROR(__xludf.DUMMYFUNCTION("""COMPUTED_VALUE"""),"Prof. Dr. Suparjo, S.Ag., M.A.")</f>
        <v>Prof. Dr. Suparjo, S.Ag., M.A.</v>
      </c>
      <c r="D184" s="3" t="str">
        <f ca="1">IFERROR(__xludf.DUMMYFUNCTION("""COMPUTED_VALUE"""),"Prof. Dr. Suparjo, S.Ag., M.A.")</f>
        <v>Prof. Dr. Suparjo, S.Ag., M.A.</v>
      </c>
      <c r="E184" s="3" t="str">
        <f ca="1">IFERROR(__xludf.DUMMYFUNCTION("""COMPUTED_VALUE"""),"197307171999031001")</f>
        <v>197307171999031001</v>
      </c>
      <c r="F184" s="3" t="str">
        <f ca="1">IFERROR(__xludf.DUMMYFUNCTION("""COMPUTED_VALUE"""),"19730717 199903 1 001")</f>
        <v>19730717 199903 1 001</v>
      </c>
      <c r="G184" s="3">
        <f ca="1">IFERROR(__xludf.DUMMYFUNCTION("""COMPUTED_VALUE"""),2017077303)</f>
        <v>2017077303</v>
      </c>
      <c r="H184" s="6" t="str">
        <f ca="1">IFERROR(__xludf.DUMMYFUNCTION("""COMPUTED_VALUE"""),"6049751652130133")</f>
        <v>6049751652130133</v>
      </c>
      <c r="I184" s="3" t="str">
        <f ca="1">IFERROR(__xludf.DUMMYFUNCTION("""COMPUTED_VALUE"""),"PNS")</f>
        <v>PNS</v>
      </c>
      <c r="J184" s="3" t="str">
        <f ca="1">IFERROR(__xludf.DUMMYFUNCTION("""COMPUTED_VALUE"""),"Dosen PNS")</f>
        <v>Dosen PNS</v>
      </c>
      <c r="K184" s="5" t="str">
        <f ca="1">IFERROR(__xludf.DUMMYFUNCTION("""COMPUTED_VALUE"""),"L")</f>
        <v>L</v>
      </c>
      <c r="L184" s="3" t="str">
        <f ca="1">IFERROR(__xludf.DUMMYFUNCTION("""COMPUTED_VALUE"""),"Semarang")</f>
        <v>Semarang</v>
      </c>
      <c r="M184" s="7">
        <f ca="1">IFERROR(__xludf.DUMMYFUNCTION("""COMPUTED_VALUE"""),26862)</f>
        <v>26862</v>
      </c>
      <c r="N184" s="4" t="str">
        <f ca="1">IFERROR(__xludf.DUMMYFUNCTION("""COMPUTED_VALUE"""),"Pembina Tk.I")</f>
        <v>Pembina Tk.I</v>
      </c>
      <c r="O184" s="3" t="str">
        <f ca="1">IFERROR(__xludf.DUMMYFUNCTION("""COMPUTED_VALUE"""),"IV/b")</f>
        <v>IV/b</v>
      </c>
      <c r="P184" s="7">
        <f ca="1">IFERROR(__xludf.DUMMYFUNCTION("""COMPUTED_VALUE"""),45444)</f>
        <v>45444</v>
      </c>
      <c r="Q184" s="3" t="str">
        <f ca="1">IFERROR(__xludf.DUMMYFUNCTION("""COMPUTED_VALUE"""),"023874/B.II/3/2024")</f>
        <v>023874/B.II/3/2024</v>
      </c>
      <c r="R184" s="3" t="str">
        <f ca="1">IFERROR(__xludf.DUMMYFUNCTION("""COMPUTED_VALUE"""),"Guru Besar")</f>
        <v>Guru Besar</v>
      </c>
      <c r="S184" s="3" t="str">
        <f ca="1">IFERROR(__xludf.DUMMYFUNCTION("""COMPUTED_VALUE"""),"Guru Besar")</f>
        <v>Guru Besar</v>
      </c>
      <c r="T184" s="7">
        <f ca="1">IFERROR(__xludf.DUMMYFUNCTION("""COMPUTED_VALUE"""),45200)</f>
        <v>45200</v>
      </c>
      <c r="U184" s="3" t="str">
        <f ca="1">IFERROR(__xludf.DUMMYFUNCTION("""COMPUTED_VALUE"""),"119361/B.II/3/2023")</f>
        <v>119361/B.II/3/2023</v>
      </c>
      <c r="V184" s="7">
        <f ca="1">IFERROR(__xludf.DUMMYFUNCTION("""COMPUTED_VALUE"""),45247)</f>
        <v>45247</v>
      </c>
      <c r="W184" s="3">
        <f ca="1">IFERROR(__xludf.DUMMYFUNCTION("""COMPUTED_VALUE"""),15)</f>
        <v>15</v>
      </c>
      <c r="X184" s="7" t="str">
        <f ca="1">IFERROR(__xludf.DUMMYFUNCTION("""COMPUTED_VALUE"""),"Wakil Dekan Bidang Akademik dan Kelembagaan Pada Fakultas Tarbiyah dan Ilmu Keguruan")</f>
        <v>Wakil Dekan Bidang Akademik dan Kelembagaan Pada Fakultas Tarbiyah dan Ilmu Keguruan</v>
      </c>
      <c r="Y184" s="3" t="str">
        <f ca="1">IFERROR(__xludf.DUMMYFUNCTION("""COMPUTED_VALUE"""),"S-3")</f>
        <v>S-3</v>
      </c>
      <c r="Z184" s="3" t="str">
        <f ca="1">IFERROR(__xludf.DUMMYFUNCTION("""COMPUTED_VALUE"""),"26 Tahun 10 Bulan 27 Hari")</f>
        <v>26 Tahun 10 Bulan 27 Hari</v>
      </c>
      <c r="AA184" s="8">
        <f ca="1">IFERROR(__xludf.DUMMYFUNCTION("""COMPUTED_VALUE"""),52444)</f>
        <v>52444</v>
      </c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4"/>
      <c r="AR184" s="3"/>
      <c r="AS184" s="4"/>
      <c r="AT184" s="3"/>
      <c r="AU184" s="3"/>
    </row>
    <row r="185" spans="1:47" x14ac:dyDescent="0.2">
      <c r="A185" s="12">
        <v>184</v>
      </c>
      <c r="B185" s="3" t="str">
        <f ca="1">IFERROR(__xludf.DUMMYFUNCTION("""COMPUTED_VALUE"""),"Supriyanto")</f>
        <v>Supriyanto</v>
      </c>
      <c r="C185" s="3" t="str">
        <f ca="1">IFERROR(__xludf.DUMMYFUNCTION("""COMPUTED_VALUE"""),"Prof. Dr. H. Supriyanto, Lc., M.S.I.")</f>
        <v>Prof. Dr. H. Supriyanto, Lc., M.S.I.</v>
      </c>
      <c r="D185" s="3" t="str">
        <f ca="1">IFERROR(__xludf.DUMMYFUNCTION("""COMPUTED_VALUE"""),"Prof. Dr. H. Supriyanto, Lc., M.S.I.")</f>
        <v>Prof. Dr. H. Supriyanto, Lc., M.S.I.</v>
      </c>
      <c r="E185" s="3" t="str">
        <f ca="1">IFERROR(__xludf.DUMMYFUNCTION("""COMPUTED_VALUE"""),"197403261999031001")</f>
        <v>197403261999031001</v>
      </c>
      <c r="F185" s="3" t="str">
        <f ca="1">IFERROR(__xludf.DUMMYFUNCTION("""COMPUTED_VALUE"""),"19740326 199903 1 001")</f>
        <v>19740326 199903 1 001</v>
      </c>
      <c r="G185" s="3">
        <f ca="1">IFERROR(__xludf.DUMMYFUNCTION("""COMPUTED_VALUE"""),2026037402)</f>
        <v>2026037402</v>
      </c>
      <c r="H185" s="6" t="str">
        <f ca="1">IFERROR(__xludf.DUMMYFUNCTION("""COMPUTED_VALUE"""),"7658752653130062")</f>
        <v>7658752653130062</v>
      </c>
      <c r="I185" s="3" t="str">
        <f ca="1">IFERROR(__xludf.DUMMYFUNCTION("""COMPUTED_VALUE"""),"PNS")</f>
        <v>PNS</v>
      </c>
      <c r="J185" s="3" t="str">
        <f ca="1">IFERROR(__xludf.DUMMYFUNCTION("""COMPUTED_VALUE"""),"Dosen PNS")</f>
        <v>Dosen PNS</v>
      </c>
      <c r="K185" s="5" t="str">
        <f ca="1">IFERROR(__xludf.DUMMYFUNCTION("""COMPUTED_VALUE"""),"L")</f>
        <v>L</v>
      </c>
      <c r="L185" s="3" t="str">
        <f ca="1">IFERROR(__xludf.DUMMYFUNCTION("""COMPUTED_VALUE"""),"Purbalingga")</f>
        <v>Purbalingga</v>
      </c>
      <c r="M185" s="7">
        <f ca="1">IFERROR(__xludf.DUMMYFUNCTION("""COMPUTED_VALUE"""),27114)</f>
        <v>27114</v>
      </c>
      <c r="N185" s="4" t="str">
        <f ca="1">IFERROR(__xludf.DUMMYFUNCTION("""COMPUTED_VALUE"""),"Pembina Utama Muda")</f>
        <v>Pembina Utama Muda</v>
      </c>
      <c r="O185" s="3" t="str">
        <f ca="1">IFERROR(__xludf.DUMMYFUNCTION("""COMPUTED_VALUE"""),"IV/c")</f>
        <v>IV/c</v>
      </c>
      <c r="P185" s="7">
        <f ca="1">IFERROR(__xludf.DUMMYFUNCTION("""COMPUTED_VALUE"""),45931)</f>
        <v>45931</v>
      </c>
      <c r="Q185" s="3" t="str">
        <f ca="1">IFERROR(__xludf.DUMMYFUNCTION("""COMPUTED_VALUE"""),"00553/KEP/AA/15001/25")</f>
        <v>00553/KEP/AA/15001/25</v>
      </c>
      <c r="R185" s="3" t="str">
        <f ca="1">IFERROR(__xludf.DUMMYFUNCTION("""COMPUTED_VALUE"""),"Guru Besar")</f>
        <v>Guru Besar</v>
      </c>
      <c r="S185" s="3" t="str">
        <f ca="1">IFERROR(__xludf.DUMMYFUNCTION("""COMPUTED_VALUE"""),"Guru Besar")</f>
        <v>Guru Besar</v>
      </c>
      <c r="T185" s="7">
        <f ca="1">IFERROR(__xludf.DUMMYFUNCTION("""COMPUTED_VALUE"""),45078)</f>
        <v>45078</v>
      </c>
      <c r="U185" s="3" t="str">
        <f ca="1">IFERROR(__xludf.DUMMYFUNCTION("""COMPUTED_VALUE"""),"013759/B.II/3/2023")</f>
        <v>013759/B.II/3/2023</v>
      </c>
      <c r="V185" s="7">
        <f ca="1">IFERROR(__xludf.DUMMYFUNCTION("""COMPUTED_VALUE"""),45092)</f>
        <v>45092</v>
      </c>
      <c r="W185" s="3">
        <f ca="1">IFERROR(__xludf.DUMMYFUNCTION("""COMPUTED_VALUE"""),15)</f>
        <v>15</v>
      </c>
      <c r="X185" s="7" t="str">
        <f ca="1">IFERROR(__xludf.DUMMYFUNCTION("""COMPUTED_VALUE"""),"Ketua Lembaga Penjaminan Mutu")</f>
        <v>Ketua Lembaga Penjaminan Mutu</v>
      </c>
      <c r="Y185" s="3" t="str">
        <f ca="1">IFERROR(__xludf.DUMMYFUNCTION("""COMPUTED_VALUE"""),"S-3")</f>
        <v>S-3</v>
      </c>
      <c r="Z185" s="3" t="str">
        <f ca="1">IFERROR(__xludf.DUMMYFUNCTION("""COMPUTED_VALUE"""),"26 Tahun 10 Bulan 27 Hari")</f>
        <v>26 Tahun 10 Bulan 27 Hari</v>
      </c>
      <c r="AA185" s="8">
        <f ca="1">IFERROR(__xludf.DUMMYFUNCTION("""COMPUTED_VALUE"""),52688)</f>
        <v>52688</v>
      </c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4"/>
      <c r="AR185" s="3"/>
      <c r="AS185" s="4"/>
      <c r="AT185" s="3"/>
      <c r="AU185" s="3"/>
    </row>
    <row r="186" spans="1:47" x14ac:dyDescent="0.2">
      <c r="A186" s="12">
        <v>185</v>
      </c>
      <c r="B186" s="3" t="str">
        <f ca="1">IFERROR(__xludf.DUMMYFUNCTION("""COMPUTED_VALUE"""),"Suraji")</f>
        <v>Suraji</v>
      </c>
      <c r="C186" s="3" t="str">
        <f ca="1">IFERROR(__xludf.DUMMYFUNCTION("""COMPUTED_VALUE"""),"Dr. H. Suraji, M.Ag.")</f>
        <v>Dr. H. Suraji, M.Ag.</v>
      </c>
      <c r="D186" s="3" t="str">
        <f ca="1">IFERROR(__xludf.DUMMYFUNCTION("""COMPUTED_VALUE"""),"Dr. H. Suraji, M.Ag.")</f>
        <v>Dr. H. Suraji, M.Ag.</v>
      </c>
      <c r="E186" s="3" t="str">
        <f ca="1">IFERROR(__xludf.DUMMYFUNCTION("""COMPUTED_VALUE"""),"197204021998031002")</f>
        <v>197204021998031002</v>
      </c>
      <c r="F186" s="3" t="str">
        <f ca="1">IFERROR(__xludf.DUMMYFUNCTION("""COMPUTED_VALUE"""),"19720402 199803 1 002")</f>
        <v>19720402 199803 1 002</v>
      </c>
      <c r="G186" s="3">
        <f ca="1">IFERROR(__xludf.DUMMYFUNCTION("""COMPUTED_VALUE"""),2002047203)</f>
        <v>2002047203</v>
      </c>
      <c r="H186" s="6" t="str">
        <f ca="1">IFERROR(__xludf.DUMMYFUNCTION("""COMPUTED_VALUE"""),"3734750651130152")</f>
        <v>3734750651130152</v>
      </c>
      <c r="I186" s="3" t="str">
        <f ca="1">IFERROR(__xludf.DUMMYFUNCTION("""COMPUTED_VALUE"""),"PNS")</f>
        <v>PNS</v>
      </c>
      <c r="J186" s="3" t="str">
        <f ca="1">IFERROR(__xludf.DUMMYFUNCTION("""COMPUTED_VALUE"""),"Dosen PNS")</f>
        <v>Dosen PNS</v>
      </c>
      <c r="K186" s="5" t="str">
        <f ca="1">IFERROR(__xludf.DUMMYFUNCTION("""COMPUTED_VALUE"""),"L")</f>
        <v>L</v>
      </c>
      <c r="L186" s="3" t="str">
        <f ca="1">IFERROR(__xludf.DUMMYFUNCTION("""COMPUTED_VALUE"""),"Pati")</f>
        <v>Pati</v>
      </c>
      <c r="M186" s="7">
        <f ca="1">IFERROR(__xludf.DUMMYFUNCTION("""COMPUTED_VALUE"""),26391)</f>
        <v>26391</v>
      </c>
      <c r="N186" s="4" t="str">
        <f ca="1">IFERROR(__xludf.DUMMYFUNCTION("""COMPUTED_VALUE"""),"Pembina Utama Muda")</f>
        <v>Pembina Utama Muda</v>
      </c>
      <c r="O186" s="3" t="str">
        <f ca="1">IFERROR(__xludf.DUMMYFUNCTION("""COMPUTED_VALUE"""),"IV/c")</f>
        <v>IV/c</v>
      </c>
      <c r="P186" s="7">
        <f ca="1">IFERROR(__xludf.DUMMYFUNCTION("""COMPUTED_VALUE"""),45444)</f>
        <v>45444</v>
      </c>
      <c r="Q186" s="3" t="str">
        <f ca="1">IFERROR(__xludf.DUMMYFUNCTION("""COMPUTED_VALUE"""),"00219/KEP/AA/15001/24")</f>
        <v>00219/KEP/AA/15001/24</v>
      </c>
      <c r="R186" s="3" t="str">
        <f ca="1">IFERROR(__xludf.DUMMYFUNCTION("""COMPUTED_VALUE"""),"Lektor Kepala")</f>
        <v>Lektor Kepala</v>
      </c>
      <c r="S186" s="3" t="str">
        <f ca="1">IFERROR(__xludf.DUMMYFUNCTION("""COMPUTED_VALUE"""),"Lektor Kepala")</f>
        <v>Lektor Kepala</v>
      </c>
      <c r="T186" s="7">
        <f ca="1">IFERROR(__xludf.DUMMYFUNCTION("""COMPUTED_VALUE"""),39173)</f>
        <v>39173</v>
      </c>
      <c r="U186" s="3" t="str">
        <f ca="1">IFERROR(__xludf.DUMMYFUNCTION("""COMPUTED_VALUE"""),"B.II/3/6993")</f>
        <v>B.II/3/6993</v>
      </c>
      <c r="V186" s="7">
        <f ca="1">IFERROR(__xludf.DUMMYFUNCTION("""COMPUTED_VALUE"""),40087)</f>
        <v>40087</v>
      </c>
      <c r="W186" s="3">
        <f ca="1">IFERROR(__xludf.DUMMYFUNCTION("""COMPUTED_VALUE"""),13)</f>
        <v>13</v>
      </c>
      <c r="X186" s="3"/>
      <c r="Y186" s="3" t="str">
        <f ca="1">IFERROR(__xludf.DUMMYFUNCTION("""COMPUTED_VALUE"""),"S-3")</f>
        <v>S-3</v>
      </c>
      <c r="Z186" s="3" t="str">
        <f ca="1">IFERROR(__xludf.DUMMYFUNCTION("""COMPUTED_VALUE"""),"27 Tahun 10 Bulan 27 Hari")</f>
        <v>27 Tahun 10 Bulan 27 Hari</v>
      </c>
      <c r="AA186" s="8">
        <f ca="1">IFERROR(__xludf.DUMMYFUNCTION("""COMPUTED_VALUE"""),50161)</f>
        <v>50161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4"/>
      <c r="AR186" s="3"/>
      <c r="AS186" s="4"/>
      <c r="AT186" s="3"/>
      <c r="AU186" s="3"/>
    </row>
    <row r="187" spans="1:47" x14ac:dyDescent="0.2">
      <c r="A187" s="12">
        <v>186</v>
      </c>
      <c r="B187" s="3" t="str">
        <f ca="1">IFERROR(__xludf.DUMMYFUNCTION("""COMPUTED_VALUE"""),"Sutrimo Purnomo")</f>
        <v>Sutrimo Purnomo</v>
      </c>
      <c r="C187" s="3" t="str">
        <f ca="1">IFERROR(__xludf.DUMMYFUNCTION("""COMPUTED_VALUE"""),"Dr. Sutrimo Purnomo, M.Pd.")</f>
        <v>Dr. Sutrimo Purnomo, M.Pd.</v>
      </c>
      <c r="D187" s="3" t="str">
        <f ca="1">IFERROR(__xludf.DUMMYFUNCTION("""COMPUTED_VALUE"""),"Dr. Sutrimo Purnomo, M.Pd.")</f>
        <v>Dr. Sutrimo Purnomo, M.Pd.</v>
      </c>
      <c r="E187" s="3" t="str">
        <f ca="1">IFERROR(__xludf.DUMMYFUNCTION("""COMPUTED_VALUE"""),"199201082019031015")</f>
        <v>199201082019031015</v>
      </c>
      <c r="F187" s="3" t="str">
        <f ca="1">IFERROR(__xludf.DUMMYFUNCTION("""COMPUTED_VALUE"""),"19920108 201903 1 015")</f>
        <v>19920108 201903 1 015</v>
      </c>
      <c r="G187" s="3">
        <f ca="1">IFERROR(__xludf.DUMMYFUNCTION("""COMPUTED_VALUE"""),2008019202)</f>
        <v>2008019202</v>
      </c>
      <c r="H187" s="6" t="str">
        <f ca="1">IFERROR(__xludf.DUMMYFUNCTION("""COMPUTED_VALUE"""),"4440770671130302")</f>
        <v>4440770671130302</v>
      </c>
      <c r="I187" s="3" t="str">
        <f ca="1">IFERROR(__xludf.DUMMYFUNCTION("""COMPUTED_VALUE"""),"PNS")</f>
        <v>PNS</v>
      </c>
      <c r="J187" s="3" t="str">
        <f ca="1">IFERROR(__xludf.DUMMYFUNCTION("""COMPUTED_VALUE"""),"Dosen PNS")</f>
        <v>Dosen PNS</v>
      </c>
      <c r="K187" s="5" t="str">
        <f ca="1">IFERROR(__xludf.DUMMYFUNCTION("""COMPUTED_VALUE"""),"L")</f>
        <v>L</v>
      </c>
      <c r="L187" s="3" t="str">
        <f ca="1">IFERROR(__xludf.DUMMYFUNCTION("""COMPUTED_VALUE"""),"Banyumas")</f>
        <v>Banyumas</v>
      </c>
      <c r="M187" s="7">
        <f ca="1">IFERROR(__xludf.DUMMYFUNCTION("""COMPUTED_VALUE"""),33611)</f>
        <v>33611</v>
      </c>
      <c r="N187" s="4" t="str">
        <f ca="1">IFERROR(__xludf.DUMMYFUNCTION("""COMPUTED_VALUE"""),"Penata Tk.I")</f>
        <v>Penata Tk.I</v>
      </c>
      <c r="O187" s="3" t="str">
        <f ca="1">IFERROR(__xludf.DUMMYFUNCTION("""COMPUTED_VALUE"""),"III/d")</f>
        <v>III/d</v>
      </c>
      <c r="P187" s="7">
        <f ca="1">IFERROR(__xludf.DUMMYFUNCTION("""COMPUTED_VALUE"""),45931)</f>
        <v>45931</v>
      </c>
      <c r="Q187" s="3" t="str">
        <f ca="1">IFERROR(__xludf.DUMMYFUNCTION("""COMPUTED_VALUE"""),"199572/B.II/KP.07.1/08/2025")</f>
        <v>199572/B.II/KP.07.1/08/2025</v>
      </c>
      <c r="R187" s="3" t="str">
        <f ca="1">IFERROR(__xludf.DUMMYFUNCTION("""COMPUTED_VALUE"""),"Lektor")</f>
        <v>Lektor</v>
      </c>
      <c r="S187" s="3" t="str">
        <f ca="1">IFERROR(__xludf.DUMMYFUNCTION("""COMPUTED_VALUE"""),"Lektor")</f>
        <v>Lektor</v>
      </c>
      <c r="T187" s="7">
        <f ca="1">IFERROR(__xludf.DUMMYFUNCTION("""COMPUTED_VALUE"""),44986)</f>
        <v>44986</v>
      </c>
      <c r="U187" s="3" t="str">
        <f ca="1">IFERROR(__xludf.DUMMYFUNCTION("""COMPUTED_VALUE"""),"485/Un.19/K.AUPK/Kp.07.6/3/2023")</f>
        <v>485/Un.19/K.AUPK/Kp.07.6/3/2023</v>
      </c>
      <c r="V187" s="7">
        <f ca="1">IFERROR(__xludf.DUMMYFUNCTION("""COMPUTED_VALUE"""),44986)</f>
        <v>44986</v>
      </c>
      <c r="W187" s="3">
        <f ca="1">IFERROR(__xludf.DUMMYFUNCTION("""COMPUTED_VALUE"""),11)</f>
        <v>11</v>
      </c>
      <c r="X187" s="7" t="str">
        <f ca="1">IFERROR(__xludf.DUMMYFUNCTION("""COMPUTED_VALUE"""),"Koordinator Program Studi S-1 Manajemen Pendidikan Islam Pada Fakultas Tarbiyah dan Ilmu Keguruan")</f>
        <v>Koordinator Program Studi S-1 Manajemen Pendidikan Islam Pada Fakultas Tarbiyah dan Ilmu Keguruan</v>
      </c>
      <c r="Y187" s="3" t="str">
        <f ca="1">IFERROR(__xludf.DUMMYFUNCTION("""COMPUTED_VALUE"""),"S-3")</f>
        <v>S-3</v>
      </c>
      <c r="Z187" s="3" t="str">
        <f ca="1">IFERROR(__xludf.DUMMYFUNCTION("""COMPUTED_VALUE"""),"6 Tahun 10 Bulan 27 Hari")</f>
        <v>6 Tahun 10 Bulan 27 Hari</v>
      </c>
      <c r="AA187" s="8">
        <f ca="1">IFERROR(__xludf.DUMMYFUNCTION("""COMPUTED_VALUE"""),57377)</f>
        <v>57377</v>
      </c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4"/>
      <c r="AR187" s="3"/>
      <c r="AS187" s="4"/>
      <c r="AT187" s="3"/>
      <c r="AU187" s="3"/>
    </row>
    <row r="188" spans="1:47" x14ac:dyDescent="0.2">
      <c r="A188" s="12">
        <v>187</v>
      </c>
      <c r="B188" s="3" t="str">
        <f ca="1">IFERROR(__xludf.DUMMYFUNCTION("""COMPUTED_VALUE"""),"Suwito")</f>
        <v>Suwito</v>
      </c>
      <c r="C188" s="3" t="str">
        <f ca="1">IFERROR(__xludf.DUMMYFUNCTION("""COMPUTED_VALUE"""),"Prof. Dr. H. Suwito, M.Ag.")</f>
        <v>Prof. Dr. H. Suwito, M.Ag.</v>
      </c>
      <c r="D188" s="3" t="str">
        <f ca="1">IFERROR(__xludf.DUMMYFUNCTION("""COMPUTED_VALUE"""),"Prof. Dr. H. Suwito, M.Ag.")</f>
        <v>Prof. Dr. H. Suwito, M.Ag.</v>
      </c>
      <c r="E188" s="3" t="str">
        <f ca="1">IFERROR(__xludf.DUMMYFUNCTION("""COMPUTED_VALUE"""),"197104241999031002")</f>
        <v>197104241999031002</v>
      </c>
      <c r="F188" s="3" t="str">
        <f ca="1">IFERROR(__xludf.DUMMYFUNCTION("""COMPUTED_VALUE"""),"19710424 199903 1 002")</f>
        <v>19710424 199903 1 002</v>
      </c>
      <c r="G188" s="3">
        <f ca="1">IFERROR(__xludf.DUMMYFUNCTION("""COMPUTED_VALUE"""),2024047103)</f>
        <v>2024047103</v>
      </c>
      <c r="H188" s="6" t="str">
        <f ca="1">IFERROR(__xludf.DUMMYFUNCTION("""COMPUTED_VALUE"""),"4756749650130172")</f>
        <v>4756749650130172</v>
      </c>
      <c r="I188" s="3" t="str">
        <f ca="1">IFERROR(__xludf.DUMMYFUNCTION("""COMPUTED_VALUE"""),"PNS")</f>
        <v>PNS</v>
      </c>
      <c r="J188" s="3" t="str">
        <f ca="1">IFERROR(__xludf.DUMMYFUNCTION("""COMPUTED_VALUE"""),"Dosen PNS")</f>
        <v>Dosen PNS</v>
      </c>
      <c r="K188" s="5" t="str">
        <f ca="1">IFERROR(__xludf.DUMMYFUNCTION("""COMPUTED_VALUE"""),"L")</f>
        <v>L</v>
      </c>
      <c r="L188" s="3" t="str">
        <f ca="1">IFERROR(__xludf.DUMMYFUNCTION("""COMPUTED_VALUE"""),"Kudus")</f>
        <v>Kudus</v>
      </c>
      <c r="M188" s="7">
        <f ca="1">IFERROR(__xludf.DUMMYFUNCTION("""COMPUTED_VALUE"""),26047)</f>
        <v>26047</v>
      </c>
      <c r="N188" s="4" t="str">
        <f ca="1">IFERROR(__xludf.DUMMYFUNCTION("""COMPUTED_VALUE"""),"Pembina Utama Madya")</f>
        <v>Pembina Utama Madya</v>
      </c>
      <c r="O188" s="3" t="str">
        <f ca="1">IFERROR(__xludf.DUMMYFUNCTION("""COMPUTED_VALUE"""),"IV/d")</f>
        <v>IV/d</v>
      </c>
      <c r="P188" s="7">
        <f ca="1">IFERROR(__xludf.DUMMYFUNCTION("""COMPUTED_VALUE"""),45566)</f>
        <v>45566</v>
      </c>
      <c r="Q188" s="3" t="str">
        <f ca="1">IFERROR(__xludf.DUMMYFUNCTION("""COMPUTED_VALUE"""),"00340/KEP/AA/15001/24")</f>
        <v>00340/KEP/AA/15001/24</v>
      </c>
      <c r="R188" s="3" t="str">
        <f ca="1">IFERROR(__xludf.DUMMYFUNCTION("""COMPUTED_VALUE"""),"Guru Besar")</f>
        <v>Guru Besar</v>
      </c>
      <c r="S188" s="3" t="str">
        <f ca="1">IFERROR(__xludf.DUMMYFUNCTION("""COMPUTED_VALUE"""),"Guru Besar")</f>
        <v>Guru Besar</v>
      </c>
      <c r="T188" s="7">
        <f ca="1">IFERROR(__xludf.DUMMYFUNCTION("""COMPUTED_VALUE"""),44743)</f>
        <v>44743</v>
      </c>
      <c r="U188" s="3" t="str">
        <f ca="1">IFERROR(__xludf.DUMMYFUNCTION("""COMPUTED_VALUE"""),"48176/MPK.A/KP.07.01/2022")</f>
        <v>48176/MPK.A/KP.07.01/2022</v>
      </c>
      <c r="V188" s="7">
        <f ca="1">IFERROR(__xludf.DUMMYFUNCTION("""COMPUTED_VALUE"""),44762)</f>
        <v>44762</v>
      </c>
      <c r="W188" s="3">
        <f ca="1">IFERROR(__xludf.DUMMYFUNCTION("""COMPUTED_VALUE"""),15)</f>
        <v>15</v>
      </c>
      <c r="X188" s="7" t="str">
        <f ca="1">IFERROR(__xludf.DUMMYFUNCTION("""COMPUTED_VALUE"""),"Wakil Rektor Bidang Akademik dan Pengembangan Kelembagaan")</f>
        <v>Wakil Rektor Bidang Akademik dan Pengembangan Kelembagaan</v>
      </c>
      <c r="Y188" s="3" t="str">
        <f ca="1">IFERROR(__xludf.DUMMYFUNCTION("""COMPUTED_VALUE"""),"S-3")</f>
        <v>S-3</v>
      </c>
      <c r="Z188" s="3" t="str">
        <f ca="1">IFERROR(__xludf.DUMMYFUNCTION("""COMPUTED_VALUE"""),"26 Tahun 10 Bulan 27 Hari")</f>
        <v>26 Tahun 10 Bulan 27 Hari</v>
      </c>
      <c r="AA188" s="8">
        <f ca="1">IFERROR(__xludf.DUMMYFUNCTION("""COMPUTED_VALUE"""),51622)</f>
        <v>51622</v>
      </c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4"/>
      <c r="AR188" s="3"/>
      <c r="AS188" s="4"/>
      <c r="AT188" s="3"/>
      <c r="AU188" s="3"/>
    </row>
    <row r="189" spans="1:47" x14ac:dyDescent="0.2">
      <c r="A189" s="12">
        <v>188</v>
      </c>
      <c r="B189" s="3" t="str">
        <f ca="1">IFERROR(__xludf.DUMMYFUNCTION("""COMPUTED_VALUE"""),"Syufa'at")</f>
        <v>Syufa'at</v>
      </c>
      <c r="C189" s="3" t="str">
        <f ca="1">IFERROR(__xludf.DUMMYFUNCTION("""COMPUTED_VALUE"""),"Prof. Dr. H. Syufa'at, M.Ag.")</f>
        <v>Prof. Dr. H. Syufa'at, M.Ag.</v>
      </c>
      <c r="D189" s="3" t="str">
        <f ca="1">IFERROR(__xludf.DUMMYFUNCTION("""COMPUTED_VALUE"""),"Prof. Dr. H. Syufa'at, M.Ag.")</f>
        <v>Prof. Dr. H. Syufa'at, M.Ag.</v>
      </c>
      <c r="E189" s="3" t="str">
        <f ca="1">IFERROR(__xludf.DUMMYFUNCTION("""COMPUTED_VALUE"""),"196309101992031005")</f>
        <v>196309101992031005</v>
      </c>
      <c r="F189" s="3" t="str">
        <f ca="1">IFERROR(__xludf.DUMMYFUNCTION("""COMPUTED_VALUE"""),"19630910 199203 1 005")</f>
        <v>19630910 199203 1 005</v>
      </c>
      <c r="G189" s="3">
        <f ca="1">IFERROR(__xludf.DUMMYFUNCTION("""COMPUTED_VALUE"""),2010096301)</f>
        <v>2010096301</v>
      </c>
      <c r="H189" s="6" t="str">
        <f ca="1">IFERROR(__xludf.DUMMYFUNCTION("""COMPUTED_VALUE"""),"0242741642130113")</f>
        <v>0242741642130113</v>
      </c>
      <c r="I189" s="3" t="str">
        <f ca="1">IFERROR(__xludf.DUMMYFUNCTION("""COMPUTED_VALUE"""),"PNS")</f>
        <v>PNS</v>
      </c>
      <c r="J189" s="3" t="str">
        <f ca="1">IFERROR(__xludf.DUMMYFUNCTION("""COMPUTED_VALUE"""),"Dosen PNS")</f>
        <v>Dosen PNS</v>
      </c>
      <c r="K189" s="5" t="str">
        <f ca="1">IFERROR(__xludf.DUMMYFUNCTION("""COMPUTED_VALUE"""),"L")</f>
        <v>L</v>
      </c>
      <c r="L189" s="3" t="str">
        <f ca="1">IFERROR(__xludf.DUMMYFUNCTION("""COMPUTED_VALUE"""),"Lamongan")</f>
        <v>Lamongan</v>
      </c>
      <c r="M189" s="7">
        <f ca="1">IFERROR(__xludf.DUMMYFUNCTION("""COMPUTED_VALUE"""),23264)</f>
        <v>23264</v>
      </c>
      <c r="N189" s="4" t="str">
        <f ca="1">IFERROR(__xludf.DUMMYFUNCTION("""COMPUTED_VALUE"""),"Pembina Utama Madya")</f>
        <v>Pembina Utama Madya</v>
      </c>
      <c r="O189" s="3" t="str">
        <f ca="1">IFERROR(__xludf.DUMMYFUNCTION("""COMPUTED_VALUE"""),"IV/d")</f>
        <v>IV/d</v>
      </c>
      <c r="P189" s="7">
        <f ca="1">IFERROR(__xludf.DUMMYFUNCTION("""COMPUTED_VALUE"""),45323)</f>
        <v>45323</v>
      </c>
      <c r="Q189" s="3" t="str">
        <f ca="1">IFERROR(__xludf.DUMMYFUNCTION("""COMPUTED_VALUE"""),"00013/KEP/AA/15001/24")</f>
        <v>00013/KEP/AA/15001/24</v>
      </c>
      <c r="R189" s="3" t="str">
        <f ca="1">IFERROR(__xludf.DUMMYFUNCTION("""COMPUTED_VALUE"""),"Guru Besar")</f>
        <v>Guru Besar</v>
      </c>
      <c r="S189" s="3" t="str">
        <f ca="1">IFERROR(__xludf.DUMMYFUNCTION("""COMPUTED_VALUE"""),"Guru Besar")</f>
        <v>Guru Besar</v>
      </c>
      <c r="T189" s="7">
        <f ca="1">IFERROR(__xludf.DUMMYFUNCTION("""COMPUTED_VALUE"""),45170)</f>
        <v>45170</v>
      </c>
      <c r="U189" s="3" t="str">
        <f ca="1">IFERROR(__xludf.DUMMYFUNCTION("""COMPUTED_VALUE"""),"116211/B.II/3/2023")</f>
        <v>116211/B.II/3/2023</v>
      </c>
      <c r="V189" s="7">
        <f ca="1">IFERROR(__xludf.DUMMYFUNCTION("""COMPUTED_VALUE"""),45218)</f>
        <v>45218</v>
      </c>
      <c r="W189" s="3">
        <f ca="1">IFERROR(__xludf.DUMMYFUNCTION("""COMPUTED_VALUE"""),15)</f>
        <v>15</v>
      </c>
      <c r="X189" s="7" t="str">
        <f ca="1">IFERROR(__xludf.DUMMYFUNCTION("""COMPUTED_VALUE"""),"Anggota Senat")</f>
        <v>Anggota Senat</v>
      </c>
      <c r="Y189" s="3" t="str">
        <f ca="1">IFERROR(__xludf.DUMMYFUNCTION("""COMPUTED_VALUE"""),"S-3")</f>
        <v>S-3</v>
      </c>
      <c r="Z189" s="3" t="str">
        <f ca="1">IFERROR(__xludf.DUMMYFUNCTION("""COMPUTED_VALUE"""),"33 Tahun 10 Bulan 27 Hari")</f>
        <v>33 Tahun 10 Bulan 27 Hari</v>
      </c>
      <c r="AA189" s="8">
        <f ca="1">IFERROR(__xludf.DUMMYFUNCTION("""COMPUTED_VALUE"""),48853)</f>
        <v>48853</v>
      </c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4"/>
      <c r="AR189" s="3"/>
      <c r="AS189" s="4"/>
      <c r="AT189" s="3"/>
      <c r="AU189" s="3"/>
    </row>
    <row r="190" spans="1:47" x14ac:dyDescent="0.2">
      <c r="A190" s="12">
        <v>189</v>
      </c>
      <c r="B190" s="3" t="str">
        <f ca="1">IFERROR(__xludf.DUMMYFUNCTION("""COMPUTED_VALUE"""),"Toifur")</f>
        <v>Toifur</v>
      </c>
      <c r="C190" s="3" t="str">
        <f ca="1">IFERROR(__xludf.DUMMYFUNCTION("""COMPUTED_VALUE"""),"Dr. H. Toifur, S.Ag., M.Si.")</f>
        <v>Dr. H. Toifur, S.Ag., M.Si.</v>
      </c>
      <c r="D190" s="3" t="str">
        <f ca="1">IFERROR(__xludf.DUMMYFUNCTION("""COMPUTED_VALUE"""),"Dr. H. Toifur, S.Ag., M.Si.")</f>
        <v>Dr. H. Toifur, S.Ag., M.Si.</v>
      </c>
      <c r="E190" s="3" t="str">
        <f ca="1">IFERROR(__xludf.DUMMYFUNCTION("""COMPUTED_VALUE"""),"197212172003121001")</f>
        <v>197212172003121001</v>
      </c>
      <c r="F190" s="3" t="str">
        <f ca="1">IFERROR(__xludf.DUMMYFUNCTION("""COMPUTED_VALUE"""),"19721217 200312 1 001")</f>
        <v>19721217 200312 1 001</v>
      </c>
      <c r="G190" s="3">
        <f ca="1">IFERROR(__xludf.DUMMYFUNCTION("""COMPUTED_VALUE"""),2017127202)</f>
        <v>2017127202</v>
      </c>
      <c r="H190" s="6" t="str">
        <f ca="1">IFERROR(__xludf.DUMMYFUNCTION("""COMPUTED_VALUE"""),"7549750651130093")</f>
        <v>7549750651130093</v>
      </c>
      <c r="I190" s="3" t="str">
        <f ca="1">IFERROR(__xludf.DUMMYFUNCTION("""COMPUTED_VALUE"""),"PNS")</f>
        <v>PNS</v>
      </c>
      <c r="J190" s="3" t="str">
        <f ca="1">IFERROR(__xludf.DUMMYFUNCTION("""COMPUTED_VALUE"""),"Dosen PNS")</f>
        <v>Dosen PNS</v>
      </c>
      <c r="K190" s="5" t="str">
        <f ca="1">IFERROR(__xludf.DUMMYFUNCTION("""COMPUTED_VALUE"""),"L")</f>
        <v>L</v>
      </c>
      <c r="L190" s="3" t="str">
        <f ca="1">IFERROR(__xludf.DUMMYFUNCTION("""COMPUTED_VALUE"""),"Cilacap")</f>
        <v>Cilacap</v>
      </c>
      <c r="M190" s="9">
        <f ca="1">IFERROR(__xludf.DUMMYFUNCTION("""COMPUTED_VALUE"""),26650)</f>
        <v>26650</v>
      </c>
      <c r="N190" s="4" t="str">
        <f ca="1">IFERROR(__xludf.DUMMYFUNCTION("""COMPUTED_VALUE"""),"Pembina Tk.I")</f>
        <v>Pembina Tk.I</v>
      </c>
      <c r="O190" s="3" t="str">
        <f ca="1">IFERROR(__xludf.DUMMYFUNCTION("""COMPUTED_VALUE"""),"IV/b")</f>
        <v>IV/b</v>
      </c>
      <c r="P190" s="7">
        <f ca="1">IFERROR(__xludf.DUMMYFUNCTION("""COMPUTED_VALUE"""),45383)</f>
        <v>45383</v>
      </c>
      <c r="Q190" s="3" t="str">
        <f ca="1">IFERROR(__xludf.DUMMYFUNCTION("""COMPUTED_VALUE"""),"014643/B.II/3/2024")</f>
        <v>014643/B.II/3/2024</v>
      </c>
      <c r="R190" s="3" t="str">
        <f ca="1">IFERROR(__xludf.DUMMYFUNCTION("""COMPUTED_VALUE"""),"Lektor Kepala")</f>
        <v>Lektor Kepala</v>
      </c>
      <c r="S190" s="3" t="str">
        <f ca="1">IFERROR(__xludf.DUMMYFUNCTION("""COMPUTED_VALUE"""),"Lektor Kepala")</f>
        <v>Lektor Kepala</v>
      </c>
      <c r="T190" s="7">
        <f ca="1">IFERROR(__xludf.DUMMYFUNCTION("""COMPUTED_VALUE"""),41548)</f>
        <v>41548</v>
      </c>
      <c r="U190" s="3" t="str">
        <f ca="1">IFERROR(__xludf.DUMMYFUNCTION("""COMPUTED_VALUE"""),"B.II/3/12428")</f>
        <v>B.II/3/12428</v>
      </c>
      <c r="V190" s="7">
        <f ca="1">IFERROR(__xludf.DUMMYFUNCTION("""COMPUTED_VALUE"""),41548)</f>
        <v>41548</v>
      </c>
      <c r="W190" s="3">
        <f ca="1">IFERROR(__xludf.DUMMYFUNCTION("""COMPUTED_VALUE"""),13)</f>
        <v>13</v>
      </c>
      <c r="X190" s="7" t="str">
        <f ca="1">IFERROR(__xludf.DUMMYFUNCTION("""COMPUTED_VALUE"""),"Sekretaris pada Lembaga Penelitian dan Pengabdian Kepada Masyarakat")</f>
        <v>Sekretaris pada Lembaga Penelitian dan Pengabdian Kepada Masyarakat</v>
      </c>
      <c r="Y190" s="3" t="str">
        <f ca="1">IFERROR(__xludf.DUMMYFUNCTION("""COMPUTED_VALUE"""),"S-3")</f>
        <v>S-3</v>
      </c>
      <c r="Z190" s="3" t="str">
        <f ca="1">IFERROR(__xludf.DUMMYFUNCTION("""COMPUTED_VALUE"""),"22 Tahun 1 Bulan 27 Hari")</f>
        <v>22 Tahun 1 Bulan 27 Hari</v>
      </c>
      <c r="AA190" s="8">
        <f ca="1">IFERROR(__xludf.DUMMYFUNCTION("""COMPUTED_VALUE"""),50406)</f>
        <v>50406</v>
      </c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4"/>
      <c r="AR190" s="3"/>
      <c r="AS190" s="4"/>
      <c r="AT190" s="3"/>
      <c r="AU190" s="3"/>
    </row>
    <row r="191" spans="1:47" x14ac:dyDescent="0.2">
      <c r="A191" s="12">
        <v>190</v>
      </c>
      <c r="B191" s="3" t="str">
        <f ca="1">IFERROR(__xludf.DUMMYFUNCTION("""COMPUTED_VALUE"""),"Tri Wibowo")</f>
        <v>Tri Wibowo</v>
      </c>
      <c r="C191" s="3" t="str">
        <f ca="1">IFERROR(__xludf.DUMMYFUNCTION("""COMPUTED_VALUE"""),"Tri Wibowo, M.Pd.I.")</f>
        <v>Tri Wibowo, M.Pd.I.</v>
      </c>
      <c r="D191" s="3" t="str">
        <f ca="1">IFERROR(__xludf.DUMMYFUNCTION("""COMPUTED_VALUE"""),"Tri Wibowo, M.Pd.I.")</f>
        <v>Tri Wibowo, M.Pd.I.</v>
      </c>
      <c r="E191" s="3" t="str">
        <f ca="1">IFERROR(__xludf.DUMMYFUNCTION("""COMPUTED_VALUE"""),"199112312018011002")</f>
        <v>199112312018011002</v>
      </c>
      <c r="F191" s="3" t="str">
        <f ca="1">IFERROR(__xludf.DUMMYFUNCTION("""COMPUTED_VALUE"""),"19911231 201801 1 002")</f>
        <v>19911231 201801 1 002</v>
      </c>
      <c r="G191" s="3">
        <f ca="1">IFERROR(__xludf.DUMMYFUNCTION("""COMPUTED_VALUE"""),2031129101)</f>
        <v>2031129101</v>
      </c>
      <c r="H191" s="6" t="str">
        <f ca="1">IFERROR(__xludf.DUMMYFUNCTION("""COMPUTED_VALUE"""),"0563769670137023")</f>
        <v>0563769670137023</v>
      </c>
      <c r="I191" s="3" t="str">
        <f ca="1">IFERROR(__xludf.DUMMYFUNCTION("""COMPUTED_VALUE"""),"PNS")</f>
        <v>PNS</v>
      </c>
      <c r="J191" s="3" t="str">
        <f ca="1">IFERROR(__xludf.DUMMYFUNCTION("""COMPUTED_VALUE"""),"Dosen PNS")</f>
        <v>Dosen PNS</v>
      </c>
      <c r="K191" s="5" t="str">
        <f ca="1">IFERROR(__xludf.DUMMYFUNCTION("""COMPUTED_VALUE"""),"L")</f>
        <v>L</v>
      </c>
      <c r="L191" s="3" t="str">
        <f ca="1">IFERROR(__xludf.DUMMYFUNCTION("""COMPUTED_VALUE"""),"Purbalingga")</f>
        <v>Purbalingga</v>
      </c>
      <c r="M191" s="9">
        <f ca="1">IFERROR(__xludf.DUMMYFUNCTION("""COMPUTED_VALUE"""),33603)</f>
        <v>33603</v>
      </c>
      <c r="N191" s="4" t="str">
        <f ca="1">IFERROR(__xludf.DUMMYFUNCTION("""COMPUTED_VALUE"""),"Penata Tk.I")</f>
        <v>Penata Tk.I</v>
      </c>
      <c r="O191" s="3" t="str">
        <f ca="1">IFERROR(__xludf.DUMMYFUNCTION("""COMPUTED_VALUE"""),"III/d")</f>
        <v>III/d</v>
      </c>
      <c r="P191" s="7">
        <f ca="1">IFERROR(__xludf.DUMMYFUNCTION("""COMPUTED_VALUE"""),45383)</f>
        <v>45383</v>
      </c>
      <c r="Q191" s="3" t="str">
        <f ca="1">IFERROR(__xludf.DUMMYFUNCTION("""COMPUTED_VALUE"""),"506/Un.19/K.AUPK/KP.07.1/03/2024")</f>
        <v>506/Un.19/K.AUPK/KP.07.1/03/2024</v>
      </c>
      <c r="R191" s="3" t="str">
        <f ca="1">IFERROR(__xludf.DUMMYFUNCTION("""COMPUTED_VALUE"""),"Lektor")</f>
        <v>Lektor</v>
      </c>
      <c r="S191" s="3" t="str">
        <f ca="1">IFERROR(__xludf.DUMMYFUNCTION("""COMPUTED_VALUE"""),"Lektor")</f>
        <v>Lektor</v>
      </c>
      <c r="T191" s="7">
        <f ca="1">IFERROR(__xludf.DUMMYFUNCTION("""COMPUTED_VALUE"""),44440)</f>
        <v>44440</v>
      </c>
      <c r="U191" s="3"/>
      <c r="V191" s="3"/>
      <c r="W191" s="3">
        <f ca="1">IFERROR(__xludf.DUMMYFUNCTION("""COMPUTED_VALUE"""),11)</f>
        <v>11</v>
      </c>
      <c r="X191" s="3"/>
      <c r="Y191" s="3" t="str">
        <f ca="1">IFERROR(__xludf.DUMMYFUNCTION("""COMPUTED_VALUE"""),"S-2")</f>
        <v>S-2</v>
      </c>
      <c r="Z191" s="3" t="str">
        <f ca="1">IFERROR(__xludf.DUMMYFUNCTION("""COMPUTED_VALUE"""),"8 Tahun 0 Bulan 27 Hari")</f>
        <v>8 Tahun 0 Bulan 27 Hari</v>
      </c>
      <c r="AA191" s="8">
        <f ca="1">IFERROR(__xludf.DUMMYFUNCTION("""COMPUTED_VALUE"""),57346)</f>
        <v>57346</v>
      </c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4"/>
      <c r="AR191" s="3"/>
      <c r="AS191" s="4"/>
      <c r="AT191" s="3"/>
      <c r="AU191" s="3"/>
    </row>
    <row r="192" spans="1:47" x14ac:dyDescent="0.2">
      <c r="A192" s="12">
        <v>191</v>
      </c>
      <c r="B192" s="3" t="str">
        <f ca="1">IFERROR(__xludf.DUMMYFUNCTION("""COMPUTED_VALUE"""),"Turhamun")</f>
        <v>Turhamun</v>
      </c>
      <c r="C192" s="3" t="str">
        <f ca="1">IFERROR(__xludf.DUMMYFUNCTION("""COMPUTED_VALUE"""),"Turhamun, S.Sos.I., M.S.I.")</f>
        <v>Turhamun, S.Sos.I., M.S.I.</v>
      </c>
      <c r="D192" s="3" t="str">
        <f ca="1">IFERROR(__xludf.DUMMYFUNCTION("""COMPUTED_VALUE"""),"Dr. Turhamun, S.Sos.I., M.S.I.")</f>
        <v>Dr. Turhamun, S.Sos.I., M.S.I.</v>
      </c>
      <c r="E192" s="3" t="str">
        <f ca="1">IFERROR(__xludf.DUMMYFUNCTION("""COMPUTED_VALUE"""),"198702022019031011")</f>
        <v>198702022019031011</v>
      </c>
      <c r="F192" s="3" t="str">
        <f ca="1">IFERROR(__xludf.DUMMYFUNCTION("""COMPUTED_VALUE"""),"19870202 201903 1 011")</f>
        <v>19870202 201903 1 011</v>
      </c>
      <c r="G192" s="3">
        <f ca="1">IFERROR(__xludf.DUMMYFUNCTION("""COMPUTED_VALUE"""),2002028704)</f>
        <v>2002028704</v>
      </c>
      <c r="H192" s="6" t="str">
        <f ca="1">IFERROR(__xludf.DUMMYFUNCTION("""COMPUTED_VALUE"""),"7534765666130412")</f>
        <v>7534765666130412</v>
      </c>
      <c r="I192" s="3" t="str">
        <f ca="1">IFERROR(__xludf.DUMMYFUNCTION("""COMPUTED_VALUE"""),"PNS")</f>
        <v>PNS</v>
      </c>
      <c r="J192" s="3" t="str">
        <f ca="1">IFERROR(__xludf.DUMMYFUNCTION("""COMPUTED_VALUE"""),"Dosen PNS")</f>
        <v>Dosen PNS</v>
      </c>
      <c r="K192" s="5" t="str">
        <f ca="1">IFERROR(__xludf.DUMMYFUNCTION("""COMPUTED_VALUE"""),"L")</f>
        <v>L</v>
      </c>
      <c r="L192" s="3" t="str">
        <f ca="1">IFERROR(__xludf.DUMMYFUNCTION("""COMPUTED_VALUE"""),"Kebumen")</f>
        <v>Kebumen</v>
      </c>
      <c r="M192" s="7">
        <f ca="1">IFERROR(__xludf.DUMMYFUNCTION("""COMPUTED_VALUE"""),31810)</f>
        <v>31810</v>
      </c>
      <c r="N192" s="4" t="str">
        <f ca="1">IFERROR(__xludf.DUMMYFUNCTION("""COMPUTED_VALUE"""),"Penata Tk.I")</f>
        <v>Penata Tk.I</v>
      </c>
      <c r="O192" s="3" t="str">
        <f ca="1">IFERROR(__xludf.DUMMYFUNCTION("""COMPUTED_VALUE"""),"III/d")</f>
        <v>III/d</v>
      </c>
      <c r="P192" s="7">
        <f ca="1">IFERROR(__xludf.DUMMYFUNCTION("""COMPUTED_VALUE"""),45931)</f>
        <v>45931</v>
      </c>
      <c r="Q192" s="3" t="str">
        <f ca="1">IFERROR(__xludf.DUMMYFUNCTION("""COMPUTED_VALUE"""),"199573/B.II/KP.07.1/08/2025")</f>
        <v>199573/B.II/KP.07.1/08/2025</v>
      </c>
      <c r="R192" s="3" t="str">
        <f ca="1">IFERROR(__xludf.DUMMYFUNCTION("""COMPUTED_VALUE"""),"Lektor")</f>
        <v>Lektor</v>
      </c>
      <c r="S192" s="3" t="str">
        <f ca="1">IFERROR(__xludf.DUMMYFUNCTION("""COMPUTED_VALUE"""),"Lektor")</f>
        <v>Lektor</v>
      </c>
      <c r="T192" s="7">
        <f ca="1">IFERROR(__xludf.DUMMYFUNCTION("""COMPUTED_VALUE"""),44986)</f>
        <v>44986</v>
      </c>
      <c r="U192" s="3" t="str">
        <f ca="1">IFERROR(__xludf.DUMMYFUNCTION("""COMPUTED_VALUE"""),"487/Un.19/K.AUPK/Kp.07.6/3/2023")</f>
        <v>487/Un.19/K.AUPK/Kp.07.6/3/2023</v>
      </c>
      <c r="V192" s="7">
        <f ca="1">IFERROR(__xludf.DUMMYFUNCTION("""COMPUTED_VALUE"""),44986)</f>
        <v>44986</v>
      </c>
      <c r="W192" s="3">
        <f ca="1">IFERROR(__xludf.DUMMYFUNCTION("""COMPUTED_VALUE"""),11)</f>
        <v>11</v>
      </c>
      <c r="X192" s="7" t="str">
        <f ca="1">IFERROR(__xludf.DUMMYFUNCTION("""COMPUTED_VALUE"""),"Kepala Pusat Kajian Moderasi Beragama dan Pancasila Pada Lembaga Penelitian dan Pengabdian Kepada Masyarakat")</f>
        <v>Kepala Pusat Kajian Moderasi Beragama dan Pancasila Pada Lembaga Penelitian dan Pengabdian Kepada Masyarakat</v>
      </c>
      <c r="Y192" s="3" t="str">
        <f ca="1">IFERROR(__xludf.DUMMYFUNCTION("""COMPUTED_VALUE"""),"S-3")</f>
        <v>S-3</v>
      </c>
      <c r="Z192" s="3" t="str">
        <f ca="1">IFERROR(__xludf.DUMMYFUNCTION("""COMPUTED_VALUE"""),"6 Tahun 10 Bulan 27 Hari")</f>
        <v>6 Tahun 10 Bulan 27 Hari</v>
      </c>
      <c r="AA192" s="8">
        <f ca="1">IFERROR(__xludf.DUMMYFUNCTION("""COMPUTED_VALUE"""),55579)</f>
        <v>55579</v>
      </c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4"/>
      <c r="AR192" s="3"/>
      <c r="AS192" s="4"/>
      <c r="AT192" s="3"/>
      <c r="AU192" s="3"/>
    </row>
    <row r="193" spans="1:47" x14ac:dyDescent="0.2">
      <c r="A193" s="12">
        <v>192</v>
      </c>
      <c r="B193" s="3" t="str">
        <f ca="1">IFERROR(__xludf.DUMMYFUNCTION("""COMPUTED_VALUE"""),"Tutuk Ningsih")</f>
        <v>Tutuk Ningsih</v>
      </c>
      <c r="C193" s="3" t="str">
        <f ca="1">IFERROR(__xludf.DUMMYFUNCTION("""COMPUTED_VALUE"""),"Prof. Dr. Hj. Tutuk Ningsih, S.Ag., M.Pd.")</f>
        <v>Prof. Dr. Hj. Tutuk Ningsih, S.Ag., M.Pd.</v>
      </c>
      <c r="D193" s="3" t="str">
        <f ca="1">IFERROR(__xludf.DUMMYFUNCTION("""COMPUTED_VALUE"""),"Prof. Dr. Hj. Tutuk Ningsih, S.Ag., M.Pd.")</f>
        <v>Prof. Dr. Hj. Tutuk Ningsih, S.Ag., M.Pd.</v>
      </c>
      <c r="E193" s="3" t="str">
        <f ca="1">IFERROR(__xludf.DUMMYFUNCTION("""COMPUTED_VALUE"""),"196409161998032001")</f>
        <v>196409161998032001</v>
      </c>
      <c r="F193" s="3" t="str">
        <f ca="1">IFERROR(__xludf.DUMMYFUNCTION("""COMPUTED_VALUE"""),"19640916 199803 2 001")</f>
        <v>19640916 199803 2 001</v>
      </c>
      <c r="G193" s="3">
        <f ca="1">IFERROR(__xludf.DUMMYFUNCTION("""COMPUTED_VALUE"""),2016096402)</f>
        <v>2016096402</v>
      </c>
      <c r="H193" s="6" t="str">
        <f ca="1">IFERROR(__xludf.DUMMYFUNCTION("""COMPUTED_VALUE"""),"8248742643230073")</f>
        <v>8248742643230073</v>
      </c>
      <c r="I193" s="3" t="str">
        <f ca="1">IFERROR(__xludf.DUMMYFUNCTION("""COMPUTED_VALUE"""),"PNS")</f>
        <v>PNS</v>
      </c>
      <c r="J193" s="3" t="str">
        <f ca="1">IFERROR(__xludf.DUMMYFUNCTION("""COMPUTED_VALUE"""),"Dosen PNS")</f>
        <v>Dosen PNS</v>
      </c>
      <c r="K193" s="5" t="str">
        <f ca="1">IFERROR(__xludf.DUMMYFUNCTION("""COMPUTED_VALUE"""),"P")</f>
        <v>P</v>
      </c>
      <c r="L193" s="3" t="str">
        <f ca="1">IFERROR(__xludf.DUMMYFUNCTION("""COMPUTED_VALUE"""),"Probolinggo")</f>
        <v>Probolinggo</v>
      </c>
      <c r="M193" s="7">
        <f ca="1">IFERROR(__xludf.DUMMYFUNCTION("""COMPUTED_VALUE"""),23636)</f>
        <v>23636</v>
      </c>
      <c r="N193" s="4" t="str">
        <f ca="1">IFERROR(__xludf.DUMMYFUNCTION("""COMPUTED_VALUE"""),"Pembina Utama Madya")</f>
        <v>Pembina Utama Madya</v>
      </c>
      <c r="O193" s="3" t="str">
        <f ca="1">IFERROR(__xludf.DUMMYFUNCTION("""COMPUTED_VALUE"""),"IV/d")</f>
        <v>IV/d</v>
      </c>
      <c r="P193" s="7">
        <f ca="1">IFERROR(__xludf.DUMMYFUNCTION("""COMPUTED_VALUE"""),45566)</f>
        <v>45566</v>
      </c>
      <c r="Q193" s="3" t="str">
        <f ca="1">IFERROR(__xludf.DUMMYFUNCTION("""COMPUTED_VALUE"""),"00340/KEP/AA/15001/24")</f>
        <v>00340/KEP/AA/15001/24</v>
      </c>
      <c r="R193" s="3" t="str">
        <f ca="1">IFERROR(__xludf.DUMMYFUNCTION("""COMPUTED_VALUE"""),"Guru Besar")</f>
        <v>Guru Besar</v>
      </c>
      <c r="S193" s="3" t="str">
        <f ca="1">IFERROR(__xludf.DUMMYFUNCTION("""COMPUTED_VALUE"""),"Guru Besar")</f>
        <v>Guru Besar</v>
      </c>
      <c r="T193" s="7">
        <f ca="1">IFERROR(__xludf.DUMMYFUNCTION("""COMPUTED_VALUE"""),44652)</f>
        <v>44652</v>
      </c>
      <c r="U193" s="3" t="str">
        <f ca="1">IFERROR(__xludf.DUMMYFUNCTION("""COMPUTED_VALUE"""),"26488/MPK.A/KP.05.01/2022")</f>
        <v>26488/MPK.A/KP.05.01/2022</v>
      </c>
      <c r="V193" s="7">
        <f ca="1">IFERROR(__xludf.DUMMYFUNCTION("""COMPUTED_VALUE"""),44671)</f>
        <v>44671</v>
      </c>
      <c r="W193" s="3">
        <f ca="1">IFERROR(__xludf.DUMMYFUNCTION("""COMPUTED_VALUE"""),15)</f>
        <v>15</v>
      </c>
      <c r="X193" s="7" t="str">
        <f ca="1">IFERROR(__xludf.DUMMYFUNCTION("""COMPUTED_VALUE"""),"Wakil Dekan Bidang Administrasi Umum, Perencanaan dan Keuangan Pada Fakultas Ekonomi dan Bisnis Islam")</f>
        <v>Wakil Dekan Bidang Administrasi Umum, Perencanaan dan Keuangan Pada Fakultas Ekonomi dan Bisnis Islam</v>
      </c>
      <c r="Y193" s="3" t="str">
        <f ca="1">IFERROR(__xludf.DUMMYFUNCTION("""COMPUTED_VALUE"""),"S-3")</f>
        <v>S-3</v>
      </c>
      <c r="Z193" s="3" t="str">
        <f ca="1">IFERROR(__xludf.DUMMYFUNCTION("""COMPUTED_VALUE"""),"27 Tahun 10 Bulan 27 Hari")</f>
        <v>27 Tahun 10 Bulan 27 Hari</v>
      </c>
      <c r="AA193" s="8">
        <f ca="1">IFERROR(__xludf.DUMMYFUNCTION("""COMPUTED_VALUE"""),49218)</f>
        <v>49218</v>
      </c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4"/>
      <c r="AR193" s="3"/>
      <c r="AS193" s="4"/>
      <c r="AT193" s="3"/>
      <c r="AU193" s="3"/>
    </row>
    <row r="194" spans="1:47" x14ac:dyDescent="0.2">
      <c r="A194" s="12">
        <v>193</v>
      </c>
      <c r="B194" s="3" t="str">
        <f ca="1">IFERROR(__xludf.DUMMYFUNCTION("""COMPUTED_VALUE"""),"Ubaidillah")</f>
        <v>Ubaidillah</v>
      </c>
      <c r="C194" s="3" t="str">
        <f ca="1">IFERROR(__xludf.DUMMYFUNCTION("""COMPUTED_VALUE"""),"H. Ubaidillah, S.E., M.E.I.")</f>
        <v>H. Ubaidillah, S.E., M.E.I.</v>
      </c>
      <c r="D194" s="3" t="str">
        <f ca="1">IFERROR(__xludf.DUMMYFUNCTION("""COMPUTED_VALUE"""),"H. Ubaidillah, S.E., M.E.I.")</f>
        <v>H. Ubaidillah, S.E., M.E.I.</v>
      </c>
      <c r="E194" s="3" t="str">
        <f ca="1">IFERROR(__xludf.DUMMYFUNCTION("""COMPUTED_VALUE"""),"198809242019031008")</f>
        <v>198809242019031008</v>
      </c>
      <c r="F194" s="3" t="str">
        <f ca="1">IFERROR(__xludf.DUMMYFUNCTION("""COMPUTED_VALUE"""),"19880924 201903 1 008")</f>
        <v>19880924 201903 1 008</v>
      </c>
      <c r="G194" s="3">
        <f ca="1">IFERROR(__xludf.DUMMYFUNCTION("""COMPUTED_VALUE"""),2024098801)</f>
        <v>2024098801</v>
      </c>
      <c r="H194" s="6" t="str">
        <f ca="1">IFERROR(__xludf.DUMMYFUNCTION("""COMPUTED_VALUE"""),"4256766667130233")</f>
        <v>4256766667130233</v>
      </c>
      <c r="I194" s="3" t="str">
        <f ca="1">IFERROR(__xludf.DUMMYFUNCTION("""COMPUTED_VALUE"""),"PNS")</f>
        <v>PNS</v>
      </c>
      <c r="J194" s="3" t="str">
        <f ca="1">IFERROR(__xludf.DUMMYFUNCTION("""COMPUTED_VALUE"""),"Dosen PNS")</f>
        <v>Dosen PNS</v>
      </c>
      <c r="K194" s="5" t="str">
        <f ca="1">IFERROR(__xludf.DUMMYFUNCTION("""COMPUTED_VALUE"""),"L")</f>
        <v>L</v>
      </c>
      <c r="L194" s="3" t="str">
        <f ca="1">IFERROR(__xludf.DUMMYFUNCTION("""COMPUTED_VALUE"""),"Cilacap")</f>
        <v>Cilacap</v>
      </c>
      <c r="M194" s="7">
        <f ca="1">IFERROR(__xludf.DUMMYFUNCTION("""COMPUTED_VALUE"""),32410)</f>
        <v>32410</v>
      </c>
      <c r="N194" s="4" t="str">
        <f ca="1">IFERROR(__xludf.DUMMYFUNCTION("""COMPUTED_VALUE"""),"Penata Tk.I")</f>
        <v>Penata Tk.I</v>
      </c>
      <c r="O194" s="3" t="str">
        <f ca="1">IFERROR(__xludf.DUMMYFUNCTION("""COMPUTED_VALUE"""),"III/d")</f>
        <v>III/d</v>
      </c>
      <c r="P194" s="7">
        <f ca="1">IFERROR(__xludf.DUMMYFUNCTION("""COMPUTED_VALUE"""),45566)</f>
        <v>45566</v>
      </c>
      <c r="Q194" s="3" t="str">
        <f ca="1">IFERROR(__xludf.DUMMYFUNCTION("""COMPUTED_VALUE"""),"841/Un.19/K.AUPK/KP.07.1/08/2024")</f>
        <v>841/Un.19/K.AUPK/KP.07.1/08/2024</v>
      </c>
      <c r="R194" s="3" t="str">
        <f ca="1">IFERROR(__xludf.DUMMYFUNCTION("""COMPUTED_VALUE"""),"Lektor")</f>
        <v>Lektor</v>
      </c>
      <c r="S194" s="3" t="str">
        <f ca="1">IFERROR(__xludf.DUMMYFUNCTION("""COMPUTED_VALUE"""),"Lektor")</f>
        <v>Lektor</v>
      </c>
      <c r="T194" s="7">
        <f ca="1">IFERROR(__xludf.DUMMYFUNCTION("""COMPUTED_VALUE"""),44621)</f>
        <v>44621</v>
      </c>
      <c r="U194" s="3"/>
      <c r="V194" s="3"/>
      <c r="W194" s="3">
        <f ca="1">IFERROR(__xludf.DUMMYFUNCTION("""COMPUTED_VALUE"""),11)</f>
        <v>11</v>
      </c>
      <c r="X194" s="7" t="str">
        <f ca="1">IFERROR(__xludf.DUMMYFUNCTION("""COMPUTED_VALUE"""),"Koordinator Program Studi S-1 Studi Agama Agama Pada Fakultas Ushuluddin, Adab, dan Humaniora")</f>
        <v>Koordinator Program Studi S-1 Studi Agama Agama Pada Fakultas Ushuluddin, Adab, dan Humaniora</v>
      </c>
      <c r="Y194" s="3" t="str">
        <f ca="1">IFERROR(__xludf.DUMMYFUNCTION("""COMPUTED_VALUE"""),"S-2")</f>
        <v>S-2</v>
      </c>
      <c r="Z194" s="3" t="str">
        <f ca="1">IFERROR(__xludf.DUMMYFUNCTION("""COMPUTED_VALUE"""),"6 Tahun 10 Bulan 27 Hari")</f>
        <v>6 Tahun 10 Bulan 27 Hari</v>
      </c>
      <c r="AA194" s="8">
        <f ca="1">IFERROR(__xludf.DUMMYFUNCTION("""COMPUTED_VALUE"""),56158)</f>
        <v>56158</v>
      </c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4"/>
      <c r="AR194" s="3"/>
      <c r="AS194" s="4"/>
      <c r="AT194" s="3"/>
      <c r="AU194" s="3"/>
    </row>
    <row r="195" spans="1:47" x14ac:dyDescent="0.2">
      <c r="A195" s="12">
        <v>194</v>
      </c>
      <c r="B195" s="3" t="str">
        <f ca="1">IFERROR(__xludf.DUMMYFUNCTION("""COMPUTED_VALUE"""),"Ulul Aedi")</f>
        <v>Ulul Aedi</v>
      </c>
      <c r="C195" s="3" t="str">
        <f ca="1">IFERROR(__xludf.DUMMYFUNCTION("""COMPUTED_VALUE"""),"Ulul Aedi, S.Kom.I., M.Ag.")</f>
        <v>Ulul Aedi, S.Kom.I., M.Ag.</v>
      </c>
      <c r="D195" s="3" t="str">
        <f ca="1">IFERROR(__xludf.DUMMYFUNCTION("""COMPUTED_VALUE"""),"Ulul Aedi, S.Kom.I., M.Ag.")</f>
        <v>Ulul Aedi, S.Kom.I., M.Ag.</v>
      </c>
      <c r="E195" s="3" t="str">
        <f ca="1">IFERROR(__xludf.DUMMYFUNCTION("""COMPUTED_VALUE"""),"198705072020121006")</f>
        <v>198705072020121006</v>
      </c>
      <c r="F195" s="3" t="str">
        <f ca="1">IFERROR(__xludf.DUMMYFUNCTION("""COMPUTED_VALUE"""),"19870507 202012 1 006")</f>
        <v>19870507 202012 1 006</v>
      </c>
      <c r="G195" s="3">
        <f ca="1">IFERROR(__xludf.DUMMYFUNCTION("""COMPUTED_VALUE"""),2107058704)</f>
        <v>2107058704</v>
      </c>
      <c r="H195" s="6" t="str">
        <f ca="1">IFERROR(__xludf.DUMMYFUNCTION("""COMPUTED_VALUE"""),"8839765666130322")</f>
        <v>8839765666130322</v>
      </c>
      <c r="I195" s="3" t="str">
        <f ca="1">IFERROR(__xludf.DUMMYFUNCTION("""COMPUTED_VALUE"""),"PNS")</f>
        <v>PNS</v>
      </c>
      <c r="J195" s="3" t="str">
        <f ca="1">IFERROR(__xludf.DUMMYFUNCTION("""COMPUTED_VALUE"""),"Dosen PNS")</f>
        <v>Dosen PNS</v>
      </c>
      <c r="K195" s="5" t="str">
        <f ca="1">IFERROR(__xludf.DUMMYFUNCTION("""COMPUTED_VALUE"""),"L")</f>
        <v>L</v>
      </c>
      <c r="L195" s="3" t="str">
        <f ca="1">IFERROR(__xludf.DUMMYFUNCTION("""COMPUTED_VALUE"""),"Demak")</f>
        <v>Demak</v>
      </c>
      <c r="M195" s="7">
        <f ca="1">IFERROR(__xludf.DUMMYFUNCTION("""COMPUTED_VALUE"""),31904)</f>
        <v>31904</v>
      </c>
      <c r="N195" s="4" t="str">
        <f ca="1">IFERROR(__xludf.DUMMYFUNCTION("""COMPUTED_VALUE"""),"Penata Muda Tk.I")</f>
        <v>Penata Muda Tk.I</v>
      </c>
      <c r="O195" s="3" t="str">
        <f ca="1">IFERROR(__xludf.DUMMYFUNCTION("""COMPUTED_VALUE"""),"III/b")</f>
        <v>III/b</v>
      </c>
      <c r="P195" s="7">
        <f ca="1">IFERROR(__xludf.DUMMYFUNCTION("""COMPUTED_VALUE"""),44166)</f>
        <v>44166</v>
      </c>
      <c r="Q195" s="3" t="str">
        <f ca="1">IFERROR(__xludf.DUMMYFUNCTION("""COMPUTED_VALUE"""),"2583/In.17/R/KP.00.3/12/2020")</f>
        <v>2583/In.17/R/KP.00.3/12/2020</v>
      </c>
      <c r="R195" s="3" t="str">
        <f ca="1">IFERROR(__xludf.DUMMYFUNCTION("""COMPUTED_VALUE"""),"Asisten Ahli")</f>
        <v>Asisten Ahli</v>
      </c>
      <c r="S195" s="3" t="str">
        <f ca="1">IFERROR(__xludf.DUMMYFUNCTION("""COMPUTED_VALUE"""),"Asisten Ahli")</f>
        <v>Asisten Ahli</v>
      </c>
      <c r="T195" s="7">
        <f ca="1">IFERROR(__xludf.DUMMYFUNCTION("""COMPUTED_VALUE"""),44805)</f>
        <v>44805</v>
      </c>
      <c r="U195" s="3" t="str">
        <f ca="1">IFERROR(__xludf.DUMMYFUNCTION("""COMPUTED_VALUE"""),"039207/B.II/3/2022")</f>
        <v>039207/B.II/3/2022</v>
      </c>
      <c r="V195" s="7">
        <f ca="1">IFERROR(__xludf.DUMMYFUNCTION("""COMPUTED_VALUE"""),44804)</f>
        <v>44804</v>
      </c>
      <c r="W195" s="3">
        <f ca="1">IFERROR(__xludf.DUMMYFUNCTION("""COMPUTED_VALUE"""),9)</f>
        <v>9</v>
      </c>
      <c r="X195" s="7" t="str">
        <f ca="1">IFERROR(__xludf.DUMMYFUNCTION("""COMPUTED_VALUE"""),"Koordinator Program Studi S-1 Manajemen Dakwah Pada Fakultas Dakwah")</f>
        <v>Koordinator Program Studi S-1 Manajemen Dakwah Pada Fakultas Dakwah</v>
      </c>
      <c r="Y195" s="3" t="str">
        <f ca="1">IFERROR(__xludf.DUMMYFUNCTION("""COMPUTED_VALUE"""),"S-2")</f>
        <v>S-2</v>
      </c>
      <c r="Z195" s="3" t="str">
        <f ca="1">IFERROR(__xludf.DUMMYFUNCTION("""COMPUTED_VALUE"""),"5 Tahun 1 Bulan 27 Hari")</f>
        <v>5 Tahun 1 Bulan 27 Hari</v>
      </c>
      <c r="AA195" s="8">
        <f ca="1">IFERROR(__xludf.DUMMYFUNCTION("""COMPUTED_VALUE"""),55671)</f>
        <v>55671</v>
      </c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4"/>
      <c r="AR195" s="3"/>
      <c r="AS195" s="4"/>
      <c r="AT195" s="3"/>
      <c r="AU195" s="3"/>
    </row>
    <row r="196" spans="1:47" x14ac:dyDescent="0.2">
      <c r="A196" s="12">
        <v>195</v>
      </c>
      <c r="B196" s="3" t="str">
        <f ca="1">IFERROR(__xludf.DUMMYFUNCTION("""COMPUTED_VALUE"""),"Umdah Aulia Rohmah")</f>
        <v>Umdah Aulia Rohmah</v>
      </c>
      <c r="C196" s="3" t="str">
        <f ca="1">IFERROR(__xludf.DUMMYFUNCTION("""COMPUTED_VALUE"""),"Umdah Aulia Rohmah, M.H.")</f>
        <v>Umdah Aulia Rohmah, M.H.</v>
      </c>
      <c r="D196" s="3" t="str">
        <f ca="1">IFERROR(__xludf.DUMMYFUNCTION("""COMPUTED_VALUE"""),"Umdah Aulia Rohmah, M.H.")</f>
        <v>Umdah Aulia Rohmah, M.H.</v>
      </c>
      <c r="E196" s="3" t="str">
        <f ca="1">IFERROR(__xludf.DUMMYFUNCTION("""COMPUTED_VALUE"""),"199304212020122015")</f>
        <v>199304212020122015</v>
      </c>
      <c r="F196" s="3" t="str">
        <f ca="1">IFERROR(__xludf.DUMMYFUNCTION("""COMPUTED_VALUE"""),"‌19930421 202012 2 015")</f>
        <v>‌19930421 202012 2 015</v>
      </c>
      <c r="G196" s="3">
        <f ca="1">IFERROR(__xludf.DUMMYFUNCTION("""COMPUTED_VALUE"""),2021049302)</f>
        <v>2021049302</v>
      </c>
      <c r="H196" s="6" t="str">
        <f ca="1">IFERROR(__xludf.DUMMYFUNCTION("""COMPUTED_VALUE"""),"9753771672230322")</f>
        <v>9753771672230322</v>
      </c>
      <c r="I196" s="3" t="str">
        <f ca="1">IFERROR(__xludf.DUMMYFUNCTION("""COMPUTED_VALUE"""),"PNS")</f>
        <v>PNS</v>
      </c>
      <c r="J196" s="3" t="str">
        <f ca="1">IFERROR(__xludf.DUMMYFUNCTION("""COMPUTED_VALUE"""),"Dosen PNS")</f>
        <v>Dosen PNS</v>
      </c>
      <c r="K196" s="5" t="str">
        <f ca="1">IFERROR(__xludf.DUMMYFUNCTION("""COMPUTED_VALUE"""),"P")</f>
        <v>P</v>
      </c>
      <c r="L196" s="3" t="str">
        <f ca="1">IFERROR(__xludf.DUMMYFUNCTION("""COMPUTED_VALUE"""),"Purworejo")</f>
        <v>Purworejo</v>
      </c>
      <c r="M196" s="7">
        <f ca="1">IFERROR(__xludf.DUMMYFUNCTION("""COMPUTED_VALUE"""),34080)</f>
        <v>34080</v>
      </c>
      <c r="N196" s="4" t="str">
        <f ca="1">IFERROR(__xludf.DUMMYFUNCTION("""COMPUTED_VALUE"""),"Penata")</f>
        <v>Penata</v>
      </c>
      <c r="O196" s="3" t="str">
        <f ca="1">IFERROR(__xludf.DUMMYFUNCTION("""COMPUTED_VALUE"""),"III/c")</f>
        <v>III/c</v>
      </c>
      <c r="P196" s="7">
        <f ca="1">IFERROR(__xludf.DUMMYFUNCTION("""COMPUTED_VALUE"""),45809)</f>
        <v>45809</v>
      </c>
      <c r="Q196" s="3" t="str">
        <f ca="1">IFERROR(__xludf.DUMMYFUNCTION("""COMPUTED_VALUE"""),"186498/B.II/KP.07.1/05/2025")</f>
        <v>186498/B.II/KP.07.1/05/2025</v>
      </c>
      <c r="R196" s="3" t="str">
        <f ca="1">IFERROR(__xludf.DUMMYFUNCTION("""COMPUTED_VALUE"""),"Lektor")</f>
        <v>Lektor</v>
      </c>
      <c r="S196" s="3" t="str">
        <f ca="1">IFERROR(__xludf.DUMMYFUNCTION("""COMPUTED_VALUE"""),"Lektor")</f>
        <v>Lektor</v>
      </c>
      <c r="T196" s="7">
        <f ca="1">IFERROR(__xludf.DUMMYFUNCTION("""COMPUTED_VALUE"""),45717)</f>
        <v>45717</v>
      </c>
      <c r="U196" s="3" t="str">
        <f ca="1">IFERROR(__xludf.DUMMYFUNCTION("""COMPUTED_VALUE"""),"311/Un.19/R/KP.08.1/3/2025")</f>
        <v>311/Un.19/R/KP.08.1/3/2025</v>
      </c>
      <c r="V196" s="7">
        <f ca="1">IFERROR(__xludf.DUMMYFUNCTION("""COMPUTED_VALUE"""),45741)</f>
        <v>45741</v>
      </c>
      <c r="W196" s="3">
        <f ca="1">IFERROR(__xludf.DUMMYFUNCTION("""COMPUTED_VALUE"""),11)</f>
        <v>11</v>
      </c>
      <c r="X196" s="3"/>
      <c r="Y196" s="3" t="str">
        <f ca="1">IFERROR(__xludf.DUMMYFUNCTION("""COMPUTED_VALUE"""),"S-2")</f>
        <v>S-2</v>
      </c>
      <c r="Z196" s="3" t="str">
        <f ca="1">IFERROR(__xludf.DUMMYFUNCTION("""COMPUTED_VALUE"""),"5 Tahun 1 Bulan 27 Hari")</f>
        <v>5 Tahun 1 Bulan 27 Hari</v>
      </c>
      <c r="AA196" s="8">
        <f ca="1">IFERROR(__xludf.DUMMYFUNCTION("""COMPUTED_VALUE"""),57831)</f>
        <v>57831</v>
      </c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4"/>
      <c r="AR196" s="3"/>
      <c r="AS196" s="4"/>
      <c r="AT196" s="3"/>
      <c r="AU196" s="3"/>
    </row>
    <row r="197" spans="1:47" x14ac:dyDescent="0.2">
      <c r="A197" s="12">
        <v>196</v>
      </c>
      <c r="B197" s="3" t="str">
        <f ca="1">IFERROR(__xludf.DUMMYFUNCTION("""COMPUTED_VALUE"""),"Umi Haniati")</f>
        <v>Umi Haniati</v>
      </c>
      <c r="C197" s="3" t="str">
        <f ca="1">IFERROR(__xludf.DUMMYFUNCTION("""COMPUTED_VALUE"""),"Umi Haniati, M.A.")</f>
        <v>Umi Haniati, M.A.</v>
      </c>
      <c r="D197" s="3" t="str">
        <f ca="1">IFERROR(__xludf.DUMMYFUNCTION("""COMPUTED_VALUE"""),"Umi Haniati, M.A.")</f>
        <v>Umi Haniati, M.A.</v>
      </c>
      <c r="E197" s="3" t="str">
        <f ca="1">IFERROR(__xludf.DUMMYFUNCTION("""COMPUTED_VALUE"""),"199201202022032001")</f>
        <v>199201202022032001</v>
      </c>
      <c r="F197" s="3" t="str">
        <f ca="1">IFERROR(__xludf.DUMMYFUNCTION("""COMPUTED_VALUE"""),"19920120 202203 2 001")</f>
        <v>19920120 202203 2 001</v>
      </c>
      <c r="G197" s="3" t="str">
        <f ca="1">IFERROR(__xludf.DUMMYFUNCTION("""COMPUTED_VALUE"""),"0120019201")</f>
        <v>0120019201</v>
      </c>
      <c r="H197" s="6" t="str">
        <f ca="1">IFERROR(__xludf.DUMMYFUNCTION("""COMPUTED_VALUE"""),"3452770671230302")</f>
        <v>3452770671230302</v>
      </c>
      <c r="I197" s="3" t="str">
        <f ca="1">IFERROR(__xludf.DUMMYFUNCTION("""COMPUTED_VALUE"""),"PNS")</f>
        <v>PNS</v>
      </c>
      <c r="J197" s="3" t="str">
        <f ca="1">IFERROR(__xludf.DUMMYFUNCTION("""COMPUTED_VALUE"""),"Dosen PNS")</f>
        <v>Dosen PNS</v>
      </c>
      <c r="K197" s="5" t="str">
        <f ca="1">IFERROR(__xludf.DUMMYFUNCTION("""COMPUTED_VALUE"""),"P")</f>
        <v>P</v>
      </c>
      <c r="L197" s="3" t="str">
        <f ca="1">IFERROR(__xludf.DUMMYFUNCTION("""COMPUTED_VALUE"""),"Banyumas")</f>
        <v>Banyumas</v>
      </c>
      <c r="M197" s="7">
        <f ca="1">IFERROR(__xludf.DUMMYFUNCTION("""COMPUTED_VALUE"""),33623)</f>
        <v>33623</v>
      </c>
      <c r="N197" s="4" t="str">
        <f ca="1">IFERROR(__xludf.DUMMYFUNCTION("""COMPUTED_VALUE"""),"Penata Muda Tk.I")</f>
        <v>Penata Muda Tk.I</v>
      </c>
      <c r="O197" s="3" t="str">
        <f ca="1">IFERROR(__xludf.DUMMYFUNCTION("""COMPUTED_VALUE"""),"III/b")</f>
        <v>III/b</v>
      </c>
      <c r="P197" s="7">
        <f ca="1">IFERROR(__xludf.DUMMYFUNCTION("""COMPUTED_VALUE"""),44986)</f>
        <v>44986</v>
      </c>
      <c r="Q197" s="3" t="str">
        <f ca="1">IFERROR(__xludf.DUMMYFUNCTION("""COMPUTED_VALUE"""),"330/Un.19/R/KP.00.3/2/2023")</f>
        <v>330/Un.19/R/KP.00.3/2/2023</v>
      </c>
      <c r="R197" s="3" t="str">
        <f ca="1">IFERROR(__xludf.DUMMYFUNCTION("""COMPUTED_VALUE"""),"Asisten Ahli")</f>
        <v>Asisten Ahli</v>
      </c>
      <c r="S197" s="3" t="str">
        <f ca="1">IFERROR(__xludf.DUMMYFUNCTION("""COMPUTED_VALUE"""),"Asisten Ahli")</f>
        <v>Asisten Ahli</v>
      </c>
      <c r="T197" s="7">
        <f ca="1">IFERROR(__xludf.DUMMYFUNCTION("""COMPUTED_VALUE"""),45047)</f>
        <v>45047</v>
      </c>
      <c r="U197" s="3" t="str">
        <f ca="1">IFERROR(__xludf.DUMMYFUNCTION("""COMPUTED_VALUE"""),"013482/B.II/3/2023")</f>
        <v>013482/B.II/3/2023</v>
      </c>
      <c r="V197" s="7">
        <f ca="1">IFERROR(__xludf.DUMMYFUNCTION("""COMPUTED_VALUE"""),45090)</f>
        <v>45090</v>
      </c>
      <c r="W197" s="3">
        <f ca="1">IFERROR(__xludf.DUMMYFUNCTION("""COMPUTED_VALUE"""),9)</f>
        <v>9</v>
      </c>
      <c r="X197" s="7" t="str">
        <f ca="1">IFERROR(__xludf.DUMMYFUNCTION("""COMPUTED_VALUE"""),"Koordinator Program Studi S-1 Perpustakaan dan Sains Informasi Pada Fakultas Dakwah")</f>
        <v>Koordinator Program Studi S-1 Perpustakaan dan Sains Informasi Pada Fakultas Dakwah</v>
      </c>
      <c r="Y197" s="3" t="str">
        <f ca="1">IFERROR(__xludf.DUMMYFUNCTION("""COMPUTED_VALUE"""),"S-2")</f>
        <v>S-2</v>
      </c>
      <c r="Z197" s="3" t="str">
        <f ca="1">IFERROR(__xludf.DUMMYFUNCTION("""COMPUTED_VALUE"""),"3 Tahun 10 Bulan 27 Hari")</f>
        <v>3 Tahun 10 Bulan 27 Hari</v>
      </c>
      <c r="AA197" s="8">
        <f ca="1">IFERROR(__xludf.DUMMYFUNCTION("""COMPUTED_VALUE"""),57377)</f>
        <v>57377</v>
      </c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4"/>
      <c r="AR197" s="3"/>
      <c r="AS197" s="4"/>
      <c r="AT197" s="3"/>
      <c r="AU197" s="3"/>
    </row>
    <row r="198" spans="1:47" x14ac:dyDescent="0.2">
      <c r="A198" s="12">
        <v>197</v>
      </c>
      <c r="B198" s="3" t="str">
        <f ca="1">IFERROR(__xludf.DUMMYFUNCTION("""COMPUTED_VALUE"""),"Umi Khomsiyatun")</f>
        <v>Umi Khomsiyatun</v>
      </c>
      <c r="C198" s="3" t="str">
        <f ca="1">IFERROR(__xludf.DUMMYFUNCTION("""COMPUTED_VALUE"""),"Umi Khomsiyatun, M.Pd.")</f>
        <v>Umi Khomsiyatun, M.Pd.</v>
      </c>
      <c r="D198" s="3" t="str">
        <f ca="1">IFERROR(__xludf.DUMMYFUNCTION("""COMPUTED_VALUE"""),"Umi Khomsiyatun, M.Pd.")</f>
        <v>Umi Khomsiyatun, M.Pd.</v>
      </c>
      <c r="E198" s="3" t="str">
        <f ca="1">IFERROR(__xludf.DUMMYFUNCTION("""COMPUTED_VALUE"""),"199401122020122012")</f>
        <v>199401122020122012</v>
      </c>
      <c r="F198" s="3" t="str">
        <f ca="1">IFERROR(__xludf.DUMMYFUNCTION("""COMPUTED_VALUE"""),"‌19940112 202012 2 012")</f>
        <v>‌19940112 202012 2 012</v>
      </c>
      <c r="G198" s="3">
        <f ca="1">IFERROR(__xludf.DUMMYFUNCTION("""COMPUTED_VALUE"""),2012029401)</f>
        <v>2012029401</v>
      </c>
      <c r="H198" s="6" t="str">
        <f ca="1">IFERROR(__xludf.DUMMYFUNCTION("""COMPUTED_VALUE"""),"9444772673230232")</f>
        <v>9444772673230232</v>
      </c>
      <c r="I198" s="3" t="str">
        <f ca="1">IFERROR(__xludf.DUMMYFUNCTION("""COMPUTED_VALUE"""),"PNS")</f>
        <v>PNS</v>
      </c>
      <c r="J198" s="3" t="str">
        <f ca="1">IFERROR(__xludf.DUMMYFUNCTION("""COMPUTED_VALUE"""),"Dosen PNS")</f>
        <v>Dosen PNS</v>
      </c>
      <c r="K198" s="5" t="str">
        <f ca="1">IFERROR(__xludf.DUMMYFUNCTION("""COMPUTED_VALUE"""),"P")</f>
        <v>P</v>
      </c>
      <c r="L198" s="3" t="str">
        <f ca="1">IFERROR(__xludf.DUMMYFUNCTION("""COMPUTED_VALUE"""),"Banyumas")</f>
        <v>Banyumas</v>
      </c>
      <c r="M198" s="7">
        <f ca="1">IFERROR(__xludf.DUMMYFUNCTION("""COMPUTED_VALUE"""),34346)</f>
        <v>34346</v>
      </c>
      <c r="N198" s="4" t="str">
        <f ca="1">IFERROR(__xludf.DUMMYFUNCTION("""COMPUTED_VALUE"""),"Penata Muda Tk.I")</f>
        <v>Penata Muda Tk.I</v>
      </c>
      <c r="O198" s="3" t="str">
        <f ca="1">IFERROR(__xludf.DUMMYFUNCTION("""COMPUTED_VALUE"""),"III/b")</f>
        <v>III/b</v>
      </c>
      <c r="P198" s="7">
        <f ca="1">IFERROR(__xludf.DUMMYFUNCTION("""COMPUTED_VALUE"""),44166)</f>
        <v>44166</v>
      </c>
      <c r="Q198" s="3" t="str">
        <f ca="1">IFERROR(__xludf.DUMMYFUNCTION("""COMPUTED_VALUE"""),"2610/In.17/R/KP.00.3/12/2020")</f>
        <v>2610/In.17/R/KP.00.3/12/2020</v>
      </c>
      <c r="R198" s="3" t="str">
        <f ca="1">IFERROR(__xludf.DUMMYFUNCTION("""COMPUTED_VALUE"""),"Asisten Ahli")</f>
        <v>Asisten Ahli</v>
      </c>
      <c r="S198" s="3" t="str">
        <f ca="1">IFERROR(__xludf.DUMMYFUNCTION("""COMPUTED_VALUE"""),"Asisten Ahli")</f>
        <v>Asisten Ahli</v>
      </c>
      <c r="T198" s="7">
        <f ca="1">IFERROR(__xludf.DUMMYFUNCTION("""COMPUTED_VALUE"""),45108)</f>
        <v>45108</v>
      </c>
      <c r="U198" s="3" t="str">
        <f ca="1">IFERROR(__xludf.DUMMYFUNCTION("""COMPUTED_VALUE"""),"126982/B.II/3/2023")</f>
        <v>126982/B.II/3/2023</v>
      </c>
      <c r="V198" s="7">
        <f ca="1">IFERROR(__xludf.DUMMYFUNCTION("""COMPUTED_VALUE"""),45289)</f>
        <v>45289</v>
      </c>
      <c r="W198" s="3">
        <f ca="1">IFERROR(__xludf.DUMMYFUNCTION("""COMPUTED_VALUE"""),9)</f>
        <v>9</v>
      </c>
      <c r="X198" s="3"/>
      <c r="Y198" s="3" t="str">
        <f ca="1">IFERROR(__xludf.DUMMYFUNCTION("""COMPUTED_VALUE"""),"S-2")</f>
        <v>S-2</v>
      </c>
      <c r="Z198" s="3" t="str">
        <f ca="1">IFERROR(__xludf.DUMMYFUNCTION("""COMPUTED_VALUE"""),"5 Tahun 1 Bulan 27 Hari")</f>
        <v>5 Tahun 1 Bulan 27 Hari</v>
      </c>
      <c r="AA198" s="8">
        <f ca="1">IFERROR(__xludf.DUMMYFUNCTION("""COMPUTED_VALUE"""),58107)</f>
        <v>58107</v>
      </c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4"/>
      <c r="AR198" s="3"/>
      <c r="AS198" s="4"/>
      <c r="AT198" s="3"/>
      <c r="AU198" s="3"/>
    </row>
    <row r="199" spans="1:47" x14ac:dyDescent="0.2">
      <c r="A199" s="12">
        <v>198</v>
      </c>
      <c r="B199" s="3" t="str">
        <f ca="1">IFERROR(__xludf.DUMMYFUNCTION("""COMPUTED_VALUE"""),"Uus Uswatusolihah")</f>
        <v>Uus Uswatusolihah</v>
      </c>
      <c r="C199" s="3" t="str">
        <f ca="1">IFERROR(__xludf.DUMMYFUNCTION("""COMPUTED_VALUE"""),"Uus Uswatusolihah, S.Ag., M.A.")</f>
        <v>Uus Uswatusolihah, S.Ag., M.A.</v>
      </c>
      <c r="D199" s="3" t="str">
        <f ca="1">IFERROR(__xludf.DUMMYFUNCTION("""COMPUTED_VALUE"""),"Dr. Uus Uswatusolihah, S.Ag., M.A.")</f>
        <v>Dr. Uus Uswatusolihah, S.Ag., M.A.</v>
      </c>
      <c r="E199" s="3" t="str">
        <f ca="1">IFERROR(__xludf.DUMMYFUNCTION("""COMPUTED_VALUE"""),"197703042003122001")</f>
        <v>197703042003122001</v>
      </c>
      <c r="F199" s="3" t="str">
        <f ca="1">IFERROR(__xludf.DUMMYFUNCTION("""COMPUTED_VALUE"""),"19770304 200312 2 001")</f>
        <v>19770304 200312 2 001</v>
      </c>
      <c r="G199" s="3">
        <f ca="1">IFERROR(__xludf.DUMMYFUNCTION("""COMPUTED_VALUE"""),2004037701)</f>
        <v>2004037701</v>
      </c>
      <c r="H199" s="6" t="str">
        <f ca="1">IFERROR(__xludf.DUMMYFUNCTION("""COMPUTED_VALUE"""),"1636755656238052")</f>
        <v>1636755656238052</v>
      </c>
      <c r="I199" s="3" t="str">
        <f ca="1">IFERROR(__xludf.DUMMYFUNCTION("""COMPUTED_VALUE"""),"PNS")</f>
        <v>PNS</v>
      </c>
      <c r="J199" s="3" t="str">
        <f ca="1">IFERROR(__xludf.DUMMYFUNCTION("""COMPUTED_VALUE"""),"Dosen PNS")</f>
        <v>Dosen PNS</v>
      </c>
      <c r="K199" s="5" t="str">
        <f ca="1">IFERROR(__xludf.DUMMYFUNCTION("""COMPUTED_VALUE"""),"P")</f>
        <v>P</v>
      </c>
      <c r="L199" s="3" t="str">
        <f ca="1">IFERROR(__xludf.DUMMYFUNCTION("""COMPUTED_VALUE"""),"Cirebon")</f>
        <v>Cirebon</v>
      </c>
      <c r="M199" s="7">
        <f ca="1">IFERROR(__xludf.DUMMYFUNCTION("""COMPUTED_VALUE"""),28188)</f>
        <v>28188</v>
      </c>
      <c r="N199" s="4" t="str">
        <f ca="1">IFERROR(__xludf.DUMMYFUNCTION("""COMPUTED_VALUE"""),"Penata Tk.I")</f>
        <v>Penata Tk.I</v>
      </c>
      <c r="O199" s="3" t="str">
        <f ca="1">IFERROR(__xludf.DUMMYFUNCTION("""COMPUTED_VALUE"""),"III/d")</f>
        <v>III/d</v>
      </c>
      <c r="P199" s="7">
        <f ca="1">IFERROR(__xludf.DUMMYFUNCTION("""COMPUTED_VALUE"""),42644)</f>
        <v>42644</v>
      </c>
      <c r="Q199" s="3"/>
      <c r="R199" s="3" t="str">
        <f ca="1">IFERROR(__xludf.DUMMYFUNCTION("""COMPUTED_VALUE"""),"Lektor Kepala")</f>
        <v>Lektor Kepala</v>
      </c>
      <c r="S199" s="3" t="str">
        <f ca="1">IFERROR(__xludf.DUMMYFUNCTION("""COMPUTED_VALUE"""),"Lektor Kepala")</f>
        <v>Lektor Kepala</v>
      </c>
      <c r="T199" s="7">
        <f ca="1">IFERROR(__xludf.DUMMYFUNCTION("""COMPUTED_VALUE"""),45962)</f>
        <v>45962</v>
      </c>
      <c r="U199" s="3" t="str">
        <f ca="1">IFERROR(__xludf.DUMMYFUNCTION("""COMPUTED_VALUE"""),"209512/B.II/KP.07.6/10/2025")</f>
        <v>209512/B.II/KP.07.6/10/2025</v>
      </c>
      <c r="V199" s="7">
        <f ca="1">IFERROR(__xludf.DUMMYFUNCTION("""COMPUTED_VALUE"""),45943)</f>
        <v>45943</v>
      </c>
      <c r="W199" s="3">
        <f ca="1">IFERROR(__xludf.DUMMYFUNCTION("""COMPUTED_VALUE"""),13)</f>
        <v>13</v>
      </c>
      <c r="X199" s="7" t="str">
        <f ca="1">IFERROR(__xludf.DUMMYFUNCTION("""COMPUTED_VALUE"""),"Ketua Jurusan Komunikasi Islam Pada Fakultas Dakwah")</f>
        <v>Ketua Jurusan Komunikasi Islam Pada Fakultas Dakwah</v>
      </c>
      <c r="Y199" s="3" t="str">
        <f ca="1">IFERROR(__xludf.DUMMYFUNCTION("""COMPUTED_VALUE"""),"S-3")</f>
        <v>S-3</v>
      </c>
      <c r="Z199" s="3" t="str">
        <f ca="1">IFERROR(__xludf.DUMMYFUNCTION("""COMPUTED_VALUE"""),"22 Tahun 1 Bulan 27 Hari")</f>
        <v>22 Tahun 1 Bulan 27 Hari</v>
      </c>
      <c r="AA199" s="8">
        <f ca="1">IFERROR(__xludf.DUMMYFUNCTION("""COMPUTED_VALUE"""),51957)</f>
        <v>51957</v>
      </c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4"/>
      <c r="AR199" s="3"/>
      <c r="AS199" s="4"/>
      <c r="AT199" s="3"/>
      <c r="AU199" s="3"/>
    </row>
    <row r="200" spans="1:47" x14ac:dyDescent="0.2">
      <c r="A200" s="12">
        <v>199</v>
      </c>
      <c r="B200" s="3" t="str">
        <f ca="1">IFERROR(__xludf.DUMMYFUNCTION("""COMPUTED_VALUE"""),"Vici Prihmaningrum AM")</f>
        <v>Vici Prihmaningrum AM</v>
      </c>
      <c r="C200" s="3" t="str">
        <f ca="1">IFERROR(__xludf.DUMMYFUNCTION("""COMPUTED_VALUE"""),"Vici Prihmaningrum AM., S.Pd., M.A.")</f>
        <v>Vici Prihmaningrum AM., S.Pd., M.A.</v>
      </c>
      <c r="D200" s="3" t="str">
        <f ca="1">IFERROR(__xludf.DUMMYFUNCTION("""COMPUTED_VALUE"""),"Vici Prihmaningrum AM., S.Pd., M.A.")</f>
        <v>Vici Prihmaningrum AM., S.Pd., M.A.</v>
      </c>
      <c r="E200" s="3" t="str">
        <f ca="1">IFERROR(__xludf.DUMMYFUNCTION("""COMPUTED_VALUE"""),"199403042020122022")</f>
        <v>199403042020122022</v>
      </c>
      <c r="F200" s="3" t="str">
        <f ca="1">IFERROR(__xludf.DUMMYFUNCTION("""COMPUTED_VALUE"""),"‌19940304 202012 2 022")</f>
        <v>‌19940304 202012 2 022</v>
      </c>
      <c r="G200" s="3">
        <f ca="1">IFERROR(__xludf.DUMMYFUNCTION("""COMPUTED_VALUE"""),2004039404)</f>
        <v>2004039404</v>
      </c>
      <c r="H200" s="6" t="str">
        <f ca="1">IFERROR(__xludf.DUMMYFUNCTION("""COMPUTED_VALUE"""),"1636772673230282")</f>
        <v>1636772673230282</v>
      </c>
      <c r="I200" s="3" t="str">
        <f ca="1">IFERROR(__xludf.DUMMYFUNCTION("""COMPUTED_VALUE"""),"PNS")</f>
        <v>PNS</v>
      </c>
      <c r="J200" s="3" t="str">
        <f ca="1">IFERROR(__xludf.DUMMYFUNCTION("""COMPUTED_VALUE"""),"Dosen PNS")</f>
        <v>Dosen PNS</v>
      </c>
      <c r="K200" s="5" t="str">
        <f ca="1">IFERROR(__xludf.DUMMYFUNCTION("""COMPUTED_VALUE"""),"P")</f>
        <v>P</v>
      </c>
      <c r="L200" s="3" t="str">
        <f ca="1">IFERROR(__xludf.DUMMYFUNCTION("""COMPUTED_VALUE"""),"Jepara")</f>
        <v>Jepara</v>
      </c>
      <c r="M200" s="7">
        <f ca="1">IFERROR(__xludf.DUMMYFUNCTION("""COMPUTED_VALUE"""),34397)</f>
        <v>34397</v>
      </c>
      <c r="N200" s="4" t="str">
        <f ca="1">IFERROR(__xludf.DUMMYFUNCTION("""COMPUTED_VALUE"""),"Penata Muda Tk.I")</f>
        <v>Penata Muda Tk.I</v>
      </c>
      <c r="O200" s="3" t="str">
        <f ca="1">IFERROR(__xludf.DUMMYFUNCTION("""COMPUTED_VALUE"""),"III/b")</f>
        <v>III/b</v>
      </c>
      <c r="P200" s="7">
        <f ca="1">IFERROR(__xludf.DUMMYFUNCTION("""COMPUTED_VALUE"""),44562)</f>
        <v>44562</v>
      </c>
      <c r="Q200" s="3" t="str">
        <f ca="1">IFERROR(__xludf.DUMMYFUNCTION("""COMPUTED_VALUE"""),"3584/Un.19/R/KP.00.3/12/2021")</f>
        <v>3584/Un.19/R/KP.00.3/12/2021</v>
      </c>
      <c r="R200" s="3" t="str">
        <f ca="1">IFERROR(__xludf.DUMMYFUNCTION("""COMPUTED_VALUE"""),"Asisten Ahli")</f>
        <v>Asisten Ahli</v>
      </c>
      <c r="S200" s="3" t="str">
        <f ca="1">IFERROR(__xludf.DUMMYFUNCTION("""COMPUTED_VALUE"""),"Asisten Ahli")</f>
        <v>Asisten Ahli</v>
      </c>
      <c r="T200" s="7">
        <f ca="1">IFERROR(__xludf.DUMMYFUNCTION("""COMPUTED_VALUE"""),45047)</f>
        <v>45047</v>
      </c>
      <c r="U200" s="3" t="str">
        <f ca="1">IFERROR(__xludf.DUMMYFUNCTION("""COMPUTED_VALUE"""),"013487/B.II/3/2023")</f>
        <v>013487/B.II/3/2023</v>
      </c>
      <c r="V200" s="7">
        <f ca="1">IFERROR(__xludf.DUMMYFUNCTION("""COMPUTED_VALUE"""),45090)</f>
        <v>45090</v>
      </c>
      <c r="W200" s="3">
        <f ca="1">IFERROR(__xludf.DUMMYFUNCTION("""COMPUTED_VALUE"""),9)</f>
        <v>9</v>
      </c>
      <c r="X200" s="3"/>
      <c r="Y200" s="3" t="str">
        <f ca="1">IFERROR(__xludf.DUMMYFUNCTION("""COMPUTED_VALUE"""),"S-2")</f>
        <v>S-2</v>
      </c>
      <c r="Z200" s="3" t="str">
        <f ca="1">IFERROR(__xludf.DUMMYFUNCTION("""COMPUTED_VALUE"""),"5 Tahun 1 Bulan 27 Hari")</f>
        <v>5 Tahun 1 Bulan 27 Hari</v>
      </c>
      <c r="AA200" s="8">
        <f ca="1">IFERROR(__xludf.DUMMYFUNCTION("""COMPUTED_VALUE"""),58166)</f>
        <v>58166</v>
      </c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4"/>
      <c r="AR200" s="3"/>
      <c r="AS200" s="4"/>
      <c r="AT200" s="3"/>
      <c r="AU200" s="3"/>
    </row>
    <row r="201" spans="1:47" x14ac:dyDescent="0.2">
      <c r="A201" s="12">
        <v>200</v>
      </c>
      <c r="B201" s="3" t="str">
        <f ca="1">IFERROR(__xludf.DUMMYFUNCTION("""COMPUTED_VALUE"""),"Vivi Ariyanti")</f>
        <v>Vivi Ariyanti</v>
      </c>
      <c r="C201" s="3" t="str">
        <f ca="1">IFERROR(__xludf.DUMMYFUNCTION("""COMPUTED_VALUE"""),"Dr. Vivi Ariyanti, S.H., M.Hum.")</f>
        <v>Dr. Vivi Ariyanti, S.H., M.Hum.</v>
      </c>
      <c r="D201" s="3" t="str">
        <f ca="1">IFERROR(__xludf.DUMMYFUNCTION("""COMPUTED_VALUE"""),"Dr. Vivi Ariyanti, S.H., M.Hum.")</f>
        <v>Dr. Vivi Ariyanti, S.H., M.Hum.</v>
      </c>
      <c r="E201" s="3" t="str">
        <f ca="1">IFERROR(__xludf.DUMMYFUNCTION("""COMPUTED_VALUE"""),"198301142008012014")</f>
        <v>198301142008012014</v>
      </c>
      <c r="F201" s="3" t="str">
        <f ca="1">IFERROR(__xludf.DUMMYFUNCTION("""COMPUTED_VALUE"""),"19830114 200801 2 014")</f>
        <v>19830114 200801 2 014</v>
      </c>
      <c r="G201" s="3">
        <f ca="1">IFERROR(__xludf.DUMMYFUNCTION("""COMPUTED_VALUE"""),2014018301)</f>
        <v>2014018301</v>
      </c>
      <c r="H201" s="6" t="str">
        <f ca="1">IFERROR(__xludf.DUMMYFUNCTION("""COMPUTED_VALUE"""),"5446761662230182")</f>
        <v>5446761662230182</v>
      </c>
      <c r="I201" s="3" t="str">
        <f ca="1">IFERROR(__xludf.DUMMYFUNCTION("""COMPUTED_VALUE"""),"PNS")</f>
        <v>PNS</v>
      </c>
      <c r="J201" s="3" t="str">
        <f ca="1">IFERROR(__xludf.DUMMYFUNCTION("""COMPUTED_VALUE"""),"Dosen PNS")</f>
        <v>Dosen PNS</v>
      </c>
      <c r="K201" s="5" t="str">
        <f ca="1">IFERROR(__xludf.DUMMYFUNCTION("""COMPUTED_VALUE"""),"P")</f>
        <v>P</v>
      </c>
      <c r="L201" s="3" t="str">
        <f ca="1">IFERROR(__xludf.DUMMYFUNCTION("""COMPUTED_VALUE"""),"Sleman")</f>
        <v>Sleman</v>
      </c>
      <c r="M201" s="7">
        <f ca="1">IFERROR(__xludf.DUMMYFUNCTION("""COMPUTED_VALUE"""),30330)</f>
        <v>30330</v>
      </c>
      <c r="N201" s="4" t="str">
        <f ca="1">IFERROR(__xludf.DUMMYFUNCTION("""COMPUTED_VALUE"""),"Pembina")</f>
        <v>Pembina</v>
      </c>
      <c r="O201" s="3" t="str">
        <f ca="1">IFERROR(__xludf.DUMMYFUNCTION("""COMPUTED_VALUE"""),"IV/a")</f>
        <v>IV/a</v>
      </c>
      <c r="P201" s="7">
        <f ca="1">IFERROR(__xludf.DUMMYFUNCTION("""COMPUTED_VALUE"""),45383)</f>
        <v>45383</v>
      </c>
      <c r="Q201" s="3" t="str">
        <f ca="1">IFERROR(__xludf.DUMMYFUNCTION("""COMPUTED_VALUE"""),"012604/B.II/3/2024")</f>
        <v>012604/B.II/3/2024</v>
      </c>
      <c r="R201" s="3" t="str">
        <f ca="1">IFERROR(__xludf.DUMMYFUNCTION("""COMPUTED_VALUE"""),"Lektor Kepala")</f>
        <v>Lektor Kepala</v>
      </c>
      <c r="S201" s="3" t="str">
        <f ca="1">IFERROR(__xludf.DUMMYFUNCTION("""COMPUTED_VALUE"""),"Lektor Kepala")</f>
        <v>Lektor Kepala</v>
      </c>
      <c r="T201" s="7">
        <f ca="1">IFERROR(__xludf.DUMMYFUNCTION("""COMPUTED_VALUE"""),44562)</f>
        <v>44562</v>
      </c>
      <c r="U201" s="3" t="str">
        <f ca="1">IFERROR(__xludf.DUMMYFUNCTION("""COMPUTED_VALUE"""),"412/Un.22/R/KP.07,6/1/2022")</f>
        <v>412/Un.22/R/KP.07,6/1/2022</v>
      </c>
      <c r="V201" s="7">
        <f ca="1">IFERROR(__xludf.DUMMYFUNCTION("""COMPUTED_VALUE"""),44562)</f>
        <v>44562</v>
      </c>
      <c r="W201" s="3">
        <f ca="1">IFERROR(__xludf.DUMMYFUNCTION("""COMPUTED_VALUE"""),13)</f>
        <v>13</v>
      </c>
      <c r="X201" s="3"/>
      <c r="Y201" s="3" t="str">
        <f ca="1">IFERROR(__xludf.DUMMYFUNCTION("""COMPUTED_VALUE"""),"S-3")</f>
        <v>S-3</v>
      </c>
      <c r="Z201" s="3" t="str">
        <f ca="1">IFERROR(__xludf.DUMMYFUNCTION("""COMPUTED_VALUE"""),"18 Tahun 0 Bulan 27 Hari")</f>
        <v>18 Tahun 0 Bulan 27 Hari</v>
      </c>
      <c r="AA201" s="8">
        <f ca="1">IFERROR(__xludf.DUMMYFUNCTION("""COMPUTED_VALUE"""),54089)</f>
        <v>54089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4"/>
      <c r="AR201" s="3"/>
      <c r="AS201" s="4"/>
      <c r="AT201" s="3"/>
      <c r="AU201" s="3"/>
    </row>
    <row r="202" spans="1:47" x14ac:dyDescent="0.2">
      <c r="A202" s="12">
        <v>201</v>
      </c>
      <c r="B202" s="3" t="str">
        <f ca="1">IFERROR(__xludf.DUMMYFUNCTION("""COMPUTED_VALUE"""),"Wahyu Purwasih")</f>
        <v>Wahyu Purwasih</v>
      </c>
      <c r="C202" s="3" t="str">
        <f ca="1">IFERROR(__xludf.DUMMYFUNCTION("""COMPUTED_VALUE"""),"Wahyu Purwasih, M.Pd.")</f>
        <v>Wahyu Purwasih, M.Pd.</v>
      </c>
      <c r="D202" s="3" t="str">
        <f ca="1">IFERROR(__xludf.DUMMYFUNCTION("""COMPUTED_VALUE"""),"Wahyu Purwasih, M.Pd.")</f>
        <v>Wahyu Purwasih, M.Pd.</v>
      </c>
      <c r="E202" s="3" t="str">
        <f ca="1">IFERROR(__xludf.DUMMYFUNCTION("""COMPUTED_VALUE"""),"199512252020122036")</f>
        <v>199512252020122036</v>
      </c>
      <c r="F202" s="3" t="str">
        <f ca="1">IFERROR(__xludf.DUMMYFUNCTION("""COMPUTED_VALUE"""),"19951225 202012 2 036")</f>
        <v>19951225 202012 2 036</v>
      </c>
      <c r="G202" s="3">
        <f ca="1">IFERROR(__xludf.DUMMYFUNCTION("""COMPUTED_VALUE"""),2025129502)</f>
        <v>2025129502</v>
      </c>
      <c r="H202" s="6" t="str">
        <f ca="1">IFERROR(__xludf.DUMMYFUNCTION("""COMPUTED_VALUE"""),"1557773674230283")</f>
        <v>1557773674230283</v>
      </c>
      <c r="I202" s="3" t="str">
        <f ca="1">IFERROR(__xludf.DUMMYFUNCTION("""COMPUTED_VALUE"""),"PNS")</f>
        <v>PNS</v>
      </c>
      <c r="J202" s="3" t="str">
        <f ca="1">IFERROR(__xludf.DUMMYFUNCTION("""COMPUTED_VALUE"""),"Dosen PNS")</f>
        <v>Dosen PNS</v>
      </c>
      <c r="K202" s="5" t="str">
        <f ca="1">IFERROR(__xludf.DUMMYFUNCTION("""COMPUTED_VALUE"""),"P")</f>
        <v>P</v>
      </c>
      <c r="L202" s="3" t="str">
        <f ca="1">IFERROR(__xludf.DUMMYFUNCTION("""COMPUTED_VALUE"""),"Boyolali")</f>
        <v>Boyolali</v>
      </c>
      <c r="M202" s="9">
        <f ca="1">IFERROR(__xludf.DUMMYFUNCTION("""COMPUTED_VALUE"""),35058)</f>
        <v>35058</v>
      </c>
      <c r="N202" s="4" t="str">
        <f ca="1">IFERROR(__xludf.DUMMYFUNCTION("""COMPUTED_VALUE"""),"Penata")</f>
        <v>Penata</v>
      </c>
      <c r="O202" s="3" t="str">
        <f ca="1">IFERROR(__xludf.DUMMYFUNCTION("""COMPUTED_VALUE"""),"III/c")</f>
        <v>III/c</v>
      </c>
      <c r="P202" s="7">
        <f ca="1">IFERROR(__xludf.DUMMYFUNCTION("""COMPUTED_VALUE"""),45689)</f>
        <v>45689</v>
      </c>
      <c r="Q202" s="3" t="str">
        <f ca="1">IFERROR(__xludf.DUMMYFUNCTION("""COMPUTED_VALUE"""),"231/Un.19/K.AUPK/KP.11.1/01/2025")</f>
        <v>231/Un.19/K.AUPK/KP.11.1/01/2025</v>
      </c>
      <c r="R202" s="3" t="str">
        <f ca="1">IFERROR(__xludf.DUMMYFUNCTION("""COMPUTED_VALUE"""),"Lektor")</f>
        <v>Lektor</v>
      </c>
      <c r="S202" s="3" t="str">
        <f ca="1">IFERROR(__xludf.DUMMYFUNCTION("""COMPUTED_VALUE"""),"Lektor")</f>
        <v>Lektor</v>
      </c>
      <c r="T202" s="7">
        <f ca="1">IFERROR(__xludf.DUMMYFUNCTION("""COMPUTED_VALUE"""),45627)</f>
        <v>45627</v>
      </c>
      <c r="U202" s="3" t="str">
        <f ca="1">IFERROR(__xludf.DUMMYFUNCTION("""COMPUTED_VALUE"""),"949/Un.19/R/KP.08.1/12/2024")</f>
        <v>949/Un.19/R/KP.08.1/12/2024</v>
      </c>
      <c r="V202" s="9">
        <f ca="1">IFERROR(__xludf.DUMMYFUNCTION("""COMPUTED_VALUE"""),45646)</f>
        <v>45646</v>
      </c>
      <c r="W202" s="3">
        <f ca="1">IFERROR(__xludf.DUMMYFUNCTION("""COMPUTED_VALUE"""),11)</f>
        <v>11</v>
      </c>
      <c r="X202" s="3"/>
      <c r="Y202" s="3" t="str">
        <f ca="1">IFERROR(__xludf.DUMMYFUNCTION("""COMPUTED_VALUE"""),"S-2")</f>
        <v>S-2</v>
      </c>
      <c r="Z202" s="3" t="str">
        <f ca="1">IFERROR(__xludf.DUMMYFUNCTION("""COMPUTED_VALUE"""),"5 Tahun 1 Bulan 27 Hari")</f>
        <v>5 Tahun 1 Bulan 27 Hari</v>
      </c>
      <c r="AA202" s="8">
        <f ca="1">IFERROR(__xludf.DUMMYFUNCTION("""COMPUTED_VALUE"""),58807)</f>
        <v>58807</v>
      </c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4"/>
      <c r="AR202" s="3"/>
      <c r="AS202" s="4"/>
      <c r="AT202" s="3"/>
      <c r="AU202" s="3"/>
    </row>
    <row r="203" spans="1:47" x14ac:dyDescent="0.2">
      <c r="A203" s="12">
        <v>202</v>
      </c>
      <c r="B203" s="3" t="str">
        <f ca="1">IFERROR(__xludf.DUMMYFUNCTION("""COMPUTED_VALUE"""),"Waliko")</f>
        <v>Waliko</v>
      </c>
      <c r="C203" s="3" t="str">
        <f ca="1">IFERROR(__xludf.DUMMYFUNCTION("""COMPUTED_VALUE"""),"Waliko, M.A.")</f>
        <v>Waliko, M.A.</v>
      </c>
      <c r="D203" s="3" t="str">
        <f ca="1">IFERROR(__xludf.DUMMYFUNCTION("""COMPUTED_VALUE"""),"Waliko, M.A.")</f>
        <v>Waliko, M.A.</v>
      </c>
      <c r="E203" s="3" t="str">
        <f ca="1">IFERROR(__xludf.DUMMYFUNCTION("""COMPUTED_VALUE"""),"197211242005012001")</f>
        <v>197211242005012001</v>
      </c>
      <c r="F203" s="3" t="str">
        <f ca="1">IFERROR(__xludf.DUMMYFUNCTION("""COMPUTED_VALUE"""),"19721124 200501 2 001")</f>
        <v>19721124 200501 2 001</v>
      </c>
      <c r="G203" s="3">
        <f ca="1">IFERROR(__xludf.DUMMYFUNCTION("""COMPUTED_VALUE"""),2024117201)</f>
        <v>2024117201</v>
      </c>
      <c r="H203" s="6" t="str">
        <f ca="1">IFERROR(__xludf.DUMMYFUNCTION("""COMPUTED_VALUE"""),"8456750651230093")</f>
        <v>8456750651230093</v>
      </c>
      <c r="I203" s="3" t="str">
        <f ca="1">IFERROR(__xludf.DUMMYFUNCTION("""COMPUTED_VALUE"""),"PNS")</f>
        <v>PNS</v>
      </c>
      <c r="J203" s="3" t="str">
        <f ca="1">IFERROR(__xludf.DUMMYFUNCTION("""COMPUTED_VALUE"""),"Dosen PNS")</f>
        <v>Dosen PNS</v>
      </c>
      <c r="K203" s="5" t="str">
        <f ca="1">IFERROR(__xludf.DUMMYFUNCTION("""COMPUTED_VALUE"""),"P")</f>
        <v>P</v>
      </c>
      <c r="L203" s="3" t="str">
        <f ca="1">IFERROR(__xludf.DUMMYFUNCTION("""COMPUTED_VALUE"""),"Jakarta")</f>
        <v>Jakarta</v>
      </c>
      <c r="M203" s="9">
        <f ca="1">IFERROR(__xludf.DUMMYFUNCTION("""COMPUTED_VALUE"""),26627)</f>
        <v>26627</v>
      </c>
      <c r="N203" s="4" t="str">
        <f ca="1">IFERROR(__xludf.DUMMYFUNCTION("""COMPUTED_VALUE"""),"Pembina")</f>
        <v>Pembina</v>
      </c>
      <c r="O203" s="3" t="str">
        <f ca="1">IFERROR(__xludf.DUMMYFUNCTION("""COMPUTED_VALUE"""),"IV/a")</f>
        <v>IV/a</v>
      </c>
      <c r="P203" s="7">
        <f ca="1">IFERROR(__xludf.DUMMYFUNCTION("""COMPUTED_VALUE"""),45992)</f>
        <v>45992</v>
      </c>
      <c r="Q203" s="3" t="str">
        <f ca="1">IFERROR(__xludf.DUMMYFUNCTION("""COMPUTED_VALUE"""),"213730/B.II/KP.07.1/11/2025")</f>
        <v>213730/B.II/KP.07.1/11/2025</v>
      </c>
      <c r="R203" s="3" t="str">
        <f ca="1">IFERROR(__xludf.DUMMYFUNCTION("""COMPUTED_VALUE"""),"Lektor Kepala")</f>
        <v>Lektor Kepala</v>
      </c>
      <c r="S203" s="3" t="str">
        <f ca="1">IFERROR(__xludf.DUMMYFUNCTION("""COMPUTED_VALUE"""),"Lektor Kepala")</f>
        <v>Lektor Kepala</v>
      </c>
      <c r="T203" s="7">
        <f ca="1">IFERROR(__xludf.DUMMYFUNCTION("""COMPUTED_VALUE"""),45962)</f>
        <v>45962</v>
      </c>
      <c r="U203" s="3" t="str">
        <f ca="1">IFERROR(__xludf.DUMMYFUNCTION("""COMPUTED_VALUE"""),"209513/B.II/KP.07.6/10/2025")</f>
        <v>209513/B.II/KP.07.6/10/2025</v>
      </c>
      <c r="V203" s="7">
        <f ca="1">IFERROR(__xludf.DUMMYFUNCTION("""COMPUTED_VALUE"""),45943)</f>
        <v>45943</v>
      </c>
      <c r="W203" s="3">
        <f ca="1">IFERROR(__xludf.DUMMYFUNCTION("""COMPUTED_VALUE"""),13)</f>
        <v>13</v>
      </c>
      <c r="X203" s="7" t="str">
        <f ca="1">IFERROR(__xludf.DUMMYFUNCTION("""COMPUTED_VALUE"""),"Ketua Jurusan Studi Agama-Agama dan Tasawuf Psikoterapi Pada Fakultas Ushuluddin, Adab, dan Humaniora")</f>
        <v>Ketua Jurusan Studi Agama-Agama dan Tasawuf Psikoterapi Pada Fakultas Ushuluddin, Adab, dan Humaniora</v>
      </c>
      <c r="Y203" s="3" t="str">
        <f ca="1">IFERROR(__xludf.DUMMYFUNCTION("""COMPUTED_VALUE"""),"S-2")</f>
        <v>S-2</v>
      </c>
      <c r="Z203" s="3" t="str">
        <f ca="1">IFERROR(__xludf.DUMMYFUNCTION("""COMPUTED_VALUE"""),"21 Tahun 0 Bulan 27 Hari")</f>
        <v>21 Tahun 0 Bulan 27 Hari</v>
      </c>
      <c r="AA203" s="8">
        <f ca="1">IFERROR(__xludf.DUMMYFUNCTION("""COMPUTED_VALUE"""),50375)</f>
        <v>50375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4"/>
      <c r="AR203" s="3"/>
      <c r="AS203" s="4"/>
      <c r="AT203" s="3"/>
      <c r="AU203" s="3"/>
    </row>
    <row r="204" spans="1:47" x14ac:dyDescent="0.2">
      <c r="A204" s="12">
        <v>203</v>
      </c>
      <c r="B204" s="3" t="str">
        <f ca="1">IFERROR(__xludf.DUMMYFUNCTION("""COMPUTED_VALUE"""),"Warto")</f>
        <v>Warto</v>
      </c>
      <c r="C204" s="3" t="str">
        <f ca="1">IFERROR(__xludf.DUMMYFUNCTION("""COMPUTED_VALUE"""),"Dr. Warto, M.Kom.")</f>
        <v>Dr. Warto, M.Kom.</v>
      </c>
      <c r="D204" s="3" t="str">
        <f ca="1">IFERROR(__xludf.DUMMYFUNCTION("""COMPUTED_VALUE"""),"Dr. Warto, M.Kom.")</f>
        <v>Dr. Warto, M.Kom.</v>
      </c>
      <c r="E204" s="3" t="str">
        <f ca="1">IFERROR(__xludf.DUMMYFUNCTION("""COMPUTED_VALUE"""),"198111192006041004")</f>
        <v>198111192006041004</v>
      </c>
      <c r="F204" s="3" t="str">
        <f ca="1">IFERROR(__xludf.DUMMYFUNCTION("""COMPUTED_VALUE"""),"19811119 200604 1 004")</f>
        <v>19811119 200604 1 004</v>
      </c>
      <c r="G204" s="3">
        <f ca="1">IFERROR(__xludf.DUMMYFUNCTION("""COMPUTED_VALUE"""),2019118102)</f>
        <v>2019118102</v>
      </c>
      <c r="H204" s="6" t="str">
        <f ca="1">IFERROR(__xludf.DUMMYFUNCTION("""COMPUTED_VALUE"""),"8451759660130153")</f>
        <v>8451759660130153</v>
      </c>
      <c r="I204" s="3" t="str">
        <f ca="1">IFERROR(__xludf.DUMMYFUNCTION("""COMPUTED_VALUE"""),"PNS")</f>
        <v>PNS</v>
      </c>
      <c r="J204" s="3" t="str">
        <f ca="1">IFERROR(__xludf.DUMMYFUNCTION("""COMPUTED_VALUE"""),"Dosen PNS")</f>
        <v>Dosen PNS</v>
      </c>
      <c r="K204" s="5" t="str">
        <f ca="1">IFERROR(__xludf.DUMMYFUNCTION("""COMPUTED_VALUE"""),"L")</f>
        <v>L</v>
      </c>
      <c r="L204" s="3" t="str">
        <f ca="1">IFERROR(__xludf.DUMMYFUNCTION("""COMPUTED_VALUE"""),"Kebumen")</f>
        <v>Kebumen</v>
      </c>
      <c r="M204" s="9">
        <f ca="1">IFERROR(__xludf.DUMMYFUNCTION("""COMPUTED_VALUE"""),29909)</f>
        <v>29909</v>
      </c>
      <c r="N204" s="4" t="str">
        <f ca="1">IFERROR(__xludf.DUMMYFUNCTION("""COMPUTED_VALUE"""),"Penata Tk.I")</f>
        <v>Penata Tk.I</v>
      </c>
      <c r="O204" s="3" t="str">
        <f ca="1">IFERROR(__xludf.DUMMYFUNCTION("""COMPUTED_VALUE"""),"III/d")</f>
        <v>III/d</v>
      </c>
      <c r="P204" s="7">
        <f ca="1">IFERROR(__xludf.DUMMYFUNCTION("""COMPUTED_VALUE"""),44287)</f>
        <v>44287</v>
      </c>
      <c r="Q204" s="3" t="str">
        <f ca="1">IFERROR(__xludf.DUMMYFUNCTION("""COMPUTED_VALUE"""),"22675/B.II/3/2021")</f>
        <v>22675/B.II/3/2021</v>
      </c>
      <c r="R204" s="3" t="str">
        <f ca="1">IFERROR(__xludf.DUMMYFUNCTION("""COMPUTED_VALUE"""),"Lektor")</f>
        <v>Lektor</v>
      </c>
      <c r="S204" s="3" t="str">
        <f ca="1">IFERROR(__xludf.DUMMYFUNCTION("""COMPUTED_VALUE"""),"Lektor")</f>
        <v>Lektor</v>
      </c>
      <c r="T204" s="7">
        <f ca="1">IFERROR(__xludf.DUMMYFUNCTION("""COMPUTED_VALUE"""),44166)</f>
        <v>44166</v>
      </c>
      <c r="U204" s="3" t="str">
        <f ca="1">IFERROR(__xludf.DUMMYFUNCTION("""COMPUTED_VALUE"""),"257/In.17/R/Kp.07.6/1/2021")</f>
        <v>257/In.17/R/Kp.07.6/1/2021</v>
      </c>
      <c r="V204" s="7">
        <f ca="1">IFERROR(__xludf.DUMMYFUNCTION("""COMPUTED_VALUE"""),44166)</f>
        <v>44166</v>
      </c>
      <c r="W204" s="3">
        <f ca="1">IFERROR(__xludf.DUMMYFUNCTION("""COMPUTED_VALUE"""),11)</f>
        <v>11</v>
      </c>
      <c r="X204" s="7" t="str">
        <f ca="1">IFERROR(__xludf.DUMMYFUNCTION("""COMPUTED_VALUE"""),"Kepala Pusat Publikasi Ilmiah dan Penerbitan Pada Lembaga Penelitian dan Pengabdian Kepada Masyarakat")</f>
        <v>Kepala Pusat Publikasi Ilmiah dan Penerbitan Pada Lembaga Penelitian dan Pengabdian Kepada Masyarakat</v>
      </c>
      <c r="Y204" s="3" t="str">
        <f ca="1">IFERROR(__xludf.DUMMYFUNCTION("""COMPUTED_VALUE"""),"S-3")</f>
        <v>S-3</v>
      </c>
      <c r="Z204" s="3" t="str">
        <f ca="1">IFERROR(__xludf.DUMMYFUNCTION("""COMPUTED_VALUE"""),"19 Tahun 9 Bulan 27 Hari")</f>
        <v>19 Tahun 9 Bulan 27 Hari</v>
      </c>
      <c r="AA204" s="8">
        <f ca="1">IFERROR(__xludf.DUMMYFUNCTION("""COMPUTED_VALUE"""),53662)</f>
        <v>53662</v>
      </c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4"/>
      <c r="AR204" s="3"/>
      <c r="AS204" s="4"/>
      <c r="AT204" s="3"/>
      <c r="AU204" s="3"/>
    </row>
    <row r="205" spans="1:47" x14ac:dyDescent="0.2">
      <c r="A205" s="12">
        <v>204</v>
      </c>
      <c r="B205" s="3" t="str">
        <f ca="1">IFERROR(__xludf.DUMMYFUNCTION("""COMPUTED_VALUE"""),"Yoiz Shofwa Shafrani")</f>
        <v>Yoiz Shofwa Shafrani</v>
      </c>
      <c r="C205" s="3" t="str">
        <f ca="1">IFERROR(__xludf.DUMMYFUNCTION("""COMPUTED_VALUE"""),"Dr. Hj. Yoiz Shofwa Shafrani, S.P., M.Si.")</f>
        <v>Dr. Hj. Yoiz Shofwa Shafrani, S.P., M.Si.</v>
      </c>
      <c r="D205" s="3" t="str">
        <f ca="1">IFERROR(__xludf.DUMMYFUNCTION("""COMPUTED_VALUE"""),"Dr. Hj. Yoiz Shofwa Shafrani, S.P., M.Si.")</f>
        <v>Dr. Hj. Yoiz Shofwa Shafrani, S.P., M.Si.</v>
      </c>
      <c r="E205" s="3" t="str">
        <f ca="1">IFERROR(__xludf.DUMMYFUNCTION("""COMPUTED_VALUE"""),"197812312008012027")</f>
        <v>197812312008012027</v>
      </c>
      <c r="F205" s="3" t="str">
        <f ca="1">IFERROR(__xludf.DUMMYFUNCTION("""COMPUTED_VALUE"""),"19781231 200801 2 027")</f>
        <v>19781231 200801 2 027</v>
      </c>
      <c r="G205" s="3">
        <f ca="1">IFERROR(__xludf.DUMMYFUNCTION("""COMPUTED_VALUE"""),2031127804)</f>
        <v>2031127804</v>
      </c>
      <c r="H205" s="6" t="str">
        <f ca="1">IFERROR(__xludf.DUMMYFUNCTION("""COMPUTED_VALUE"""),"0563756657231353")</f>
        <v>0563756657231353</v>
      </c>
      <c r="I205" s="3" t="str">
        <f ca="1">IFERROR(__xludf.DUMMYFUNCTION("""COMPUTED_VALUE"""),"PNS")</f>
        <v>PNS</v>
      </c>
      <c r="J205" s="3" t="str">
        <f ca="1">IFERROR(__xludf.DUMMYFUNCTION("""COMPUTED_VALUE"""),"Dosen PNS")</f>
        <v>Dosen PNS</v>
      </c>
      <c r="K205" s="5" t="str">
        <f ca="1">IFERROR(__xludf.DUMMYFUNCTION("""COMPUTED_VALUE"""),"P")</f>
        <v>P</v>
      </c>
      <c r="L205" s="3" t="str">
        <f ca="1">IFERROR(__xludf.DUMMYFUNCTION("""COMPUTED_VALUE"""),"Cilacap")</f>
        <v>Cilacap</v>
      </c>
      <c r="M205" s="9">
        <f ca="1">IFERROR(__xludf.DUMMYFUNCTION("""COMPUTED_VALUE"""),28855)</f>
        <v>28855</v>
      </c>
      <c r="N205" s="4" t="str">
        <f ca="1">IFERROR(__xludf.DUMMYFUNCTION("""COMPUTED_VALUE"""),"Penata Tk.I")</f>
        <v>Penata Tk.I</v>
      </c>
      <c r="O205" s="3" t="str">
        <f ca="1">IFERROR(__xludf.DUMMYFUNCTION("""COMPUTED_VALUE"""),"III/d")</f>
        <v>III/d</v>
      </c>
      <c r="P205" s="7">
        <f ca="1">IFERROR(__xludf.DUMMYFUNCTION("""COMPUTED_VALUE"""),44287)</f>
        <v>44287</v>
      </c>
      <c r="Q205" s="3" t="str">
        <f ca="1">IFERROR(__xludf.DUMMYFUNCTION("""COMPUTED_VALUE"""),"22580/B.II/3/2021")</f>
        <v>22580/B.II/3/2021</v>
      </c>
      <c r="R205" s="3" t="str">
        <f ca="1">IFERROR(__xludf.DUMMYFUNCTION("""COMPUTED_VALUE"""),"Lektor")</f>
        <v>Lektor</v>
      </c>
      <c r="S205" s="3" t="str">
        <f ca="1">IFERROR(__xludf.DUMMYFUNCTION("""COMPUTED_VALUE"""),"Lektor")</f>
        <v>Lektor</v>
      </c>
      <c r="T205" s="7">
        <f ca="1">IFERROR(__xludf.DUMMYFUNCTION("""COMPUTED_VALUE"""),44075)</f>
        <v>44075</v>
      </c>
      <c r="U205" s="3" t="str">
        <f ca="1">IFERROR(__xludf.DUMMYFUNCTION("""COMPUTED_VALUE"""),"1856/In.17/R/Kp.07.6/9/2020")</f>
        <v>1856/In.17/R/Kp.07.6/9/2020</v>
      </c>
      <c r="V205" s="7">
        <f ca="1">IFERROR(__xludf.DUMMYFUNCTION("""COMPUTED_VALUE"""),44075)</f>
        <v>44075</v>
      </c>
      <c r="W205" s="3">
        <f ca="1">IFERROR(__xludf.DUMMYFUNCTION("""COMPUTED_VALUE"""),11)</f>
        <v>11</v>
      </c>
      <c r="X205" s="7" t="str">
        <f ca="1">IFERROR(__xludf.DUMMYFUNCTION("""COMPUTED_VALUE"""),"Kepala Laboratorium Pada Fakultas Ekonomi dan Bisnis Islam")</f>
        <v>Kepala Laboratorium Pada Fakultas Ekonomi dan Bisnis Islam</v>
      </c>
      <c r="Y205" s="3" t="str">
        <f ca="1">IFERROR(__xludf.DUMMYFUNCTION("""COMPUTED_VALUE"""),"S-3")</f>
        <v>S-3</v>
      </c>
      <c r="Z205" s="3" t="str">
        <f ca="1">IFERROR(__xludf.DUMMYFUNCTION("""COMPUTED_VALUE"""),"18 Tahun 0 Bulan 27 Hari")</f>
        <v>18 Tahun 0 Bulan 27 Hari</v>
      </c>
      <c r="AA205" s="8">
        <f ca="1">IFERROR(__xludf.DUMMYFUNCTION("""COMPUTED_VALUE"""),52597)</f>
        <v>52597</v>
      </c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4"/>
      <c r="AR205" s="3"/>
      <c r="AS205" s="4"/>
      <c r="AT205" s="3"/>
      <c r="AU205" s="3"/>
    </row>
    <row r="206" spans="1:47" x14ac:dyDescent="0.2">
      <c r="A206" s="12">
        <v>205</v>
      </c>
      <c r="B206" s="3" t="str">
        <f ca="1">IFERROR(__xludf.DUMMYFUNCTION("""COMPUTED_VALUE"""),"Yosi Intan Pandini Gunawan")</f>
        <v>Yosi Intan Pandini Gunawan</v>
      </c>
      <c r="C206" s="3" t="str">
        <f ca="1">IFERROR(__xludf.DUMMYFUNCTION("""COMPUTED_VALUE"""),"Yosi Intan Pandini Gunawan, M.Pd.")</f>
        <v>Yosi Intan Pandini Gunawan, M.Pd.</v>
      </c>
      <c r="D206" s="3" t="str">
        <f ca="1">IFERROR(__xludf.DUMMYFUNCTION("""COMPUTED_VALUE"""),"Yosi Intan Pandini Gunawan, M.Pd.")</f>
        <v>Yosi Intan Pandini Gunawan, M.Pd.</v>
      </c>
      <c r="E206" s="3" t="str">
        <f ca="1">IFERROR(__xludf.DUMMYFUNCTION("""COMPUTED_VALUE"""),"198603162019032014")</f>
        <v>198603162019032014</v>
      </c>
      <c r="F206" s="3" t="str">
        <f ca="1">IFERROR(__xludf.DUMMYFUNCTION("""COMPUTED_VALUE"""),"19860316 201903 2 014")</f>
        <v>19860316 201903 2 014</v>
      </c>
      <c r="G206" s="3">
        <f ca="1">IFERROR(__xludf.DUMMYFUNCTION("""COMPUTED_VALUE"""),2016038604)</f>
        <v>2016038604</v>
      </c>
      <c r="H206" s="6" t="str">
        <f ca="1">IFERROR(__xludf.DUMMYFUNCTION("""COMPUTED_VALUE"""),"4648764665300012")</f>
        <v>4648764665300012</v>
      </c>
      <c r="I206" s="3" t="str">
        <f ca="1">IFERROR(__xludf.DUMMYFUNCTION("""COMPUTED_VALUE"""),"PNS")</f>
        <v>PNS</v>
      </c>
      <c r="J206" s="3" t="str">
        <f ca="1">IFERROR(__xludf.DUMMYFUNCTION("""COMPUTED_VALUE"""),"Dosen PNS")</f>
        <v>Dosen PNS</v>
      </c>
      <c r="K206" s="5" t="str">
        <f ca="1">IFERROR(__xludf.DUMMYFUNCTION("""COMPUTED_VALUE"""),"P")</f>
        <v>P</v>
      </c>
      <c r="L206" s="3" t="str">
        <f ca="1">IFERROR(__xludf.DUMMYFUNCTION("""COMPUTED_VALUE"""),"Garut")</f>
        <v>Garut</v>
      </c>
      <c r="M206" s="7">
        <f ca="1">IFERROR(__xludf.DUMMYFUNCTION("""COMPUTED_VALUE"""),31487)</f>
        <v>31487</v>
      </c>
      <c r="N206" s="4" t="str">
        <f ca="1">IFERROR(__xludf.DUMMYFUNCTION("""COMPUTED_VALUE"""),"Penata")</f>
        <v>Penata</v>
      </c>
      <c r="O206" s="3" t="str">
        <f ca="1">IFERROR(__xludf.DUMMYFUNCTION("""COMPUTED_VALUE"""),"III/c")</f>
        <v>III/c</v>
      </c>
      <c r="P206" s="7">
        <f ca="1">IFERROR(__xludf.DUMMYFUNCTION("""COMPUTED_VALUE"""),45748)</f>
        <v>45748</v>
      </c>
      <c r="Q206" s="3" t="str">
        <f ca="1">IFERROR(__xludf.DUMMYFUNCTION("""COMPUTED_VALUE"""),"275/Un.19/K.AUPK/KP.11.1/02/2025")</f>
        <v>275/Un.19/K.AUPK/KP.11.1/02/2025</v>
      </c>
      <c r="R206" s="3" t="str">
        <f ca="1">IFERROR(__xludf.DUMMYFUNCTION("""COMPUTED_VALUE"""),"Lektor")</f>
        <v>Lektor</v>
      </c>
      <c r="S206" s="3" t="str">
        <f ca="1">IFERROR(__xludf.DUMMYFUNCTION("""COMPUTED_VALUE"""),"Lektor")</f>
        <v>Lektor</v>
      </c>
      <c r="T206" s="7">
        <f ca="1">IFERROR(__xludf.DUMMYFUNCTION("""COMPUTED_VALUE"""),45566)</f>
        <v>45566</v>
      </c>
      <c r="U206" s="3" t="str">
        <f ca="1">IFERROR(__xludf.DUMMYFUNCTION("""COMPUTED_VALUE"""),"868.3 TAHUN 2024")</f>
        <v>868.3 TAHUN 2024</v>
      </c>
      <c r="V206" s="7">
        <f ca="1">IFERROR(__xludf.DUMMYFUNCTION("""COMPUTED_VALUE"""),45566)</f>
        <v>45566</v>
      </c>
      <c r="W206" s="3">
        <f ca="1">IFERROR(__xludf.DUMMYFUNCTION("""COMPUTED_VALUE"""),11)</f>
        <v>11</v>
      </c>
      <c r="X206" s="3"/>
      <c r="Y206" s="3" t="str">
        <f ca="1">IFERROR(__xludf.DUMMYFUNCTION("""COMPUTED_VALUE"""),"S-2")</f>
        <v>S-2</v>
      </c>
      <c r="Z206" s="3" t="str">
        <f ca="1">IFERROR(__xludf.DUMMYFUNCTION("""COMPUTED_VALUE"""),"6 Tahun 10 Bulan 27 Hari")</f>
        <v>6 Tahun 10 Bulan 27 Hari</v>
      </c>
      <c r="AA206" s="8">
        <f ca="1">IFERROR(__xludf.DUMMYFUNCTION("""COMPUTED_VALUE"""),55244)</f>
        <v>55244</v>
      </c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4"/>
      <c r="AR206" s="3"/>
      <c r="AS206" s="4"/>
      <c r="AT206" s="3"/>
      <c r="AU206" s="3"/>
    </row>
    <row r="207" spans="1:47" x14ac:dyDescent="0.2">
      <c r="A207" s="12">
        <v>206</v>
      </c>
      <c r="B207" s="3" t="str">
        <f ca="1">IFERROR(__xludf.DUMMYFUNCTION("""COMPUTED_VALUE"""),"Yulia Azizah Sulaeman")</f>
        <v>Yulia Azizah Sulaeman</v>
      </c>
      <c r="C207" s="3" t="str">
        <f ca="1">IFERROR(__xludf.DUMMYFUNCTION("""COMPUTED_VALUE"""),"Yulia Azizah Sulaeman, S.Si., M.T.")</f>
        <v>Yulia Azizah Sulaeman, S.Si., M.T.</v>
      </c>
      <c r="D207" s="3" t="str">
        <f ca="1">IFERROR(__xludf.DUMMYFUNCTION("""COMPUTED_VALUE"""),"Yulia Azizah Sulaeman, S.Si., M.T.")</f>
        <v>Yulia Azizah Sulaeman, S.Si., M.T.</v>
      </c>
      <c r="E207" s="3" t="str">
        <f ca="1">IFERROR(__xludf.DUMMYFUNCTION("""COMPUTED_VALUE"""),"198707182022032004")</f>
        <v>198707182022032004</v>
      </c>
      <c r="F207" s="3" t="str">
        <f ca="1">IFERROR(__xludf.DUMMYFUNCTION("""COMPUTED_VALUE"""),"19870718 202203 2 004")</f>
        <v>19870718 202203 2 004</v>
      </c>
      <c r="G207" s="3">
        <f ca="1">IFERROR(__xludf.DUMMYFUNCTION("""COMPUTED_VALUE"""),2018078704)</f>
        <v>2018078704</v>
      </c>
      <c r="H207" s="6" t="str">
        <f ca="1">IFERROR(__xludf.DUMMYFUNCTION("""COMPUTED_VALUE"""),"3050765666230343")</f>
        <v>3050765666230343</v>
      </c>
      <c r="I207" s="3" t="str">
        <f ca="1">IFERROR(__xludf.DUMMYFUNCTION("""COMPUTED_VALUE"""),"PNS")</f>
        <v>PNS</v>
      </c>
      <c r="J207" s="3" t="str">
        <f ca="1">IFERROR(__xludf.DUMMYFUNCTION("""COMPUTED_VALUE"""),"Dosen PNS")</f>
        <v>Dosen PNS</v>
      </c>
      <c r="K207" s="5" t="str">
        <f ca="1">IFERROR(__xludf.DUMMYFUNCTION("""COMPUTED_VALUE"""),"P")</f>
        <v>P</v>
      </c>
      <c r="L207" s="3" t="str">
        <f ca="1">IFERROR(__xludf.DUMMYFUNCTION("""COMPUTED_VALUE"""),"Kab. Bandung")</f>
        <v>Kab. Bandung</v>
      </c>
      <c r="M207" s="7">
        <f ca="1">IFERROR(__xludf.DUMMYFUNCTION("""COMPUTED_VALUE"""),31976)</f>
        <v>31976</v>
      </c>
      <c r="N207" s="4" t="str">
        <f ca="1">IFERROR(__xludf.DUMMYFUNCTION("""COMPUTED_VALUE"""),"Penata Muda Tk.I")</f>
        <v>Penata Muda Tk.I</v>
      </c>
      <c r="O207" s="3" t="str">
        <f ca="1">IFERROR(__xludf.DUMMYFUNCTION("""COMPUTED_VALUE"""),"III/b")</f>
        <v>III/b</v>
      </c>
      <c r="P207" s="7">
        <f ca="1">IFERROR(__xludf.DUMMYFUNCTION("""COMPUTED_VALUE"""),44621)</f>
        <v>44621</v>
      </c>
      <c r="Q207" s="3" t="str">
        <f ca="1">IFERROR(__xludf.DUMMYFUNCTION("""COMPUTED_VALUE"""),"702/Un.19/R/KP.00.3/2/2022")</f>
        <v>702/Un.19/R/KP.00.3/2/2022</v>
      </c>
      <c r="R207" s="3" t="str">
        <f ca="1">IFERROR(__xludf.DUMMYFUNCTION("""COMPUTED_VALUE"""),"Asisten Ahli")</f>
        <v>Asisten Ahli</v>
      </c>
      <c r="S207" s="3" t="str">
        <f ca="1">IFERROR(__xludf.DUMMYFUNCTION("""COMPUTED_VALUE"""),"Asisten Ahli")</f>
        <v>Asisten Ahli</v>
      </c>
      <c r="T207" s="7">
        <f ca="1">IFERROR(__xludf.DUMMYFUNCTION("""COMPUTED_VALUE"""),45444)</f>
        <v>45444</v>
      </c>
      <c r="U207" s="3" t="str">
        <f ca="1">IFERROR(__xludf.DUMMYFUNCTION("""COMPUTED_VALUE"""),"026217/B.II/3/2024")</f>
        <v>026217/B.II/3/2024</v>
      </c>
      <c r="V207" s="7">
        <f ca="1">IFERROR(__xludf.DUMMYFUNCTION("""COMPUTED_VALUE"""),45433)</f>
        <v>45433</v>
      </c>
      <c r="W207" s="3">
        <f ca="1">IFERROR(__xludf.DUMMYFUNCTION("""COMPUTED_VALUE"""),9)</f>
        <v>9</v>
      </c>
      <c r="X207" s="3"/>
      <c r="Y207" s="3" t="str">
        <f ca="1">IFERROR(__xludf.DUMMYFUNCTION("""COMPUTED_VALUE"""),"S-2")</f>
        <v>S-2</v>
      </c>
      <c r="Z207" s="3" t="str">
        <f ca="1">IFERROR(__xludf.DUMMYFUNCTION("""COMPUTED_VALUE"""),"3 Tahun 10 Bulan 27 Hari")</f>
        <v>3 Tahun 10 Bulan 27 Hari</v>
      </c>
      <c r="AA207" s="8">
        <f ca="1">IFERROR(__xludf.DUMMYFUNCTION("""COMPUTED_VALUE"""),55732)</f>
        <v>55732</v>
      </c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4"/>
      <c r="AR207" s="3"/>
      <c r="AS207" s="4"/>
      <c r="AT207" s="3"/>
      <c r="AU207" s="3"/>
    </row>
    <row r="208" spans="1:47" x14ac:dyDescent="0.2">
      <c r="A208" s="12">
        <v>207</v>
      </c>
      <c r="B208" s="3" t="str">
        <f ca="1">IFERROR(__xludf.DUMMYFUNCTION("""COMPUTED_VALUE"""),"Yulian Purnama")</f>
        <v>Yulian Purnama</v>
      </c>
      <c r="C208" s="3" t="str">
        <f ca="1">IFERROR(__xludf.DUMMYFUNCTION("""COMPUTED_VALUE"""),"Yulian Purnama, S.Pd., M.Hum.")</f>
        <v>Yulian Purnama, S.Pd., M.Hum.</v>
      </c>
      <c r="D208" s="3" t="str">
        <f ca="1">IFERROR(__xludf.DUMMYFUNCTION("""COMPUTED_VALUE"""),"Yulian Purnama, S.Pd., M.Hum.")</f>
        <v>Yulian Purnama, S.Pd., M.Hum.</v>
      </c>
      <c r="E208" s="3" t="str">
        <f ca="1">IFERROR(__xludf.DUMMYFUNCTION("""COMPUTED_VALUE"""),"197607102008011030")</f>
        <v>197607102008011030</v>
      </c>
      <c r="F208" s="3" t="str">
        <f ca="1">IFERROR(__xludf.DUMMYFUNCTION("""COMPUTED_VALUE"""),"19760710 200801 1 030")</f>
        <v>19760710 200801 1 030</v>
      </c>
      <c r="G208" s="3">
        <f ca="1">IFERROR(__xludf.DUMMYFUNCTION("""COMPUTED_VALUE"""),2010077601)</f>
        <v>2010077601</v>
      </c>
      <c r="H208" s="6" t="str">
        <f ca="1">IFERROR(__xludf.DUMMYFUNCTION("""COMPUTED_VALUE"""),"3042754655130163")</f>
        <v>3042754655130163</v>
      </c>
      <c r="I208" s="3" t="str">
        <f ca="1">IFERROR(__xludf.DUMMYFUNCTION("""COMPUTED_VALUE"""),"PNS")</f>
        <v>PNS</v>
      </c>
      <c r="J208" s="3" t="str">
        <f ca="1">IFERROR(__xludf.DUMMYFUNCTION("""COMPUTED_VALUE"""),"Dosen PNS")</f>
        <v>Dosen PNS</v>
      </c>
      <c r="K208" s="5" t="str">
        <f ca="1">IFERROR(__xludf.DUMMYFUNCTION("""COMPUTED_VALUE"""),"L")</f>
        <v>L</v>
      </c>
      <c r="L208" s="3" t="str">
        <f ca="1">IFERROR(__xludf.DUMMYFUNCTION("""COMPUTED_VALUE"""),"Magelang")</f>
        <v>Magelang</v>
      </c>
      <c r="M208" s="7">
        <f ca="1">IFERROR(__xludf.DUMMYFUNCTION("""COMPUTED_VALUE"""),27951)</f>
        <v>27951</v>
      </c>
      <c r="N208" s="4" t="str">
        <f ca="1">IFERROR(__xludf.DUMMYFUNCTION("""COMPUTED_VALUE"""),"Penata Tk.I")</f>
        <v>Penata Tk.I</v>
      </c>
      <c r="O208" s="3" t="str">
        <f ca="1">IFERROR(__xludf.DUMMYFUNCTION("""COMPUTED_VALUE"""),"III/d")</f>
        <v>III/d</v>
      </c>
      <c r="P208" s="7">
        <f ca="1">IFERROR(__xludf.DUMMYFUNCTION("""COMPUTED_VALUE"""),45383)</f>
        <v>45383</v>
      </c>
      <c r="Q208" s="3" t="str">
        <f ca="1">IFERROR(__xludf.DUMMYFUNCTION("""COMPUTED_VALUE"""),"012605/B.II/3/2024")</f>
        <v>012605/B.II/3/2024</v>
      </c>
      <c r="R208" s="3" t="str">
        <f ca="1">IFERROR(__xludf.DUMMYFUNCTION("""COMPUTED_VALUE"""),"Lektor Kepala")</f>
        <v>Lektor Kepala</v>
      </c>
      <c r="S208" s="3" t="str">
        <f ca="1">IFERROR(__xludf.DUMMYFUNCTION("""COMPUTED_VALUE"""),"Lektor Kepala")</f>
        <v>Lektor Kepala</v>
      </c>
      <c r="T208" s="7">
        <f ca="1">IFERROR(__xludf.DUMMYFUNCTION("""COMPUTED_VALUE"""),45139)</f>
        <v>45139</v>
      </c>
      <c r="U208" s="3" t="str">
        <f ca="1">IFERROR(__xludf.DUMMYFUNCTION("""COMPUTED_VALUE""")," 126983/B.II/3/2023")</f>
        <v xml:space="preserve"> 126983/B.II/3/2023</v>
      </c>
      <c r="V208" s="7">
        <f ca="1">IFERROR(__xludf.DUMMYFUNCTION("""COMPUTED_VALUE"""),45289)</f>
        <v>45289</v>
      </c>
      <c r="W208" s="3">
        <f ca="1">IFERROR(__xludf.DUMMYFUNCTION("""COMPUTED_VALUE"""),13)</f>
        <v>13</v>
      </c>
      <c r="X208" s="3"/>
      <c r="Y208" s="3" t="str">
        <f ca="1">IFERROR(__xludf.DUMMYFUNCTION("""COMPUTED_VALUE"""),"S-2")</f>
        <v>S-2</v>
      </c>
      <c r="Z208" s="3" t="str">
        <f ca="1">IFERROR(__xludf.DUMMYFUNCTION("""COMPUTED_VALUE"""),"18 Tahun 0 Bulan 27 Hari")</f>
        <v>18 Tahun 0 Bulan 27 Hari</v>
      </c>
      <c r="AA208" s="8">
        <f ca="1">IFERROR(__xludf.DUMMYFUNCTION("""COMPUTED_VALUE"""),51714)</f>
        <v>51714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4"/>
      <c r="AR208" s="3"/>
      <c r="AS208" s="4"/>
      <c r="AT208" s="3"/>
      <c r="AU208" s="3"/>
    </row>
    <row r="209" spans="1:47" x14ac:dyDescent="0.2">
      <c r="A209" s="12">
        <v>208</v>
      </c>
      <c r="B209" s="3" t="str">
        <f ca="1">IFERROR(__xludf.DUMMYFUNCTION("""COMPUTED_VALUE"""),"Yunita Ratna Sari")</f>
        <v>Yunita Ratna Sari</v>
      </c>
      <c r="C209" s="3" t="str">
        <f ca="1">IFERROR(__xludf.DUMMYFUNCTION("""COMPUTED_VALUE"""),"Yunita Ratna Sari, S.IP., M.Si.")</f>
        <v>Yunita Ratna Sari, S.IP., M.Si.</v>
      </c>
      <c r="D209" s="3" t="str">
        <f ca="1">IFERROR(__xludf.DUMMYFUNCTION("""COMPUTED_VALUE"""),"Yunita Ratna Sari, S.IP., M.Si.")</f>
        <v>Yunita Ratna Sari, S.IP., M.Si.</v>
      </c>
      <c r="E209" s="3" t="str">
        <f ca="1">IFERROR(__xludf.DUMMYFUNCTION("""COMPUTED_VALUE"""),"199306222020122028")</f>
        <v>199306222020122028</v>
      </c>
      <c r="F209" s="3" t="str">
        <f ca="1">IFERROR(__xludf.DUMMYFUNCTION("""COMPUTED_VALUE"""),"19930622 202012 2 028")</f>
        <v>19930622 202012 2 028</v>
      </c>
      <c r="G209" s="3">
        <f ca="1">IFERROR(__xludf.DUMMYFUNCTION("""COMPUTED_VALUE"""),2022069303)</f>
        <v>2022069303</v>
      </c>
      <c r="H209" s="6" t="str">
        <f ca="1">IFERROR(__xludf.DUMMYFUNCTION("""COMPUTED_VALUE"""),"1954771672230282")</f>
        <v>1954771672230282</v>
      </c>
      <c r="I209" s="3" t="str">
        <f ca="1">IFERROR(__xludf.DUMMYFUNCTION("""COMPUTED_VALUE"""),"PNS")</f>
        <v>PNS</v>
      </c>
      <c r="J209" s="3" t="str">
        <f ca="1">IFERROR(__xludf.DUMMYFUNCTION("""COMPUTED_VALUE"""),"Dosen PNS")</f>
        <v>Dosen PNS</v>
      </c>
      <c r="K209" s="5" t="str">
        <f ca="1">IFERROR(__xludf.DUMMYFUNCTION("""COMPUTED_VALUE"""),"P")</f>
        <v>P</v>
      </c>
      <c r="L209" s="3" t="str">
        <f ca="1">IFERROR(__xludf.DUMMYFUNCTION("""COMPUTED_VALUE"""),"Demak")</f>
        <v>Demak</v>
      </c>
      <c r="M209" s="7">
        <f ca="1">IFERROR(__xludf.DUMMYFUNCTION("""COMPUTED_VALUE"""),34142)</f>
        <v>34142</v>
      </c>
      <c r="N209" s="4" t="str">
        <f ca="1">IFERROR(__xludf.DUMMYFUNCTION("""COMPUTED_VALUE"""),"Penata")</f>
        <v>Penata</v>
      </c>
      <c r="O209" s="3" t="str">
        <f ca="1">IFERROR(__xludf.DUMMYFUNCTION("""COMPUTED_VALUE"""),"III/c")</f>
        <v>III/c</v>
      </c>
      <c r="P209" s="7">
        <f ca="1">IFERROR(__xludf.DUMMYFUNCTION("""COMPUTED_VALUE"""),45992)</f>
        <v>45992</v>
      </c>
      <c r="Q209" s="3" t="str">
        <f ca="1">IFERROR(__xludf.DUMMYFUNCTION("""COMPUTED_VALUE"""),"214545/B.II/KP.07.1/11/2025")</f>
        <v>214545/B.II/KP.07.1/11/2025</v>
      </c>
      <c r="R209" s="3" t="str">
        <f ca="1">IFERROR(__xludf.DUMMYFUNCTION("""COMPUTED_VALUE"""),"Lektor")</f>
        <v>Lektor</v>
      </c>
      <c r="S209" s="3" t="str">
        <f ca="1">IFERROR(__xludf.DUMMYFUNCTION("""COMPUTED_VALUE"""),"Lektor")</f>
        <v>Lektor</v>
      </c>
      <c r="T209" s="7">
        <f ca="1">IFERROR(__xludf.DUMMYFUNCTION("""COMPUTED_VALUE"""),45962)</f>
        <v>45962</v>
      </c>
      <c r="U209" s="3" t="str">
        <f ca="1">IFERROR(__xludf.DUMMYFUNCTION("""COMPUTED_VALUE"""),"208797/B.II/KP.07.6/10/2025")</f>
        <v>208797/B.II/KP.07.6/10/2025</v>
      </c>
      <c r="V209" s="7">
        <f ca="1">IFERROR(__xludf.DUMMYFUNCTION("""COMPUTED_VALUE"""),45936)</f>
        <v>45936</v>
      </c>
      <c r="W209" s="3">
        <f ca="1">IFERROR(__xludf.DUMMYFUNCTION("""COMPUTED_VALUE"""),11)</f>
        <v>11</v>
      </c>
      <c r="X209" s="3"/>
      <c r="Y209" s="3" t="str">
        <f ca="1">IFERROR(__xludf.DUMMYFUNCTION("""COMPUTED_VALUE"""),"S-2")</f>
        <v>S-2</v>
      </c>
      <c r="Z209" s="3" t="str">
        <f ca="1">IFERROR(__xludf.DUMMYFUNCTION("""COMPUTED_VALUE"""),"5 Tahun 1 Bulan 27 Hari")</f>
        <v>5 Tahun 1 Bulan 27 Hari</v>
      </c>
      <c r="AA209" s="8">
        <f ca="1">IFERROR(__xludf.DUMMYFUNCTION("""COMPUTED_VALUE"""),57892)</f>
        <v>57892</v>
      </c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4"/>
      <c r="AR209" s="3"/>
      <c r="AS209" s="4"/>
      <c r="AT209" s="3"/>
      <c r="AU209" s="3"/>
    </row>
    <row r="210" spans="1:47" x14ac:dyDescent="0.2">
      <c r="A210" s="12">
        <v>209</v>
      </c>
      <c r="B210" s="3" t="str">
        <f ca="1">IFERROR(__xludf.DUMMYFUNCTION("""COMPUTED_VALUE"""),"Yuslam")</f>
        <v>Yuslam</v>
      </c>
      <c r="C210" s="3" t="str">
        <f ca="1">IFERROR(__xludf.DUMMYFUNCTION("""COMPUTED_VALUE"""),"Drs. H. Yuslam, M.Pd.")</f>
        <v>Drs. H. Yuslam, M.Pd.</v>
      </c>
      <c r="D210" s="3" t="str">
        <f ca="1">IFERROR(__xludf.DUMMYFUNCTION("""COMPUTED_VALUE"""),"Drs. H. Yuslam, M.Pd.")</f>
        <v>Drs. H. Yuslam, M.Pd.</v>
      </c>
      <c r="E210" s="3" t="str">
        <f ca="1">IFERROR(__xludf.DUMMYFUNCTION("""COMPUTED_VALUE"""),"196801091994031001")</f>
        <v>196801091994031001</v>
      </c>
      <c r="F210" s="3" t="str">
        <f ca="1">IFERROR(__xludf.DUMMYFUNCTION("""COMPUTED_VALUE"""),"19680109 199403 1 001")</f>
        <v>19680109 199403 1 001</v>
      </c>
      <c r="G210" s="3">
        <f ca="1">IFERROR(__xludf.DUMMYFUNCTION("""COMPUTED_VALUE"""),2009016801)</f>
        <v>2009016801</v>
      </c>
      <c r="H210" s="6" t="str">
        <f ca="1">IFERROR(__xludf.DUMMYFUNCTION("""COMPUTED_VALUE"""),"3441746647130082")</f>
        <v>3441746647130082</v>
      </c>
      <c r="I210" s="3" t="str">
        <f ca="1">IFERROR(__xludf.DUMMYFUNCTION("""COMPUTED_VALUE"""),"PNS")</f>
        <v>PNS</v>
      </c>
      <c r="J210" s="3" t="str">
        <f ca="1">IFERROR(__xludf.DUMMYFUNCTION("""COMPUTED_VALUE"""),"Dosen PNS")</f>
        <v>Dosen PNS</v>
      </c>
      <c r="K210" s="5" t="str">
        <f ca="1">IFERROR(__xludf.DUMMYFUNCTION("""COMPUTED_VALUE"""),"L")</f>
        <v>L</v>
      </c>
      <c r="L210" s="3" t="str">
        <f ca="1">IFERROR(__xludf.DUMMYFUNCTION("""COMPUTED_VALUE"""),"Sragen")</f>
        <v>Sragen</v>
      </c>
      <c r="M210" s="7">
        <f ca="1">IFERROR(__xludf.DUMMYFUNCTION("""COMPUTED_VALUE"""),24846)</f>
        <v>24846</v>
      </c>
      <c r="N210" s="4" t="str">
        <f ca="1">IFERROR(__xludf.DUMMYFUNCTION("""COMPUTED_VALUE"""),"Pembina Tk.I")</f>
        <v>Pembina Tk.I</v>
      </c>
      <c r="O210" s="3" t="str">
        <f ca="1">IFERROR(__xludf.DUMMYFUNCTION("""COMPUTED_VALUE"""),"IV/b")</f>
        <v>IV/b</v>
      </c>
      <c r="P210" s="7">
        <f ca="1">IFERROR(__xludf.DUMMYFUNCTION("""COMPUTED_VALUE"""),45505)</f>
        <v>45505</v>
      </c>
      <c r="Q210" s="3" t="str">
        <f ca="1">IFERROR(__xludf.DUMMYFUNCTION("""COMPUTED_VALUE"""),"030055/B.II/3/2024")</f>
        <v>030055/B.II/3/2024</v>
      </c>
      <c r="R210" s="3" t="str">
        <f ca="1">IFERROR(__xludf.DUMMYFUNCTION("""COMPUTED_VALUE"""),"Lektor Kepala")</f>
        <v>Lektor Kepala</v>
      </c>
      <c r="S210" s="3" t="str">
        <f ca="1">IFERROR(__xludf.DUMMYFUNCTION("""COMPUTED_VALUE"""),"Lektor Kepala")</f>
        <v>Lektor Kepala</v>
      </c>
      <c r="T210" s="7">
        <f ca="1">IFERROR(__xludf.DUMMYFUNCTION("""COMPUTED_VALUE"""),38777)</f>
        <v>38777</v>
      </c>
      <c r="U210" s="3" t="str">
        <f ca="1">IFERROR(__xludf.DUMMYFUNCTION("""COMPUTED_VALUE"""),"B.II/2/216")</f>
        <v>B.II/2/216</v>
      </c>
      <c r="V210" s="7">
        <f ca="1">IFERROR(__xludf.DUMMYFUNCTION("""COMPUTED_VALUE"""),38777)</f>
        <v>38777</v>
      </c>
      <c r="W210" s="3">
        <f ca="1">IFERROR(__xludf.DUMMYFUNCTION("""COMPUTED_VALUE"""),13)</f>
        <v>13</v>
      </c>
      <c r="X210" s="7" t="str">
        <f ca="1">IFERROR(__xludf.DUMMYFUNCTION("""COMPUTED_VALUE"""),"Kepala Laboratorium Pada Fakultas Tarbiyah dan Ilmu Keguruan")</f>
        <v>Kepala Laboratorium Pada Fakultas Tarbiyah dan Ilmu Keguruan</v>
      </c>
      <c r="Y210" s="3" t="str">
        <f ca="1">IFERROR(__xludf.DUMMYFUNCTION("""COMPUTED_VALUE"""),"S-2")</f>
        <v>S-2</v>
      </c>
      <c r="Z210" s="3" t="str">
        <f ca="1">IFERROR(__xludf.DUMMYFUNCTION("""COMPUTED_VALUE"""),"31 Tahun 10 Bulan 27 Hari")</f>
        <v>31 Tahun 10 Bulan 27 Hari</v>
      </c>
      <c r="AA210" s="8">
        <f ca="1">IFERROR(__xludf.DUMMYFUNCTION("""COMPUTED_VALUE"""),48611)</f>
        <v>48611</v>
      </c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4"/>
      <c r="AR210" s="3"/>
      <c r="AS210" s="4"/>
      <c r="AT210" s="3"/>
      <c r="AU210" s="3"/>
    </row>
    <row r="211" spans="1:47" x14ac:dyDescent="0.2">
      <c r="A211" s="12">
        <v>210</v>
      </c>
      <c r="B211" s="3" t="str">
        <f ca="1">IFERROR(__xludf.DUMMYFUNCTION("""COMPUTED_VALUE"""),"Zahratika Zalafi")</f>
        <v>Zahratika Zalafi</v>
      </c>
      <c r="C211" s="3" t="str">
        <f ca="1">IFERROR(__xludf.DUMMYFUNCTION("""COMPUTED_VALUE"""),"Zahratika Zalafi, S.Psi., M.Si.")</f>
        <v>Zahratika Zalafi, S.Psi., M.Si.</v>
      </c>
      <c r="D211" s="3" t="str">
        <f ca="1">IFERROR(__xludf.DUMMYFUNCTION("""COMPUTED_VALUE"""),"Zahratika Zalafi, S.Psi., M.Si.")</f>
        <v>Zahratika Zalafi, S.Psi., M.Si.</v>
      </c>
      <c r="E211" s="3" t="str">
        <f ca="1">IFERROR(__xludf.DUMMYFUNCTION("""COMPUTED_VALUE"""),"199307162020122018")</f>
        <v>199307162020122018</v>
      </c>
      <c r="F211" s="3" t="str">
        <f ca="1">IFERROR(__xludf.DUMMYFUNCTION("""COMPUTED_VALUE"""),"‌19930716 202012 2 018")</f>
        <v>‌19930716 202012 2 018</v>
      </c>
      <c r="G211" s="3">
        <f ca="1">IFERROR(__xludf.DUMMYFUNCTION("""COMPUTED_VALUE"""),2016069301)</f>
        <v>2016069301</v>
      </c>
      <c r="H211" s="6" t="str">
        <f ca="1">IFERROR(__xludf.DUMMYFUNCTION("""COMPUTED_VALUE"""),"5048771672230303")</f>
        <v>5048771672230303</v>
      </c>
      <c r="I211" s="3" t="str">
        <f ca="1">IFERROR(__xludf.DUMMYFUNCTION("""COMPUTED_VALUE"""),"PNS")</f>
        <v>PNS</v>
      </c>
      <c r="J211" s="3" t="str">
        <f ca="1">IFERROR(__xludf.DUMMYFUNCTION("""COMPUTED_VALUE"""),"Dosen PNS")</f>
        <v>Dosen PNS</v>
      </c>
      <c r="K211" s="5" t="str">
        <f ca="1">IFERROR(__xludf.DUMMYFUNCTION("""COMPUTED_VALUE"""),"P")</f>
        <v>P</v>
      </c>
      <c r="L211" s="3" t="str">
        <f ca="1">IFERROR(__xludf.DUMMYFUNCTION("""COMPUTED_VALUE"""),"Kendal")</f>
        <v>Kendal</v>
      </c>
      <c r="M211" s="7">
        <f ca="1">IFERROR(__xludf.DUMMYFUNCTION("""COMPUTED_VALUE"""),34166)</f>
        <v>34166</v>
      </c>
      <c r="N211" s="4" t="str">
        <f ca="1">IFERROR(__xludf.DUMMYFUNCTION("""COMPUTED_VALUE"""),"Penata Muda Tk.I")</f>
        <v>Penata Muda Tk.I</v>
      </c>
      <c r="O211" s="3" t="str">
        <f ca="1">IFERROR(__xludf.DUMMYFUNCTION("""COMPUTED_VALUE"""),"III/b")</f>
        <v>III/b</v>
      </c>
      <c r="P211" s="7">
        <f ca="1">IFERROR(__xludf.DUMMYFUNCTION("""COMPUTED_VALUE"""),44562)</f>
        <v>44562</v>
      </c>
      <c r="Q211" s="3" t="str">
        <f ca="1">IFERROR(__xludf.DUMMYFUNCTION("""COMPUTED_VALUE"""),"3580/Un.19/R/KP.00.3/12/2021")</f>
        <v>3580/Un.19/R/KP.00.3/12/2021</v>
      </c>
      <c r="R211" s="3" t="str">
        <f ca="1">IFERROR(__xludf.DUMMYFUNCTION("""COMPUTED_VALUE"""),"Asisten Ahli")</f>
        <v>Asisten Ahli</v>
      </c>
      <c r="S211" s="3" t="str">
        <f ca="1">IFERROR(__xludf.DUMMYFUNCTION("""COMPUTED_VALUE"""),"Asisten Ahli")</f>
        <v>Asisten Ahli</v>
      </c>
      <c r="T211" s="7">
        <f ca="1">IFERROR(__xludf.DUMMYFUNCTION("""COMPUTED_VALUE"""),44986)</f>
        <v>44986</v>
      </c>
      <c r="U211" s="3" t="str">
        <f ca="1">IFERROR(__xludf.DUMMYFUNCTION("""COMPUTED_VALUE"""),"013489/B.II/3/2023")</f>
        <v>013489/B.II/3/2023</v>
      </c>
      <c r="V211" s="7">
        <f ca="1">IFERROR(__xludf.DUMMYFUNCTION("""COMPUTED_VALUE"""),45090)</f>
        <v>45090</v>
      </c>
      <c r="W211" s="3">
        <f ca="1">IFERROR(__xludf.DUMMYFUNCTION("""COMPUTED_VALUE"""),9)</f>
        <v>9</v>
      </c>
      <c r="X211" s="3"/>
      <c r="Y211" s="3" t="str">
        <f ca="1">IFERROR(__xludf.DUMMYFUNCTION("""COMPUTED_VALUE"""),"S-2")</f>
        <v>S-2</v>
      </c>
      <c r="Z211" s="3" t="str">
        <f ca="1">IFERROR(__xludf.DUMMYFUNCTION("""COMPUTED_VALUE"""),"5 Tahun 1 Bulan 27 Hari")</f>
        <v>5 Tahun 1 Bulan 27 Hari</v>
      </c>
      <c r="AA211" s="8">
        <f ca="1">IFERROR(__xludf.DUMMYFUNCTION("""COMPUTED_VALUE"""),57923)</f>
        <v>57923</v>
      </c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4"/>
      <c r="AR211" s="3"/>
      <c r="AS211" s="4"/>
      <c r="AT211" s="3"/>
      <c r="AU211" s="3"/>
    </row>
    <row r="212" spans="1:47" x14ac:dyDescent="0.2">
      <c r="A212" s="12">
        <v>211</v>
      </c>
      <c r="B212" s="3" t="str">
        <f ca="1">IFERROR(__xludf.DUMMYFUNCTION("""COMPUTED_VALUE"""),"Zein Muchamad Masykur")</f>
        <v>Zein Muchamad Masykur</v>
      </c>
      <c r="C212" s="3" t="str">
        <f ca="1">IFERROR(__xludf.DUMMYFUNCTION("""COMPUTED_VALUE"""),"Zein Muchamad Masykur, M.Ag.")</f>
        <v>Zein Muchamad Masykur, M.Ag.</v>
      </c>
      <c r="D212" s="3" t="str">
        <f ca="1">IFERROR(__xludf.DUMMYFUNCTION("""COMPUTED_VALUE"""),"Zein Muchamad Masykur, M.Ag.")</f>
        <v>Zein Muchamad Masykur, M.Ag.</v>
      </c>
      <c r="E212" s="3" t="str">
        <f ca="1">IFERROR(__xludf.DUMMYFUNCTION("""COMPUTED_VALUE"""),"199706132024031001")</f>
        <v>199706132024031001</v>
      </c>
      <c r="F212" s="3" t="str">
        <f ca="1">IFERROR(__xludf.DUMMYFUNCTION("""COMPUTED_VALUE"""),"19970613 202403 1 001")</f>
        <v>19970613 202403 1 001</v>
      </c>
      <c r="G212" s="3">
        <f ca="1">IFERROR(__xludf.DUMMYFUNCTION("""COMPUTED_VALUE"""),2013069701)</f>
        <v>2013069701</v>
      </c>
      <c r="H212" s="6" t="str">
        <f ca="1">IFERROR(__xludf.DUMMYFUNCTION("""COMPUTED_VALUE"""),"2945775676130182")</f>
        <v>2945775676130182</v>
      </c>
      <c r="I212" s="3" t="str">
        <f ca="1">IFERROR(__xludf.DUMMYFUNCTION("""COMPUTED_VALUE"""),"PNS")</f>
        <v>PNS</v>
      </c>
      <c r="J212" s="3" t="str">
        <f ca="1">IFERROR(__xludf.DUMMYFUNCTION("""COMPUTED_VALUE"""),"Dosen PNS")</f>
        <v>Dosen PNS</v>
      </c>
      <c r="K212" s="5" t="str">
        <f ca="1">IFERROR(__xludf.DUMMYFUNCTION("""COMPUTED_VALUE"""),"L")</f>
        <v>L</v>
      </c>
      <c r="L212" s="3" t="str">
        <f ca="1">IFERROR(__xludf.DUMMYFUNCTION("""COMPUTED_VALUE"""),"Kab. Semarang")</f>
        <v>Kab. Semarang</v>
      </c>
      <c r="M212" s="7">
        <f ca="1">IFERROR(__xludf.DUMMYFUNCTION("""COMPUTED_VALUE"""),35594)</f>
        <v>35594</v>
      </c>
      <c r="N212" s="4" t="str">
        <f ca="1">IFERROR(__xludf.DUMMYFUNCTION("""COMPUTED_VALUE"""),"Penata Muda Tk.I")</f>
        <v>Penata Muda Tk.I</v>
      </c>
      <c r="O212" s="3" t="str">
        <f ca="1">IFERROR(__xludf.DUMMYFUNCTION("""COMPUTED_VALUE"""),"III/b")</f>
        <v>III/b</v>
      </c>
      <c r="P212" s="7">
        <f ca="1">IFERROR(__xludf.DUMMYFUNCTION("""COMPUTED_VALUE"""),45352)</f>
        <v>45352</v>
      </c>
      <c r="Q212" s="3" t="str">
        <f ca="1">IFERROR(__xludf.DUMMYFUNCTION("""COMPUTED_VALUE"""),"495.9/Un.19/K.AUPK/KP.00.3/02/2024")</f>
        <v>495.9/Un.19/K.AUPK/KP.00.3/02/2024</v>
      </c>
      <c r="R212" s="3" t="str">
        <f ca="1">IFERROR(__xludf.DUMMYFUNCTION("""COMPUTED_VALUE"""),"Dosen")</f>
        <v>Dosen</v>
      </c>
      <c r="S212" s="3" t="str">
        <f ca="1">IFERROR(__xludf.DUMMYFUNCTION("""COMPUTED_VALUE"""),"Dosen")</f>
        <v>Dosen</v>
      </c>
      <c r="T212" s="3"/>
      <c r="U212" s="3"/>
      <c r="V212" s="3"/>
      <c r="W212" s="3">
        <f ca="1">IFERROR(__xludf.DUMMYFUNCTION("""COMPUTED_VALUE"""),9)</f>
        <v>9</v>
      </c>
      <c r="X212" s="3"/>
      <c r="Y212" s="3" t="str">
        <f ca="1">IFERROR(__xludf.DUMMYFUNCTION("""COMPUTED_VALUE"""),"S-2")</f>
        <v>S-2</v>
      </c>
      <c r="Z212" s="3" t="str">
        <f ca="1">IFERROR(__xludf.DUMMYFUNCTION("""COMPUTED_VALUE"""),"1 Tahun 10 Bulan 27 Hari")</f>
        <v>1 Tahun 10 Bulan 27 Hari</v>
      </c>
      <c r="AA212" s="8">
        <f ca="1">IFERROR(__xludf.DUMMYFUNCTION("""COMPUTED_VALUE"""),59353)</f>
        <v>59353</v>
      </c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4"/>
      <c r="AR212" s="3"/>
      <c r="AS212" s="4"/>
      <c r="AT212" s="3"/>
      <c r="AU212" s="3"/>
    </row>
    <row r="213" spans="1:47" x14ac:dyDescent="0.2">
      <c r="A213" s="12">
        <v>212</v>
      </c>
      <c r="B213" s="3" t="str">
        <f ca="1">IFERROR(__xludf.DUMMYFUNCTION("""COMPUTED_VALUE"""),"Zuri Pamuji")</f>
        <v>Zuri Pamuji</v>
      </c>
      <c r="C213" s="3" t="str">
        <f ca="1">IFERROR(__xludf.DUMMYFUNCTION("""COMPUTED_VALUE"""),"Dr. Zuri Pamuji, M.Pd.I.")</f>
        <v>Dr. Zuri Pamuji, M.Pd.I.</v>
      </c>
      <c r="D213" s="3" t="str">
        <f ca="1">IFERROR(__xludf.DUMMYFUNCTION("""COMPUTED_VALUE"""),"Dr. Zuri Pamuji, M.Pd.I.")</f>
        <v>Dr. Zuri Pamuji, M.Pd.I.</v>
      </c>
      <c r="E213" s="3" t="str">
        <f ca="1">IFERROR(__xludf.DUMMYFUNCTION("""COMPUTED_VALUE"""),"198303162015031005")</f>
        <v>198303162015031005</v>
      </c>
      <c r="F213" s="3" t="str">
        <f ca="1">IFERROR(__xludf.DUMMYFUNCTION("""COMPUTED_VALUE"""),"19830316 201503 1 005")</f>
        <v>19830316 201503 1 005</v>
      </c>
      <c r="G213" s="3">
        <f ca="1">IFERROR(__xludf.DUMMYFUNCTION("""COMPUTED_VALUE"""),2016038301)</f>
        <v>2016038301</v>
      </c>
      <c r="H213" s="6" t="str">
        <f ca="1">IFERROR(__xludf.DUMMYFUNCTION("""COMPUTED_VALUE"""),"6648761662200012")</f>
        <v>6648761662200012</v>
      </c>
      <c r="I213" s="3" t="str">
        <f ca="1">IFERROR(__xludf.DUMMYFUNCTION("""COMPUTED_VALUE"""),"PNS")</f>
        <v>PNS</v>
      </c>
      <c r="J213" s="3" t="str">
        <f ca="1">IFERROR(__xludf.DUMMYFUNCTION("""COMPUTED_VALUE"""),"Dosen PNS")</f>
        <v>Dosen PNS</v>
      </c>
      <c r="K213" s="5" t="str">
        <f ca="1">IFERROR(__xludf.DUMMYFUNCTION("""COMPUTED_VALUE"""),"L")</f>
        <v>L</v>
      </c>
      <c r="L213" s="3" t="str">
        <f ca="1">IFERROR(__xludf.DUMMYFUNCTION("""COMPUTED_VALUE"""),"Bantul")</f>
        <v>Bantul</v>
      </c>
      <c r="M213" s="7">
        <f ca="1">IFERROR(__xludf.DUMMYFUNCTION("""COMPUTED_VALUE"""),30391)</f>
        <v>30391</v>
      </c>
      <c r="N213" s="4" t="str">
        <f ca="1">IFERROR(__xludf.DUMMYFUNCTION("""COMPUTED_VALUE"""),"Penata Tk.I")</f>
        <v>Penata Tk.I</v>
      </c>
      <c r="O213" s="3" t="str">
        <f ca="1">IFERROR(__xludf.DUMMYFUNCTION("""COMPUTED_VALUE"""),"III/d")</f>
        <v>III/d</v>
      </c>
      <c r="P213" s="7">
        <f ca="1">IFERROR(__xludf.DUMMYFUNCTION("""COMPUTED_VALUE"""),45200)</f>
        <v>45200</v>
      </c>
      <c r="Q213" s="3" t="str">
        <f ca="1">IFERROR(__xludf.DUMMYFUNCTION("""COMPUTED_VALUE"""),"1112/Un.19/K.AUPK/KP.07.1/08/2023")</f>
        <v>1112/Un.19/K.AUPK/KP.07.1/08/2023</v>
      </c>
      <c r="R213" s="3" t="str">
        <f ca="1">IFERROR(__xludf.DUMMYFUNCTION("""COMPUTED_VALUE"""),"Lektor")</f>
        <v>Lektor</v>
      </c>
      <c r="S213" s="3" t="str">
        <f ca="1">IFERROR(__xludf.DUMMYFUNCTION("""COMPUTED_VALUE"""),"Lektor")</f>
        <v>Lektor</v>
      </c>
      <c r="T213" s="7">
        <f ca="1">IFERROR(__xludf.DUMMYFUNCTION("""COMPUTED_VALUE"""),43525)</f>
        <v>43525</v>
      </c>
      <c r="U213" s="3"/>
      <c r="V213" s="3"/>
      <c r="W213" s="3">
        <f ca="1">IFERROR(__xludf.DUMMYFUNCTION("""COMPUTED_VALUE"""),11)</f>
        <v>11</v>
      </c>
      <c r="X213" s="7" t="str">
        <f ca="1">IFERROR(__xludf.DUMMYFUNCTION("""COMPUTED_VALUE"""),"Sekretaris pada Lembaga Penjaminan Mutu")</f>
        <v>Sekretaris pada Lembaga Penjaminan Mutu</v>
      </c>
      <c r="Y213" s="3" t="str">
        <f ca="1">IFERROR(__xludf.DUMMYFUNCTION("""COMPUTED_VALUE"""),"S-3")</f>
        <v>S-3</v>
      </c>
      <c r="Z213" s="3" t="str">
        <f ca="1">IFERROR(__xludf.DUMMYFUNCTION("""COMPUTED_VALUE"""),"10 Tahun 10 Bulan 27 Hari")</f>
        <v>10 Tahun 10 Bulan 27 Hari</v>
      </c>
      <c r="AA213" s="8">
        <f ca="1">IFERROR(__xludf.DUMMYFUNCTION("""COMPUTED_VALUE"""),54149)</f>
        <v>54149</v>
      </c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4"/>
      <c r="AR213" s="3"/>
      <c r="AS213" s="4"/>
      <c r="AT213" s="3"/>
      <c r="AU213" s="3"/>
    </row>
    <row r="214" spans="1:47" x14ac:dyDescent="0.2">
      <c r="A214" s="12">
        <v>213</v>
      </c>
      <c r="B214" s="3" t="str">
        <f ca="1">IFERROR(__xludf.DUMMYFUNCTION("""COMPUTED_VALUE"""),"‌Akhmad Sulaiman")</f>
        <v>‌Akhmad Sulaiman</v>
      </c>
      <c r="C214" s="3" t="str">
        <f ca="1">IFERROR(__xludf.DUMMYFUNCTION("""COMPUTED_VALUE"""),"Dr. Akhmad Sulaiman, S.Pd.I., M.Pd.")</f>
        <v>Dr. Akhmad Sulaiman, S.Pd.I., M.Pd.</v>
      </c>
      <c r="D214" s="3" t="str">
        <f ca="1">IFERROR(__xludf.DUMMYFUNCTION("""COMPUTED_VALUE"""),"Dr. Akhmad Sulaiman, S.Pd.I., M.Pd.")</f>
        <v>Dr. Akhmad Sulaiman, S.Pd.I., M.Pd.</v>
      </c>
      <c r="E214" s="3" t="str">
        <f ca="1">IFERROR(__xludf.DUMMYFUNCTION("""COMPUTED_VALUE"""),"199210092025051005")</f>
        <v>199210092025051005</v>
      </c>
      <c r="F214" s="3" t="str">
        <f ca="1">IFERROR(__xludf.DUMMYFUNCTION("""COMPUTED_VALUE"""),"19921009 202505 1 005")</f>
        <v>19921009 202505 1 005</v>
      </c>
      <c r="G214" s="3"/>
      <c r="H214" s="6" t="str">
        <f ca="1">IFERROR(__xludf.DUMMYFUNCTION("""COMPUTED_VALUE"""),"4341770671130293")</f>
        <v>4341770671130293</v>
      </c>
      <c r="I214" s="3" t="str">
        <f ca="1">IFERROR(__xludf.DUMMYFUNCTION("""COMPUTED_VALUE"""),"CPNS")</f>
        <v>CPNS</v>
      </c>
      <c r="J214" s="3" t="str">
        <f ca="1">IFERROR(__xludf.DUMMYFUNCTION("""COMPUTED_VALUE"""),"Dosen CPNS")</f>
        <v>Dosen CPNS</v>
      </c>
      <c r="K214" s="5" t="str">
        <f ca="1">IFERROR(__xludf.DUMMYFUNCTION("""COMPUTED_VALUE"""),"L")</f>
        <v>L</v>
      </c>
      <c r="L214" s="3" t="str">
        <f ca="1">IFERROR(__xludf.DUMMYFUNCTION("""COMPUTED_VALUE"""),"Cilacap")</f>
        <v>Cilacap</v>
      </c>
      <c r="M214" s="7">
        <f ca="1">IFERROR(__xludf.DUMMYFUNCTION("""COMPUTED_VALUE"""),33886)</f>
        <v>33886</v>
      </c>
      <c r="N214" s="4" t="str">
        <f ca="1">IFERROR(__xludf.DUMMYFUNCTION("""COMPUTED_VALUE"""),"Penata")</f>
        <v>Penata</v>
      </c>
      <c r="O214" s="3" t="str">
        <f ca="1">IFERROR(__xludf.DUMMYFUNCTION("""COMPUTED_VALUE"""),"III/c")</f>
        <v>III/c</v>
      </c>
      <c r="P214" s="7">
        <f ca="1">IFERROR(__xludf.DUMMYFUNCTION("""COMPUTED_VALUE"""),45778)</f>
        <v>45778</v>
      </c>
      <c r="Q214" s="3"/>
      <c r="R214" s="3" t="str">
        <f ca="1">IFERROR(__xludf.DUMMYFUNCTION("""COMPUTED_VALUE"""),"Dosen CPNS")</f>
        <v>Dosen CPNS</v>
      </c>
      <c r="S214" s="3" t="str">
        <f ca="1">IFERROR(__xludf.DUMMYFUNCTION("""COMPUTED_VALUE"""),"Calon Dosen")</f>
        <v>Calon Dosen</v>
      </c>
      <c r="T214" s="7">
        <f ca="1">IFERROR(__xludf.DUMMYFUNCTION("""COMPUTED_VALUE"""),45778)</f>
        <v>45778</v>
      </c>
      <c r="U214" s="3" t="str">
        <f ca="1">IFERROR(__xludf.DUMMYFUNCTION("""COMPUTED_VALUE"""),"174316.1/B.II/KP.00.3/04/2025")</f>
        <v>174316.1/B.II/KP.00.3/04/2025</v>
      </c>
      <c r="V214" s="7">
        <f ca="1">IFERROR(__xludf.DUMMYFUNCTION("""COMPUTED_VALUE"""),45777)</f>
        <v>45777</v>
      </c>
      <c r="W214" s="3">
        <f ca="1">IFERROR(__xludf.DUMMYFUNCTION("""COMPUTED_VALUE"""),9)</f>
        <v>9</v>
      </c>
      <c r="X214" s="3"/>
      <c r="Y214" s="3" t="str">
        <f ca="1">IFERROR(__xludf.DUMMYFUNCTION("""COMPUTED_VALUE"""),"S-3")</f>
        <v>S-3</v>
      </c>
      <c r="Z214" s="3" t="str">
        <f ca="1">IFERROR(__xludf.DUMMYFUNCTION("""COMPUTED_VALUE"""),"0 Tahun 8 Bulan 27 Hari")</f>
        <v>0 Tahun 8 Bulan 27 Hari</v>
      </c>
      <c r="AA214" s="8">
        <f ca="1">IFERROR(__xludf.DUMMYFUNCTION("""COMPUTED_VALUE"""),57650)</f>
        <v>57650</v>
      </c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4"/>
      <c r="AR214" s="3"/>
      <c r="AS214" s="4"/>
      <c r="AT214" s="3"/>
      <c r="AU214" s="3"/>
    </row>
    <row r="215" spans="1:47" x14ac:dyDescent="0.2">
      <c r="A215" s="12">
        <v>214</v>
      </c>
      <c r="B215" s="3" t="str">
        <f ca="1">IFERROR(__xludf.DUMMYFUNCTION("""COMPUTED_VALUE"""),"‌Eko Ahmad Riyanto")</f>
        <v>‌Eko Ahmad Riyanto</v>
      </c>
      <c r="C215" s="3" t="str">
        <f ca="1">IFERROR(__xludf.DUMMYFUNCTION("""COMPUTED_VALUE"""),"Eko Ahmad Riyanto, S.Pd., M.Sc.")</f>
        <v>Eko Ahmad Riyanto, S.Pd., M.Sc.</v>
      </c>
      <c r="D215" s="3" t="str">
        <f ca="1">IFERROR(__xludf.DUMMYFUNCTION("""COMPUTED_VALUE"""),"Eko Ahmad Riyanto, S.Pd., M.Sc.")</f>
        <v>Eko Ahmad Riyanto, S.Pd., M.Sc.</v>
      </c>
      <c r="E215" s="3" t="str">
        <f ca="1">IFERROR(__xludf.DUMMYFUNCTION("""COMPUTED_VALUE"""),"199004082025051001")</f>
        <v>199004082025051001</v>
      </c>
      <c r="F215" s="3" t="str">
        <f ca="1">IFERROR(__xludf.DUMMYFUNCTION("""COMPUTED_VALUE"""),"19900408 202505 1 001")</f>
        <v>19900408 202505 1 001</v>
      </c>
      <c r="G215" s="3"/>
      <c r="H215" s="3"/>
      <c r="I215" s="3" t="str">
        <f ca="1">IFERROR(__xludf.DUMMYFUNCTION("""COMPUTED_VALUE"""),"CPNS")</f>
        <v>CPNS</v>
      </c>
      <c r="J215" s="3" t="str">
        <f ca="1">IFERROR(__xludf.DUMMYFUNCTION("""COMPUTED_VALUE"""),"Dosen CPNS")</f>
        <v>Dosen CPNS</v>
      </c>
      <c r="K215" s="5" t="str">
        <f ca="1">IFERROR(__xludf.DUMMYFUNCTION("""COMPUTED_VALUE"""),"L")</f>
        <v>L</v>
      </c>
      <c r="L215" s="3" t="str">
        <f ca="1">IFERROR(__xludf.DUMMYFUNCTION("""COMPUTED_VALUE"""),"Jepara")</f>
        <v>Jepara</v>
      </c>
      <c r="M215" s="7">
        <f ca="1">IFERROR(__xludf.DUMMYFUNCTION("""COMPUTED_VALUE"""),32971)</f>
        <v>32971</v>
      </c>
      <c r="N215" s="4" t="str">
        <f ca="1">IFERROR(__xludf.DUMMYFUNCTION("""COMPUTED_VALUE"""),"Penata Muda Tk.I")</f>
        <v>Penata Muda Tk.I</v>
      </c>
      <c r="O215" s="3" t="str">
        <f ca="1">IFERROR(__xludf.DUMMYFUNCTION("""COMPUTED_VALUE"""),"III/b")</f>
        <v>III/b</v>
      </c>
      <c r="P215" s="7">
        <f ca="1">IFERROR(__xludf.DUMMYFUNCTION("""COMPUTED_VALUE"""),45778)</f>
        <v>45778</v>
      </c>
      <c r="Q215" s="3"/>
      <c r="R215" s="3" t="str">
        <f ca="1">IFERROR(__xludf.DUMMYFUNCTION("""COMPUTED_VALUE"""),"Dosen CPNS")</f>
        <v>Dosen CPNS</v>
      </c>
      <c r="S215" s="3" t="str">
        <f ca="1">IFERROR(__xludf.DUMMYFUNCTION("""COMPUTED_VALUE"""),"Calon Dosen")</f>
        <v>Calon Dosen</v>
      </c>
      <c r="T215" s="7">
        <f ca="1">IFERROR(__xludf.DUMMYFUNCTION("""COMPUTED_VALUE"""),45778)</f>
        <v>45778</v>
      </c>
      <c r="U215" s="3" t="str">
        <f ca="1">IFERROR(__xludf.DUMMYFUNCTION("""COMPUTED_VALUE"""),"174324.1/B.II/KP.00.3/04/2025")</f>
        <v>174324.1/B.II/KP.00.3/04/2025</v>
      </c>
      <c r="V215" s="7">
        <f ca="1">IFERROR(__xludf.DUMMYFUNCTION("""COMPUTED_VALUE"""),45777)</f>
        <v>45777</v>
      </c>
      <c r="W215" s="3">
        <f ca="1">IFERROR(__xludf.DUMMYFUNCTION("""COMPUTED_VALUE"""),9)</f>
        <v>9</v>
      </c>
      <c r="X215" s="3"/>
      <c r="Y215" s="3" t="str">
        <f ca="1">IFERROR(__xludf.DUMMYFUNCTION("""COMPUTED_VALUE"""),"S-2")</f>
        <v>S-2</v>
      </c>
      <c r="Z215" s="3" t="str">
        <f ca="1">IFERROR(__xludf.DUMMYFUNCTION("""COMPUTED_VALUE"""),"0 Tahun 8 Bulan 27 Hari")</f>
        <v>0 Tahun 8 Bulan 27 Hari</v>
      </c>
      <c r="AA215" s="8">
        <f ca="1">IFERROR(__xludf.DUMMYFUNCTION("""COMPUTED_VALUE"""),56735)</f>
        <v>56735</v>
      </c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4"/>
      <c r="AR215" s="3"/>
      <c r="AS215" s="4"/>
      <c r="AT215" s="3"/>
      <c r="AU215" s="3"/>
    </row>
    <row r="216" spans="1:47" x14ac:dyDescent="0.2">
      <c r="A216" s="12">
        <v>215</v>
      </c>
      <c r="B216" s="3" t="str">
        <f ca="1">IFERROR(__xludf.DUMMYFUNCTION("""COMPUTED_VALUE"""),"‌Atipa Muji")</f>
        <v>‌Atipa Muji</v>
      </c>
      <c r="C216" s="3" t="str">
        <f ca="1">IFERROR(__xludf.DUMMYFUNCTION("""COMPUTED_VALUE"""),"Atipa Muji, M.Kom.")</f>
        <v>Atipa Muji, M.Kom.</v>
      </c>
      <c r="D216" s="3" t="str">
        <f ca="1">IFERROR(__xludf.DUMMYFUNCTION("""COMPUTED_VALUE"""),"Atipa Muji, M.Kom.")</f>
        <v>Atipa Muji, M.Kom.</v>
      </c>
      <c r="E216" s="3" t="str">
        <f ca="1">IFERROR(__xludf.DUMMYFUNCTION("""COMPUTED_VALUE"""),"199207102025052004")</f>
        <v>199207102025052004</v>
      </c>
      <c r="F216" s="3" t="str">
        <f ca="1">IFERROR(__xludf.DUMMYFUNCTION("""COMPUTED_VALUE"""),"19920710 202505 2 004")</f>
        <v>19920710 202505 2 004</v>
      </c>
      <c r="G216" s="3"/>
      <c r="H216" s="6" t="str">
        <f ca="1">IFERROR(__xludf.DUMMYFUNCTION("""COMPUTED_VALUE"""),"5042770671230413")</f>
        <v>5042770671230413</v>
      </c>
      <c r="I216" s="3" t="str">
        <f ca="1">IFERROR(__xludf.DUMMYFUNCTION("""COMPUTED_VALUE"""),"CPNS")</f>
        <v>CPNS</v>
      </c>
      <c r="J216" s="3" t="str">
        <f ca="1">IFERROR(__xludf.DUMMYFUNCTION("""COMPUTED_VALUE"""),"Dosen CPNS")</f>
        <v>Dosen CPNS</v>
      </c>
      <c r="K216" s="5" t="str">
        <f ca="1">IFERROR(__xludf.DUMMYFUNCTION("""COMPUTED_VALUE"""),"P")</f>
        <v>P</v>
      </c>
      <c r="L216" s="3" t="str">
        <f ca="1">IFERROR(__xludf.DUMMYFUNCTION("""COMPUTED_VALUE"""),"Brebes")</f>
        <v>Brebes</v>
      </c>
      <c r="M216" s="7">
        <f ca="1">IFERROR(__xludf.DUMMYFUNCTION("""COMPUTED_VALUE"""),33795)</f>
        <v>33795</v>
      </c>
      <c r="N216" s="4" t="str">
        <f ca="1">IFERROR(__xludf.DUMMYFUNCTION("""COMPUTED_VALUE"""),"Penata Muda Tk.I")</f>
        <v>Penata Muda Tk.I</v>
      </c>
      <c r="O216" s="3" t="str">
        <f ca="1">IFERROR(__xludf.DUMMYFUNCTION("""COMPUTED_VALUE"""),"III/b")</f>
        <v>III/b</v>
      </c>
      <c r="P216" s="7">
        <f ca="1">IFERROR(__xludf.DUMMYFUNCTION("""COMPUTED_VALUE"""),45778)</f>
        <v>45778</v>
      </c>
      <c r="Q216" s="3"/>
      <c r="R216" s="3" t="str">
        <f ca="1">IFERROR(__xludf.DUMMYFUNCTION("""COMPUTED_VALUE"""),"Dosen CPNS")</f>
        <v>Dosen CPNS</v>
      </c>
      <c r="S216" s="3" t="str">
        <f ca="1">IFERROR(__xludf.DUMMYFUNCTION("""COMPUTED_VALUE"""),"Calon Dosen")</f>
        <v>Calon Dosen</v>
      </c>
      <c r="T216" s="7">
        <f ca="1">IFERROR(__xludf.DUMMYFUNCTION("""COMPUTED_VALUE"""),45778)</f>
        <v>45778</v>
      </c>
      <c r="U216" s="3" t="str">
        <f ca="1">IFERROR(__xludf.DUMMYFUNCTION("""COMPUTED_VALUE"""),"174320.1/B.II/KP.00.3/04/2025")</f>
        <v>174320.1/B.II/KP.00.3/04/2025</v>
      </c>
      <c r="V216" s="7">
        <f ca="1">IFERROR(__xludf.DUMMYFUNCTION("""COMPUTED_VALUE"""),45777)</f>
        <v>45777</v>
      </c>
      <c r="W216" s="3">
        <f ca="1">IFERROR(__xludf.DUMMYFUNCTION("""COMPUTED_VALUE"""),9)</f>
        <v>9</v>
      </c>
      <c r="X216" s="3"/>
      <c r="Y216" s="3" t="str">
        <f ca="1">IFERROR(__xludf.DUMMYFUNCTION("""COMPUTED_VALUE"""),"S-2")</f>
        <v>S-2</v>
      </c>
      <c r="Z216" s="3" t="str">
        <f ca="1">IFERROR(__xludf.DUMMYFUNCTION("""COMPUTED_VALUE"""),"0 Tahun 8 Bulan 27 Hari")</f>
        <v>0 Tahun 8 Bulan 27 Hari</v>
      </c>
      <c r="AA216" s="8">
        <f ca="1">IFERROR(__xludf.DUMMYFUNCTION("""COMPUTED_VALUE"""),57558)</f>
        <v>57558</v>
      </c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4"/>
      <c r="AR216" s="3"/>
      <c r="AS216" s="4"/>
      <c r="AT216" s="3"/>
      <c r="AU216" s="3"/>
    </row>
    <row r="217" spans="1:47" x14ac:dyDescent="0.2">
      <c r="A217" s="12">
        <v>216</v>
      </c>
      <c r="B217" s="3" t="str">
        <f ca="1">IFERROR(__xludf.DUMMYFUNCTION("""COMPUTED_VALUE"""),"‌Aulia Firda Alfiana")</f>
        <v>‌Aulia Firda Alfiana</v>
      </c>
      <c r="C217" s="3" t="str">
        <f ca="1">IFERROR(__xludf.DUMMYFUNCTION("""COMPUTED_VALUE"""),"Aulia Firda Alfiana, S.T., M.Ling.")</f>
        <v>Aulia Firda Alfiana, S.T., M.Ling.</v>
      </c>
      <c r="D217" s="3" t="str">
        <f ca="1">IFERROR(__xludf.DUMMYFUNCTION("""COMPUTED_VALUE"""),"Aulia Firda Alfiana, S.T., M.Ling.")</f>
        <v>Aulia Firda Alfiana, S.T., M.Ling.</v>
      </c>
      <c r="E217" s="3" t="str">
        <f ca="1">IFERROR(__xludf.DUMMYFUNCTION("""COMPUTED_VALUE"""),"199209282025052002")</f>
        <v>199209282025052002</v>
      </c>
      <c r="F217" s="3" t="str">
        <f ca="1">IFERROR(__xludf.DUMMYFUNCTION("""COMPUTED_VALUE"""),"19920928 202505 2 002")</f>
        <v>19920928 202505 2 002</v>
      </c>
      <c r="G217" s="3"/>
      <c r="H217" s="6" t="str">
        <f ca="1">IFERROR(__xludf.DUMMYFUNCTION("""COMPUTED_VALUE"""),"5260770671230263")</f>
        <v>5260770671230263</v>
      </c>
      <c r="I217" s="3" t="str">
        <f ca="1">IFERROR(__xludf.DUMMYFUNCTION("""COMPUTED_VALUE"""),"CPNS")</f>
        <v>CPNS</v>
      </c>
      <c r="J217" s="3" t="str">
        <f ca="1">IFERROR(__xludf.DUMMYFUNCTION("""COMPUTED_VALUE"""),"Dosen CPNS")</f>
        <v>Dosen CPNS</v>
      </c>
      <c r="K217" s="5" t="str">
        <f ca="1">IFERROR(__xludf.DUMMYFUNCTION("""COMPUTED_VALUE"""),"P")</f>
        <v>P</v>
      </c>
      <c r="L217" s="3" t="str">
        <f ca="1">IFERROR(__xludf.DUMMYFUNCTION("""COMPUTED_VALUE"""),"Demak")</f>
        <v>Demak</v>
      </c>
      <c r="M217" s="7">
        <f ca="1">IFERROR(__xludf.DUMMYFUNCTION("""COMPUTED_VALUE"""),33875)</f>
        <v>33875</v>
      </c>
      <c r="N217" s="4" t="str">
        <f ca="1">IFERROR(__xludf.DUMMYFUNCTION("""COMPUTED_VALUE"""),"Penata Muda Tk.I")</f>
        <v>Penata Muda Tk.I</v>
      </c>
      <c r="O217" s="3" t="str">
        <f ca="1">IFERROR(__xludf.DUMMYFUNCTION("""COMPUTED_VALUE"""),"III/b")</f>
        <v>III/b</v>
      </c>
      <c r="P217" s="7">
        <f ca="1">IFERROR(__xludf.DUMMYFUNCTION("""COMPUTED_VALUE"""),45778)</f>
        <v>45778</v>
      </c>
      <c r="Q217" s="3"/>
      <c r="R217" s="3" t="str">
        <f ca="1">IFERROR(__xludf.DUMMYFUNCTION("""COMPUTED_VALUE"""),"Dosen CPNS")</f>
        <v>Dosen CPNS</v>
      </c>
      <c r="S217" s="3" t="str">
        <f ca="1">IFERROR(__xludf.DUMMYFUNCTION("""COMPUTED_VALUE"""),"Calon Dosen")</f>
        <v>Calon Dosen</v>
      </c>
      <c r="T217" s="7">
        <f ca="1">IFERROR(__xludf.DUMMYFUNCTION("""COMPUTED_VALUE"""),45778)</f>
        <v>45778</v>
      </c>
      <c r="U217" s="3" t="str">
        <f ca="1">IFERROR(__xludf.DUMMYFUNCTION("""COMPUTED_VALUE"""),"174321.1/B.II/KP.00.3/04/2025")</f>
        <v>174321.1/B.II/KP.00.3/04/2025</v>
      </c>
      <c r="V217" s="7">
        <f ca="1">IFERROR(__xludf.DUMMYFUNCTION("""COMPUTED_VALUE"""),45777)</f>
        <v>45777</v>
      </c>
      <c r="W217" s="3">
        <f ca="1">IFERROR(__xludf.DUMMYFUNCTION("""COMPUTED_VALUE"""),9)</f>
        <v>9</v>
      </c>
      <c r="X217" s="3"/>
      <c r="Y217" s="3" t="str">
        <f ca="1">IFERROR(__xludf.DUMMYFUNCTION("""COMPUTED_VALUE"""),"S-2")</f>
        <v>S-2</v>
      </c>
      <c r="Z217" s="3" t="str">
        <f ca="1">IFERROR(__xludf.DUMMYFUNCTION("""COMPUTED_VALUE"""),"0 Tahun 8 Bulan 27 Hari")</f>
        <v>0 Tahun 8 Bulan 27 Hari</v>
      </c>
      <c r="AA217" s="8">
        <f ca="1">IFERROR(__xludf.DUMMYFUNCTION("""COMPUTED_VALUE"""),57619)</f>
        <v>57619</v>
      </c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4"/>
      <c r="AR217" s="3"/>
      <c r="AS217" s="4"/>
      <c r="AT217" s="3"/>
      <c r="AU217" s="3"/>
    </row>
    <row r="218" spans="1:47" x14ac:dyDescent="0.2">
      <c r="A218" s="12">
        <v>217</v>
      </c>
      <c r="B218" s="3" t="str">
        <f ca="1">IFERROR(__xludf.DUMMYFUNCTION("""COMPUTED_VALUE"""),"‌Kukuh Prasetyo Idzharul Haq")</f>
        <v>‌Kukuh Prasetyo Idzharul Haq</v>
      </c>
      <c r="C218" s="3" t="str">
        <f ca="1">IFERROR(__xludf.DUMMYFUNCTION("""COMPUTED_VALUE"""),"Kukuh Prasetyo Idzharul Haq, S.Si., M.H.")</f>
        <v>Kukuh Prasetyo Idzharul Haq, S.Si., M.H.</v>
      </c>
      <c r="D218" s="3" t="str">
        <f ca="1">IFERROR(__xludf.DUMMYFUNCTION("""COMPUTED_VALUE"""),"Kukuh Prasetyo Idzharul Haq, S.Si., M.H.")</f>
        <v>Kukuh Prasetyo Idzharul Haq, S.Si., M.H.</v>
      </c>
      <c r="E218" s="3" t="str">
        <f ca="1">IFERROR(__xludf.DUMMYFUNCTION("""COMPUTED_VALUE"""),"199301012025051003")</f>
        <v>199301012025051003</v>
      </c>
      <c r="F218" s="3" t="str">
        <f ca="1">IFERROR(__xludf.DUMMYFUNCTION("""COMPUTED_VALUE"""),"19930101 202505 1 003")</f>
        <v>19930101 202505 1 003</v>
      </c>
      <c r="G218" s="3"/>
      <c r="H218" s="6" t="str">
        <f ca="1">IFERROR(__xludf.DUMMYFUNCTION("""COMPUTED_VALUE"""),"6433771672130732")</f>
        <v>6433771672130732</v>
      </c>
      <c r="I218" s="3" t="str">
        <f ca="1">IFERROR(__xludf.DUMMYFUNCTION("""COMPUTED_VALUE"""),"CPNS")</f>
        <v>CPNS</v>
      </c>
      <c r="J218" s="3" t="str">
        <f ca="1">IFERROR(__xludf.DUMMYFUNCTION("""COMPUTED_VALUE"""),"Dosen CPNS")</f>
        <v>Dosen CPNS</v>
      </c>
      <c r="K218" s="5" t="str">
        <f ca="1">IFERROR(__xludf.DUMMYFUNCTION("""COMPUTED_VALUE"""),"L")</f>
        <v>L</v>
      </c>
      <c r="L218" s="3" t="str">
        <f ca="1">IFERROR(__xludf.DUMMYFUNCTION("""COMPUTED_VALUE"""),"Cilacap")</f>
        <v>Cilacap</v>
      </c>
      <c r="M218" s="7">
        <f ca="1">IFERROR(__xludf.DUMMYFUNCTION("""COMPUTED_VALUE"""),33970)</f>
        <v>33970</v>
      </c>
      <c r="N218" s="4" t="str">
        <f ca="1">IFERROR(__xludf.DUMMYFUNCTION("""COMPUTED_VALUE"""),"Penata Muda Tk.I")</f>
        <v>Penata Muda Tk.I</v>
      </c>
      <c r="O218" s="3" t="str">
        <f ca="1">IFERROR(__xludf.DUMMYFUNCTION("""COMPUTED_VALUE"""),"III/b")</f>
        <v>III/b</v>
      </c>
      <c r="P218" s="7">
        <f ca="1">IFERROR(__xludf.DUMMYFUNCTION("""COMPUTED_VALUE"""),45778)</f>
        <v>45778</v>
      </c>
      <c r="Q218" s="3"/>
      <c r="R218" s="3" t="str">
        <f ca="1">IFERROR(__xludf.DUMMYFUNCTION("""COMPUTED_VALUE"""),"Dosen CPNS")</f>
        <v>Dosen CPNS</v>
      </c>
      <c r="S218" s="3" t="str">
        <f ca="1">IFERROR(__xludf.DUMMYFUNCTION("""COMPUTED_VALUE"""),"Calon Dosen")</f>
        <v>Calon Dosen</v>
      </c>
      <c r="T218" s="7">
        <f ca="1">IFERROR(__xludf.DUMMYFUNCTION("""COMPUTED_VALUE"""),45778)</f>
        <v>45778</v>
      </c>
      <c r="U218" s="3" t="str">
        <f ca="1">IFERROR(__xludf.DUMMYFUNCTION("""COMPUTED_VALUE"""),"174327.1/B.II/KP.00.3/04/2025")</f>
        <v>174327.1/B.II/KP.00.3/04/2025</v>
      </c>
      <c r="V218" s="7">
        <f ca="1">IFERROR(__xludf.DUMMYFUNCTION("""COMPUTED_VALUE"""),45777)</f>
        <v>45777</v>
      </c>
      <c r="W218" s="3">
        <f ca="1">IFERROR(__xludf.DUMMYFUNCTION("""COMPUTED_VALUE"""),9)</f>
        <v>9</v>
      </c>
      <c r="X218" s="3"/>
      <c r="Y218" s="3" t="str">
        <f ca="1">IFERROR(__xludf.DUMMYFUNCTION("""COMPUTED_VALUE"""),"S-2")</f>
        <v>S-2</v>
      </c>
      <c r="Z218" s="3" t="str">
        <f ca="1">IFERROR(__xludf.DUMMYFUNCTION("""COMPUTED_VALUE"""),"0 Tahun 8 Bulan 27 Hari")</f>
        <v>0 Tahun 8 Bulan 27 Hari</v>
      </c>
      <c r="AA218" s="8">
        <f ca="1">IFERROR(__xludf.DUMMYFUNCTION("""COMPUTED_VALUE"""),57742)</f>
        <v>57742</v>
      </c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4"/>
      <c r="AR218" s="3"/>
      <c r="AS218" s="4"/>
      <c r="AT218" s="3"/>
      <c r="AU218" s="3"/>
    </row>
    <row r="219" spans="1:47" x14ac:dyDescent="0.2">
      <c r="A219" s="12">
        <v>218</v>
      </c>
      <c r="B219" s="3" t="str">
        <f ca="1">IFERROR(__xludf.DUMMYFUNCTION("""COMPUTED_VALUE"""),"‌Feny Cholisoh")</f>
        <v>‌Feny Cholisoh</v>
      </c>
      <c r="C219" s="3" t="str">
        <f ca="1">IFERROR(__xludf.DUMMYFUNCTION("""COMPUTED_VALUE"""),"Feny Cholisoh, S.Psi., M.Psi.")</f>
        <v>Feny Cholisoh, S.Psi., M.Psi.</v>
      </c>
      <c r="D219" s="3" t="str">
        <f ca="1">IFERROR(__xludf.DUMMYFUNCTION("""COMPUTED_VALUE"""),"Feny Cholisoh, S.Psi., M.Psi.")</f>
        <v>Feny Cholisoh, S.Psi., M.Psi.</v>
      </c>
      <c r="E219" s="3" t="str">
        <f ca="1">IFERROR(__xludf.DUMMYFUNCTION("""COMPUTED_VALUE"""),"199302102025052003")</f>
        <v>199302102025052003</v>
      </c>
      <c r="F219" s="3" t="str">
        <f ca="1">IFERROR(__xludf.DUMMYFUNCTION("""COMPUTED_VALUE"""),"19930210 202505 2 003")</f>
        <v>19930210 202505 2 003</v>
      </c>
      <c r="G219" s="3"/>
      <c r="H219" s="3"/>
      <c r="I219" s="3" t="str">
        <f ca="1">IFERROR(__xludf.DUMMYFUNCTION("""COMPUTED_VALUE"""),"CPNS")</f>
        <v>CPNS</v>
      </c>
      <c r="J219" s="3" t="str">
        <f ca="1">IFERROR(__xludf.DUMMYFUNCTION("""COMPUTED_VALUE"""),"Dosen CPNS")</f>
        <v>Dosen CPNS</v>
      </c>
      <c r="K219" s="5" t="str">
        <f ca="1">IFERROR(__xludf.DUMMYFUNCTION("""COMPUTED_VALUE"""),"P")</f>
        <v>P</v>
      </c>
      <c r="L219" s="3" t="str">
        <f ca="1">IFERROR(__xludf.DUMMYFUNCTION("""COMPUTED_VALUE"""),"Cilacap")</f>
        <v>Cilacap</v>
      </c>
      <c r="M219" s="7">
        <f ca="1">IFERROR(__xludf.DUMMYFUNCTION("""COMPUTED_VALUE"""),34010)</f>
        <v>34010</v>
      </c>
      <c r="N219" s="4" t="str">
        <f ca="1">IFERROR(__xludf.DUMMYFUNCTION("""COMPUTED_VALUE"""),"Penata Muda Tk.I")</f>
        <v>Penata Muda Tk.I</v>
      </c>
      <c r="O219" s="3" t="str">
        <f ca="1">IFERROR(__xludf.DUMMYFUNCTION("""COMPUTED_VALUE"""),"III/b")</f>
        <v>III/b</v>
      </c>
      <c r="P219" s="7">
        <f ca="1">IFERROR(__xludf.DUMMYFUNCTION("""COMPUTED_VALUE"""),45778)</f>
        <v>45778</v>
      </c>
      <c r="Q219" s="3"/>
      <c r="R219" s="3" t="str">
        <f ca="1">IFERROR(__xludf.DUMMYFUNCTION("""COMPUTED_VALUE"""),"Dosen CPNS")</f>
        <v>Dosen CPNS</v>
      </c>
      <c r="S219" s="3" t="str">
        <f ca="1">IFERROR(__xludf.DUMMYFUNCTION("""COMPUTED_VALUE"""),"Calon Dosen")</f>
        <v>Calon Dosen</v>
      </c>
      <c r="T219" s="7">
        <f ca="1">IFERROR(__xludf.DUMMYFUNCTION("""COMPUTED_VALUE"""),45778)</f>
        <v>45778</v>
      </c>
      <c r="U219" s="3" t="str">
        <f ca="1">IFERROR(__xludf.DUMMYFUNCTION("""COMPUTED_VALUE"""),"174325.1/B.II/KP.00.3/04/2025")</f>
        <v>174325.1/B.II/KP.00.3/04/2025</v>
      </c>
      <c r="V219" s="7">
        <f ca="1">IFERROR(__xludf.DUMMYFUNCTION("""COMPUTED_VALUE"""),45777)</f>
        <v>45777</v>
      </c>
      <c r="W219" s="3">
        <f ca="1">IFERROR(__xludf.DUMMYFUNCTION("""COMPUTED_VALUE"""),9)</f>
        <v>9</v>
      </c>
      <c r="X219" s="3"/>
      <c r="Y219" s="3" t="str">
        <f ca="1">IFERROR(__xludf.DUMMYFUNCTION("""COMPUTED_VALUE"""),"S-2")</f>
        <v>S-2</v>
      </c>
      <c r="Z219" s="3" t="str">
        <f ca="1">IFERROR(__xludf.DUMMYFUNCTION("""COMPUTED_VALUE"""),"0 Tahun 8 Bulan 27 Hari")</f>
        <v>0 Tahun 8 Bulan 27 Hari</v>
      </c>
      <c r="AA219" s="8">
        <f ca="1">IFERROR(__xludf.DUMMYFUNCTION("""COMPUTED_VALUE"""),57770)</f>
        <v>57770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4"/>
      <c r="AR219" s="3"/>
      <c r="AS219" s="4"/>
      <c r="AT219" s="3"/>
      <c r="AU219" s="3"/>
    </row>
    <row r="220" spans="1:47" x14ac:dyDescent="0.2">
      <c r="A220" s="12">
        <v>219</v>
      </c>
      <c r="B220" s="3" t="str">
        <f ca="1">IFERROR(__xludf.DUMMYFUNCTION("""COMPUTED_VALUE"""),"‌Priliadita Hidayanti")</f>
        <v>‌Priliadita Hidayanti</v>
      </c>
      <c r="C220" s="3" t="str">
        <f ca="1">IFERROR(__xludf.DUMMYFUNCTION("""COMPUTED_VALUE"""),"Priliadita Hidayanti, S.P., M.M.")</f>
        <v>Priliadita Hidayanti, S.P., M.M.</v>
      </c>
      <c r="D220" s="3" t="str">
        <f ca="1">IFERROR(__xludf.DUMMYFUNCTION("""COMPUTED_VALUE"""),"Priliadita Hidayanti, S.P., M.M.")</f>
        <v>Priliadita Hidayanti, S.P., M.M.</v>
      </c>
      <c r="E220" s="3" t="str">
        <f ca="1">IFERROR(__xludf.DUMMYFUNCTION("""COMPUTED_VALUE"""),"199304202025052006")</f>
        <v>199304202025052006</v>
      </c>
      <c r="F220" s="3" t="str">
        <f ca="1">IFERROR(__xludf.DUMMYFUNCTION("""COMPUTED_VALUE"""),"19930420 202505 2 006")</f>
        <v>19930420 202505 2 006</v>
      </c>
      <c r="G220" s="3"/>
      <c r="H220" s="3"/>
      <c r="I220" s="3" t="str">
        <f ca="1">IFERROR(__xludf.DUMMYFUNCTION("""COMPUTED_VALUE"""),"CPNS")</f>
        <v>CPNS</v>
      </c>
      <c r="J220" s="3" t="str">
        <f ca="1">IFERROR(__xludf.DUMMYFUNCTION("""COMPUTED_VALUE"""),"Dosen CPNS")</f>
        <v>Dosen CPNS</v>
      </c>
      <c r="K220" s="5" t="str">
        <f ca="1">IFERROR(__xludf.DUMMYFUNCTION("""COMPUTED_VALUE"""),"P")</f>
        <v>P</v>
      </c>
      <c r="L220" s="3" t="str">
        <f ca="1">IFERROR(__xludf.DUMMYFUNCTION("""COMPUTED_VALUE"""),"Kota Tangerang")</f>
        <v>Kota Tangerang</v>
      </c>
      <c r="M220" s="7">
        <f ca="1">IFERROR(__xludf.DUMMYFUNCTION("""COMPUTED_VALUE"""),34079)</f>
        <v>34079</v>
      </c>
      <c r="N220" s="4" t="str">
        <f ca="1">IFERROR(__xludf.DUMMYFUNCTION("""COMPUTED_VALUE"""),"Penata Muda Tk.I")</f>
        <v>Penata Muda Tk.I</v>
      </c>
      <c r="O220" s="3" t="str">
        <f ca="1">IFERROR(__xludf.DUMMYFUNCTION("""COMPUTED_VALUE"""),"III/b")</f>
        <v>III/b</v>
      </c>
      <c r="P220" s="7">
        <f ca="1">IFERROR(__xludf.DUMMYFUNCTION("""COMPUTED_VALUE"""),45778)</f>
        <v>45778</v>
      </c>
      <c r="Q220" s="3"/>
      <c r="R220" s="3" t="str">
        <f ca="1">IFERROR(__xludf.DUMMYFUNCTION("""COMPUTED_VALUE"""),"Dosen CPNS")</f>
        <v>Dosen CPNS</v>
      </c>
      <c r="S220" s="3" t="str">
        <f ca="1">IFERROR(__xludf.DUMMYFUNCTION("""COMPUTED_VALUE"""),"Calon Dosen")</f>
        <v>Calon Dosen</v>
      </c>
      <c r="T220" s="7">
        <f ca="1">IFERROR(__xludf.DUMMYFUNCTION("""COMPUTED_VALUE"""),45778)</f>
        <v>45778</v>
      </c>
      <c r="U220" s="3" t="str">
        <f ca="1">IFERROR(__xludf.DUMMYFUNCTION("""COMPUTED_VALUE"""),"174329.1/B.II/KP.00.3/04/2025")</f>
        <v>174329.1/B.II/KP.00.3/04/2025</v>
      </c>
      <c r="V220" s="7">
        <f ca="1">IFERROR(__xludf.DUMMYFUNCTION("""COMPUTED_VALUE"""),45777)</f>
        <v>45777</v>
      </c>
      <c r="W220" s="3">
        <f ca="1">IFERROR(__xludf.DUMMYFUNCTION("""COMPUTED_VALUE"""),9)</f>
        <v>9</v>
      </c>
      <c r="X220" s="3"/>
      <c r="Y220" s="3" t="str">
        <f ca="1">IFERROR(__xludf.DUMMYFUNCTION("""COMPUTED_VALUE"""),"S-2")</f>
        <v>S-2</v>
      </c>
      <c r="Z220" s="3" t="str">
        <f ca="1">IFERROR(__xludf.DUMMYFUNCTION("""COMPUTED_VALUE"""),"0 Tahun 8 Bulan 27 Hari")</f>
        <v>0 Tahun 8 Bulan 27 Hari</v>
      </c>
      <c r="AA220" s="8">
        <f ca="1">IFERROR(__xludf.DUMMYFUNCTION("""COMPUTED_VALUE"""),57831)</f>
        <v>57831</v>
      </c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4"/>
      <c r="AR220" s="3"/>
      <c r="AS220" s="4"/>
      <c r="AT220" s="3"/>
      <c r="AU220" s="3"/>
    </row>
    <row r="221" spans="1:47" x14ac:dyDescent="0.2">
      <c r="A221" s="12">
        <v>220</v>
      </c>
      <c r="B221" s="3" t="str">
        <f ca="1">IFERROR(__xludf.DUMMYFUNCTION("""COMPUTED_VALUE"""),"‌Muhammad Nur Hakimuddin At-Toyibi")</f>
        <v>‌Muhammad Nur Hakimuddin At-Toyibi</v>
      </c>
      <c r="C221" s="3" t="str">
        <f ca="1">IFERROR(__xludf.DUMMYFUNCTION("""COMPUTED_VALUE"""),"Muhammad Nur Hakimuddin At-toyibi, S.Ars., S.H., M.Arch.")</f>
        <v>Muhammad Nur Hakimuddin At-toyibi, S.Ars., S.H., M.Arch.</v>
      </c>
      <c r="D221" s="3" t="str">
        <f ca="1">IFERROR(__xludf.DUMMYFUNCTION("""COMPUTED_VALUE"""),"Muhammad Nur Hakimuddin At-toyibi, S.Ars., S.H., M.Arch.")</f>
        <v>Muhammad Nur Hakimuddin At-toyibi, S.Ars., S.H., M.Arch.</v>
      </c>
      <c r="E221" s="3" t="str">
        <f ca="1">IFERROR(__xludf.DUMMYFUNCTION("""COMPUTED_VALUE"""),"199412242025051005")</f>
        <v>199412242025051005</v>
      </c>
      <c r="F221" s="3" t="str">
        <f ca="1">IFERROR(__xludf.DUMMYFUNCTION("""COMPUTED_VALUE"""),"19941224 202505 1 005")</f>
        <v>19941224 202505 1 005</v>
      </c>
      <c r="G221" s="3"/>
      <c r="H221" s="6" t="str">
        <f ca="1">IFERROR(__xludf.DUMMYFUNCTION("""COMPUTED_VALUE"""),"6556772673130333")</f>
        <v>6556772673130333</v>
      </c>
      <c r="I221" s="3" t="str">
        <f ca="1">IFERROR(__xludf.DUMMYFUNCTION("""COMPUTED_VALUE"""),"CPNS")</f>
        <v>CPNS</v>
      </c>
      <c r="J221" s="3" t="str">
        <f ca="1">IFERROR(__xludf.DUMMYFUNCTION("""COMPUTED_VALUE"""),"Dosen CPNS")</f>
        <v>Dosen CPNS</v>
      </c>
      <c r="K221" s="5" t="str">
        <f ca="1">IFERROR(__xludf.DUMMYFUNCTION("""COMPUTED_VALUE"""),"L")</f>
        <v>L</v>
      </c>
      <c r="L221" s="3" t="str">
        <f ca="1">IFERROR(__xludf.DUMMYFUNCTION("""COMPUTED_VALUE"""),"Kota Yogyakarta")</f>
        <v>Kota Yogyakarta</v>
      </c>
      <c r="M221" s="7">
        <f ca="1">IFERROR(__xludf.DUMMYFUNCTION("""COMPUTED_VALUE"""),34692)</f>
        <v>34692</v>
      </c>
      <c r="N221" s="4" t="str">
        <f ca="1">IFERROR(__xludf.DUMMYFUNCTION("""COMPUTED_VALUE"""),"Penata Muda Tk.I")</f>
        <v>Penata Muda Tk.I</v>
      </c>
      <c r="O221" s="3" t="str">
        <f ca="1">IFERROR(__xludf.DUMMYFUNCTION("""COMPUTED_VALUE"""),"III/b")</f>
        <v>III/b</v>
      </c>
      <c r="P221" s="7">
        <f ca="1">IFERROR(__xludf.DUMMYFUNCTION("""COMPUTED_VALUE"""),45778)</f>
        <v>45778</v>
      </c>
      <c r="Q221" s="3"/>
      <c r="R221" s="3" t="str">
        <f ca="1">IFERROR(__xludf.DUMMYFUNCTION("""COMPUTED_VALUE"""),"Dosen CPNS")</f>
        <v>Dosen CPNS</v>
      </c>
      <c r="S221" s="3" t="str">
        <f ca="1">IFERROR(__xludf.DUMMYFUNCTION("""COMPUTED_VALUE"""),"Calon Dosen")</f>
        <v>Calon Dosen</v>
      </c>
      <c r="T221" s="7">
        <f ca="1">IFERROR(__xludf.DUMMYFUNCTION("""COMPUTED_VALUE"""),45778)</f>
        <v>45778</v>
      </c>
      <c r="U221" s="3" t="str">
        <f ca="1">IFERROR(__xludf.DUMMYFUNCTION("""COMPUTED_VALUE"""),"174328.1/B.II/KP.00.3/04/2025")</f>
        <v>174328.1/B.II/KP.00.3/04/2025</v>
      </c>
      <c r="V221" s="7">
        <f ca="1">IFERROR(__xludf.DUMMYFUNCTION("""COMPUTED_VALUE"""),45777)</f>
        <v>45777</v>
      </c>
      <c r="W221" s="3">
        <f ca="1">IFERROR(__xludf.DUMMYFUNCTION("""COMPUTED_VALUE"""),9)</f>
        <v>9</v>
      </c>
      <c r="X221" s="3"/>
      <c r="Y221" s="3" t="str">
        <f ca="1">IFERROR(__xludf.DUMMYFUNCTION("""COMPUTED_VALUE"""),"S-2")</f>
        <v>S-2</v>
      </c>
      <c r="Z221" s="3" t="str">
        <f ca="1">IFERROR(__xludf.DUMMYFUNCTION("""COMPUTED_VALUE"""),"0 Tahun 8 Bulan 27 Hari")</f>
        <v>0 Tahun 8 Bulan 27 Hari</v>
      </c>
      <c r="AA221" s="8">
        <f ca="1">IFERROR(__xludf.DUMMYFUNCTION("""COMPUTED_VALUE"""),58441)</f>
        <v>58441</v>
      </c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4"/>
      <c r="AR221" s="3"/>
      <c r="AS221" s="4"/>
      <c r="AT221" s="3"/>
      <c r="AU221" s="3"/>
    </row>
    <row r="222" spans="1:47" x14ac:dyDescent="0.2">
      <c r="A222" s="12">
        <v>221</v>
      </c>
      <c r="B222" s="3" t="str">
        <f ca="1">IFERROR(__xludf.DUMMYFUNCTION("""COMPUTED_VALUE"""),"‌Hammam Al Faruq")</f>
        <v>‌Hammam Al Faruq</v>
      </c>
      <c r="C222" s="3" t="str">
        <f ca="1">IFERROR(__xludf.DUMMYFUNCTION("""COMPUTED_VALUE"""),"Hammam Al Faruq, S.Si., M.Pd.")</f>
        <v>Hammam Al Faruq, S.Si., M.Pd.</v>
      </c>
      <c r="D222" s="3" t="str">
        <f ca="1">IFERROR(__xludf.DUMMYFUNCTION("""COMPUTED_VALUE"""),"Hammam Al Faruq, S.Si., M.Pd.")</f>
        <v>Hammam Al Faruq, S.Si., M.Pd.</v>
      </c>
      <c r="E222" s="3" t="str">
        <f ca="1">IFERROR(__xludf.DUMMYFUNCTION("""COMPUTED_VALUE"""),"199501172025051002")</f>
        <v>199501172025051002</v>
      </c>
      <c r="F222" s="3" t="str">
        <f ca="1">IFERROR(__xludf.DUMMYFUNCTION("""COMPUTED_VALUE"""),"19950117 202505 1 002")</f>
        <v>19950117 202505 1 002</v>
      </c>
      <c r="G222" s="3"/>
      <c r="H222" s="3"/>
      <c r="I222" s="3" t="str">
        <f ca="1">IFERROR(__xludf.DUMMYFUNCTION("""COMPUTED_VALUE"""),"CPNS")</f>
        <v>CPNS</v>
      </c>
      <c r="J222" s="3" t="str">
        <f ca="1">IFERROR(__xludf.DUMMYFUNCTION("""COMPUTED_VALUE"""),"Dosen CPNS")</f>
        <v>Dosen CPNS</v>
      </c>
      <c r="K222" s="5" t="str">
        <f ca="1">IFERROR(__xludf.DUMMYFUNCTION("""COMPUTED_VALUE"""),"L")</f>
        <v>L</v>
      </c>
      <c r="L222" s="3" t="str">
        <f ca="1">IFERROR(__xludf.DUMMYFUNCTION("""COMPUTED_VALUE"""),"Sleman")</f>
        <v>Sleman</v>
      </c>
      <c r="M222" s="7">
        <f ca="1">IFERROR(__xludf.DUMMYFUNCTION("""COMPUTED_VALUE"""),34716)</f>
        <v>34716</v>
      </c>
      <c r="N222" s="4" t="str">
        <f ca="1">IFERROR(__xludf.DUMMYFUNCTION("""COMPUTED_VALUE"""),"Penata Muda Tk.I")</f>
        <v>Penata Muda Tk.I</v>
      </c>
      <c r="O222" s="3" t="str">
        <f ca="1">IFERROR(__xludf.DUMMYFUNCTION("""COMPUTED_VALUE"""),"III/b")</f>
        <v>III/b</v>
      </c>
      <c r="P222" s="7">
        <f ca="1">IFERROR(__xludf.DUMMYFUNCTION("""COMPUTED_VALUE"""),45778)</f>
        <v>45778</v>
      </c>
      <c r="Q222" s="3"/>
      <c r="R222" s="3" t="str">
        <f ca="1">IFERROR(__xludf.DUMMYFUNCTION("""COMPUTED_VALUE"""),"Dosen CPNS")</f>
        <v>Dosen CPNS</v>
      </c>
      <c r="S222" s="3" t="str">
        <f ca="1">IFERROR(__xludf.DUMMYFUNCTION("""COMPUTED_VALUE"""),"Calon Dosen")</f>
        <v>Calon Dosen</v>
      </c>
      <c r="T222" s="7">
        <f ca="1">IFERROR(__xludf.DUMMYFUNCTION("""COMPUTED_VALUE"""),45778)</f>
        <v>45778</v>
      </c>
      <c r="U222" s="3" t="str">
        <f ca="1">IFERROR(__xludf.DUMMYFUNCTION("""COMPUTED_VALUE"""),"174326.1/B.II/KP.00.3/04/2025")</f>
        <v>174326.1/B.II/KP.00.3/04/2025</v>
      </c>
      <c r="V222" s="7">
        <f ca="1">IFERROR(__xludf.DUMMYFUNCTION("""COMPUTED_VALUE"""),45777)</f>
        <v>45777</v>
      </c>
      <c r="W222" s="3">
        <f ca="1">IFERROR(__xludf.DUMMYFUNCTION("""COMPUTED_VALUE"""),9)</f>
        <v>9</v>
      </c>
      <c r="X222" s="3"/>
      <c r="Y222" s="3" t="str">
        <f ca="1">IFERROR(__xludf.DUMMYFUNCTION("""COMPUTED_VALUE"""),"S-2")</f>
        <v>S-2</v>
      </c>
      <c r="Z222" s="3" t="str">
        <f ca="1">IFERROR(__xludf.DUMMYFUNCTION("""COMPUTED_VALUE"""),"0 Tahun 8 Bulan 27 Hari")</f>
        <v>0 Tahun 8 Bulan 27 Hari</v>
      </c>
      <c r="AA222" s="8">
        <f ca="1">IFERROR(__xludf.DUMMYFUNCTION("""COMPUTED_VALUE"""),58472)</f>
        <v>58472</v>
      </c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4"/>
      <c r="AR222" s="3"/>
      <c r="AS222" s="4"/>
      <c r="AT222" s="3"/>
      <c r="AU222" s="3"/>
    </row>
    <row r="223" spans="1:47" x14ac:dyDescent="0.2">
      <c r="A223" s="12">
        <v>222</v>
      </c>
      <c r="B223" s="3" t="str">
        <f ca="1">IFERROR(__xludf.DUMMYFUNCTION("""COMPUTED_VALUE"""),"‌Azhar Hasna Rany")</f>
        <v>‌Azhar Hasna Rany</v>
      </c>
      <c r="C223" s="3" t="str">
        <f ca="1">IFERROR(__xludf.DUMMYFUNCTION("""COMPUTED_VALUE"""),"Azhar Hasna Rany, S.Pd., M.Ars.")</f>
        <v>Azhar Hasna Rany, S.Pd., M.Ars.</v>
      </c>
      <c r="D223" s="3" t="str">
        <f ca="1">IFERROR(__xludf.DUMMYFUNCTION("""COMPUTED_VALUE"""),"Azhar Hasna Rany, S.Pd., M.Ars.")</f>
        <v>Azhar Hasna Rany, S.Pd., M.Ars.</v>
      </c>
      <c r="E223" s="3" t="str">
        <f ca="1">IFERROR(__xludf.DUMMYFUNCTION("""COMPUTED_VALUE"""),"199504052025052003")</f>
        <v>199504052025052003</v>
      </c>
      <c r="F223" s="3" t="str">
        <f ca="1">IFERROR(__xludf.DUMMYFUNCTION("""COMPUTED_VALUE"""),"19950405 202505 2 003")</f>
        <v>19950405 202505 2 003</v>
      </c>
      <c r="G223" s="3"/>
      <c r="H223" s="3"/>
      <c r="I223" s="3" t="str">
        <f ca="1">IFERROR(__xludf.DUMMYFUNCTION("""COMPUTED_VALUE"""),"CPNS")</f>
        <v>CPNS</v>
      </c>
      <c r="J223" s="3" t="str">
        <f ca="1">IFERROR(__xludf.DUMMYFUNCTION("""COMPUTED_VALUE"""),"Dosen CPNS")</f>
        <v>Dosen CPNS</v>
      </c>
      <c r="K223" s="5" t="str">
        <f ca="1">IFERROR(__xludf.DUMMYFUNCTION("""COMPUTED_VALUE"""),"P")</f>
        <v>P</v>
      </c>
      <c r="L223" s="3" t="str">
        <f ca="1">IFERROR(__xludf.DUMMYFUNCTION("""COMPUTED_VALUE"""),"Pekalongan")</f>
        <v>Pekalongan</v>
      </c>
      <c r="M223" s="7">
        <f ca="1">IFERROR(__xludf.DUMMYFUNCTION("""COMPUTED_VALUE"""),34794)</f>
        <v>34794</v>
      </c>
      <c r="N223" s="4" t="str">
        <f ca="1">IFERROR(__xludf.DUMMYFUNCTION("""COMPUTED_VALUE"""),"Penata Muda Tk.I")</f>
        <v>Penata Muda Tk.I</v>
      </c>
      <c r="O223" s="3" t="str">
        <f ca="1">IFERROR(__xludf.DUMMYFUNCTION("""COMPUTED_VALUE"""),"III/b")</f>
        <v>III/b</v>
      </c>
      <c r="P223" s="7">
        <f ca="1">IFERROR(__xludf.DUMMYFUNCTION("""COMPUTED_VALUE"""),45778)</f>
        <v>45778</v>
      </c>
      <c r="Q223" s="3"/>
      <c r="R223" s="3" t="str">
        <f ca="1">IFERROR(__xludf.DUMMYFUNCTION("""COMPUTED_VALUE"""),"Dosen CPNS")</f>
        <v>Dosen CPNS</v>
      </c>
      <c r="S223" s="3" t="str">
        <f ca="1">IFERROR(__xludf.DUMMYFUNCTION("""COMPUTED_VALUE"""),"Calon Dosen")</f>
        <v>Calon Dosen</v>
      </c>
      <c r="T223" s="7">
        <f ca="1">IFERROR(__xludf.DUMMYFUNCTION("""COMPUTED_VALUE"""),45778)</f>
        <v>45778</v>
      </c>
      <c r="U223" s="3" t="str">
        <f ca="1">IFERROR(__xludf.DUMMYFUNCTION("""COMPUTED_VALUE"""),"174322.1/B.II/KP.00.3/04/2025")</f>
        <v>174322.1/B.II/KP.00.3/04/2025</v>
      </c>
      <c r="V223" s="7">
        <f ca="1">IFERROR(__xludf.DUMMYFUNCTION("""COMPUTED_VALUE"""),45777)</f>
        <v>45777</v>
      </c>
      <c r="W223" s="3">
        <f ca="1">IFERROR(__xludf.DUMMYFUNCTION("""COMPUTED_VALUE"""),9)</f>
        <v>9</v>
      </c>
      <c r="X223" s="3"/>
      <c r="Y223" s="3" t="str">
        <f ca="1">IFERROR(__xludf.DUMMYFUNCTION("""COMPUTED_VALUE"""),"S-2")</f>
        <v>S-2</v>
      </c>
      <c r="Z223" s="3" t="str">
        <f ca="1">IFERROR(__xludf.DUMMYFUNCTION("""COMPUTED_VALUE"""),"0 Tahun 8 Bulan 27 Hari")</f>
        <v>0 Tahun 8 Bulan 27 Hari</v>
      </c>
      <c r="AA223" s="8">
        <f ca="1">IFERROR(__xludf.DUMMYFUNCTION("""COMPUTED_VALUE"""),58562)</f>
        <v>58562</v>
      </c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4"/>
      <c r="AR223" s="3"/>
      <c r="AS223" s="4"/>
      <c r="AT223" s="3"/>
      <c r="AU223" s="3"/>
    </row>
    <row r="224" spans="1:47" x14ac:dyDescent="0.2">
      <c r="A224" s="12">
        <v>223</v>
      </c>
      <c r="B224" s="3" t="str">
        <f ca="1">IFERROR(__xludf.DUMMYFUNCTION("""COMPUTED_VALUE"""),"Almas Inti Kiasati")</f>
        <v>Almas Inti Kiasati</v>
      </c>
      <c r="C224" s="3" t="str">
        <f ca="1">IFERROR(__xludf.DUMMYFUNCTION("""COMPUTED_VALUE"""),"Almas Inti Kiasati, S.Hum., M.A.")</f>
        <v>Almas Inti Kiasati, S.Hum., M.A.</v>
      </c>
      <c r="D224" s="3" t="str">
        <f ca="1">IFERROR(__xludf.DUMMYFUNCTION("""COMPUTED_VALUE"""),"Almas Inti Kiasati, S.Hum., M.A.")</f>
        <v>Almas Inti Kiasati, S.Hum., M.A.</v>
      </c>
      <c r="E224" s="3" t="str">
        <f ca="1">IFERROR(__xludf.DUMMYFUNCTION("""COMPUTED_VALUE"""),"199808062025052008")</f>
        <v>199808062025052008</v>
      </c>
      <c r="F224" s="3" t="str">
        <f ca="1">IFERROR(__xludf.DUMMYFUNCTION("""COMPUTED_VALUE"""),"19950630 202505 1 001")</f>
        <v>19950630 202505 1 001</v>
      </c>
      <c r="G224" s="3"/>
      <c r="H224" s="6" t="str">
        <f ca="1">IFERROR(__xludf.DUMMYFUNCTION("""COMPUTED_VALUE"""),"7138776677230123")</f>
        <v>7138776677230123</v>
      </c>
      <c r="I224" s="3" t="str">
        <f ca="1">IFERROR(__xludf.DUMMYFUNCTION("""COMPUTED_VALUE"""),"CPNS")</f>
        <v>CPNS</v>
      </c>
      <c r="J224" s="3" t="str">
        <f ca="1">IFERROR(__xludf.DUMMYFUNCTION("""COMPUTED_VALUE"""),"Dosen CPNS")</f>
        <v>Dosen CPNS</v>
      </c>
      <c r="K224" s="5" t="str">
        <f ca="1">IFERROR(__xludf.DUMMYFUNCTION("""COMPUTED_VALUE"""),"P")</f>
        <v>P</v>
      </c>
      <c r="L224" s="3" t="str">
        <f ca="1">IFERROR(__xludf.DUMMYFUNCTION("""COMPUTED_VALUE"""),"Cirebon")</f>
        <v>Cirebon</v>
      </c>
      <c r="M224" s="7">
        <f ca="1">IFERROR(__xludf.DUMMYFUNCTION("""COMPUTED_VALUE"""),36013)</f>
        <v>36013</v>
      </c>
      <c r="N224" s="4" t="str">
        <f ca="1">IFERROR(__xludf.DUMMYFUNCTION("""COMPUTED_VALUE"""),"Penata Muda Tk.I")</f>
        <v>Penata Muda Tk.I</v>
      </c>
      <c r="O224" s="3" t="str">
        <f ca="1">IFERROR(__xludf.DUMMYFUNCTION("""COMPUTED_VALUE"""),"III/b")</f>
        <v>III/b</v>
      </c>
      <c r="P224" s="7">
        <f ca="1">IFERROR(__xludf.DUMMYFUNCTION("""COMPUTED_VALUE"""),45778)</f>
        <v>45778</v>
      </c>
      <c r="Q224" s="3"/>
      <c r="R224" s="3" t="str">
        <f ca="1">IFERROR(__xludf.DUMMYFUNCTION("""COMPUTED_VALUE"""),"Dosen CPNS")</f>
        <v>Dosen CPNS</v>
      </c>
      <c r="S224" s="3" t="str">
        <f ca="1">IFERROR(__xludf.DUMMYFUNCTION("""COMPUTED_VALUE"""),"Calon Dosen")</f>
        <v>Calon Dosen</v>
      </c>
      <c r="T224" s="7">
        <f ca="1">IFERROR(__xludf.DUMMYFUNCTION("""COMPUTED_VALUE"""),45778)</f>
        <v>45778</v>
      </c>
      <c r="U224" s="3" t="str">
        <f ca="1">IFERROR(__xludf.DUMMYFUNCTION("""COMPUTED_VALUE"""),"174318.1/B.II/KP.00.3/04/2025")</f>
        <v>174318.1/B.II/KP.00.3/04/2025</v>
      </c>
      <c r="V224" s="7">
        <f ca="1">IFERROR(__xludf.DUMMYFUNCTION("""COMPUTED_VALUE"""),45777)</f>
        <v>45777</v>
      </c>
      <c r="W224" s="3">
        <f ca="1">IFERROR(__xludf.DUMMYFUNCTION("""COMPUTED_VALUE"""),9)</f>
        <v>9</v>
      </c>
      <c r="X224" s="3"/>
      <c r="Y224" s="3" t="str">
        <f ca="1">IFERROR(__xludf.DUMMYFUNCTION("""COMPUTED_VALUE"""),"S-2")</f>
        <v>S-2</v>
      </c>
      <c r="Z224" s="3" t="str">
        <f ca="1">IFERROR(__xludf.DUMMYFUNCTION("""COMPUTED_VALUE"""),"0 Tahun 8 Bulan 27 Hari")</f>
        <v>0 Tahun 8 Bulan 27 Hari</v>
      </c>
      <c r="AA224" s="8">
        <f ca="1">IFERROR(__xludf.DUMMYFUNCTION("""COMPUTED_VALUE"""),59780)</f>
        <v>59780</v>
      </c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4"/>
      <c r="AR224" s="3"/>
      <c r="AS224" s="4"/>
      <c r="AT224" s="3"/>
      <c r="AU224" s="3"/>
    </row>
    <row r="225" spans="1:47" x14ac:dyDescent="0.2">
      <c r="A225" s="12">
        <v>224</v>
      </c>
      <c r="B225" s="3" t="str">
        <f ca="1">IFERROR(__xludf.DUMMYFUNCTION("""COMPUTED_VALUE"""),"‌Rheza Ega Winastwan")</f>
        <v>‌Rheza Ega Winastwan</v>
      </c>
      <c r="C225" s="3" t="str">
        <f ca="1">IFERROR(__xludf.DUMMYFUNCTION("""COMPUTED_VALUE"""),"Rheza Ega Winastwan, S.IP., M.A.")</f>
        <v>Rheza Ega Winastwan, S.IP., M.A.</v>
      </c>
      <c r="D225" s="3" t="str">
        <f ca="1">IFERROR(__xludf.DUMMYFUNCTION("""COMPUTED_VALUE"""),"Rheza Ega Winastwan, S.IP., M.A.")</f>
        <v>Rheza Ega Winastwan, S.IP., M.A.</v>
      </c>
      <c r="E225" s="3" t="str">
        <f ca="1">IFERROR(__xludf.DUMMYFUNCTION("""COMPUTED_VALUE"""),"199506302025051001")</f>
        <v>199506302025051001</v>
      </c>
      <c r="F225" s="3" t="str">
        <f ca="1">IFERROR(__xludf.DUMMYFUNCTION("""COMPUTED_VALUE"""),"19950630 202505 1 001")</f>
        <v>19950630 202505 1 001</v>
      </c>
      <c r="G225" s="3"/>
      <c r="H225" s="6" t="str">
        <f ca="1">IFERROR(__xludf.DUMMYFUNCTION("""COMPUTED_VALUE"""),"6962773674130262")</f>
        <v>6962773674130262</v>
      </c>
      <c r="I225" s="3" t="str">
        <f ca="1">IFERROR(__xludf.DUMMYFUNCTION("""COMPUTED_VALUE"""),"CPNS")</f>
        <v>CPNS</v>
      </c>
      <c r="J225" s="3" t="str">
        <f ca="1">IFERROR(__xludf.DUMMYFUNCTION("""COMPUTED_VALUE"""),"Dosen CPNS")</f>
        <v>Dosen CPNS</v>
      </c>
      <c r="K225" s="5" t="str">
        <f ca="1">IFERROR(__xludf.DUMMYFUNCTION("""COMPUTED_VALUE"""),"L")</f>
        <v>L</v>
      </c>
      <c r="L225" s="3" t="str">
        <f ca="1">IFERROR(__xludf.DUMMYFUNCTION("""COMPUTED_VALUE"""),"Gresik")</f>
        <v>Gresik</v>
      </c>
      <c r="M225" s="7">
        <f ca="1">IFERROR(__xludf.DUMMYFUNCTION("""COMPUTED_VALUE"""),34880)</f>
        <v>34880</v>
      </c>
      <c r="N225" s="4" t="str">
        <f ca="1">IFERROR(__xludf.DUMMYFUNCTION("""COMPUTED_VALUE"""),"Penata Muda Tk.I")</f>
        <v>Penata Muda Tk.I</v>
      </c>
      <c r="O225" s="3" t="str">
        <f ca="1">IFERROR(__xludf.DUMMYFUNCTION("""COMPUTED_VALUE"""),"III/b")</f>
        <v>III/b</v>
      </c>
      <c r="P225" s="7">
        <f ca="1">IFERROR(__xludf.DUMMYFUNCTION("""COMPUTED_VALUE"""),45778)</f>
        <v>45778</v>
      </c>
      <c r="Q225" s="3"/>
      <c r="R225" s="3" t="str">
        <f ca="1">IFERROR(__xludf.DUMMYFUNCTION("""COMPUTED_VALUE"""),"Dosen CPNS")</f>
        <v>Dosen CPNS</v>
      </c>
      <c r="S225" s="3" t="str">
        <f ca="1">IFERROR(__xludf.DUMMYFUNCTION("""COMPUTED_VALUE"""),"Calon Dosen")</f>
        <v>Calon Dosen</v>
      </c>
      <c r="T225" s="7">
        <f ca="1">IFERROR(__xludf.DUMMYFUNCTION("""COMPUTED_VALUE"""),45778)</f>
        <v>45778</v>
      </c>
      <c r="U225" s="3" t="str">
        <f ca="1">IFERROR(__xludf.DUMMYFUNCTION("""COMPUTED_VALUE"""),"174330.1/B.II/KP.00.3/04/2025")</f>
        <v>174330.1/B.II/KP.00.3/04/2025</v>
      </c>
      <c r="V225" s="7">
        <f ca="1">IFERROR(__xludf.DUMMYFUNCTION("""COMPUTED_VALUE"""),45777)</f>
        <v>45777</v>
      </c>
      <c r="W225" s="3">
        <f ca="1">IFERROR(__xludf.DUMMYFUNCTION("""COMPUTED_VALUE"""),9)</f>
        <v>9</v>
      </c>
      <c r="X225" s="3"/>
      <c r="Y225" s="3" t="str">
        <f ca="1">IFERROR(__xludf.DUMMYFUNCTION("""COMPUTED_VALUE"""),"S-2")</f>
        <v>S-2</v>
      </c>
      <c r="Z225" s="3" t="str">
        <f ca="1">IFERROR(__xludf.DUMMYFUNCTION("""COMPUTED_VALUE"""),"0 Tahun 8 Bulan 27 Hari")</f>
        <v>0 Tahun 8 Bulan 27 Hari</v>
      </c>
      <c r="AA225" s="8">
        <f ca="1">IFERROR(__xludf.DUMMYFUNCTION("""COMPUTED_VALUE"""),58623)</f>
        <v>58623</v>
      </c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4"/>
      <c r="AR225" s="3"/>
      <c r="AS225" s="4"/>
      <c r="AT225" s="3"/>
      <c r="AU225" s="3"/>
    </row>
    <row r="226" spans="1:47" x14ac:dyDescent="0.2">
      <c r="A226" s="12">
        <v>225</v>
      </c>
      <c r="B226" s="3" t="str">
        <f ca="1">IFERROR(__xludf.DUMMYFUNCTION("""COMPUTED_VALUE"""),"‌Annisa Nur Fatwa")</f>
        <v>‌Annisa Nur Fatwa</v>
      </c>
      <c r="C226" s="3" t="str">
        <f ca="1">IFERROR(__xludf.DUMMYFUNCTION("""COMPUTED_VALUE"""),"Annisa Nur Fatwa, S.IP., M.A.")</f>
        <v>Annisa Nur Fatwa, S.IP., M.A.</v>
      </c>
      <c r="D226" s="3" t="str">
        <f ca="1">IFERROR(__xludf.DUMMYFUNCTION("""COMPUTED_VALUE"""),"Annisa Nur Fatwa, S.IP., M.A.")</f>
        <v>Annisa Nur Fatwa, S.IP., M.A.</v>
      </c>
      <c r="E226" s="3" t="str">
        <f ca="1">IFERROR(__xludf.DUMMYFUNCTION("""COMPUTED_VALUE"""),"199607162025052006")</f>
        <v>199607162025052006</v>
      </c>
      <c r="F226" s="3" t="str">
        <f ca="1">IFERROR(__xludf.DUMMYFUNCTION("""COMPUTED_VALUE"""),"19960716 202505 2 006")</f>
        <v>19960716 202505 2 006</v>
      </c>
      <c r="G226" s="3"/>
      <c r="H226" s="6" t="str">
        <f ca="1">IFERROR(__xludf.DUMMYFUNCTION("""COMPUTED_VALUE"""),"5048774675230283")</f>
        <v>5048774675230283</v>
      </c>
      <c r="I226" s="3" t="str">
        <f ca="1">IFERROR(__xludf.DUMMYFUNCTION("""COMPUTED_VALUE"""),"CPNS")</f>
        <v>CPNS</v>
      </c>
      <c r="J226" s="3" t="str">
        <f ca="1">IFERROR(__xludf.DUMMYFUNCTION("""COMPUTED_VALUE"""),"Dosen CPNS")</f>
        <v>Dosen CPNS</v>
      </c>
      <c r="K226" s="5" t="str">
        <f ca="1">IFERROR(__xludf.DUMMYFUNCTION("""COMPUTED_VALUE"""),"P")</f>
        <v>P</v>
      </c>
      <c r="L226" s="3" t="str">
        <f ca="1">IFERROR(__xludf.DUMMYFUNCTION("""COMPUTED_VALUE"""),"Kota Tasikmalaya")</f>
        <v>Kota Tasikmalaya</v>
      </c>
      <c r="M226" s="7">
        <f ca="1">IFERROR(__xludf.DUMMYFUNCTION("""COMPUTED_VALUE"""),35262)</f>
        <v>35262</v>
      </c>
      <c r="N226" s="4" t="str">
        <f ca="1">IFERROR(__xludf.DUMMYFUNCTION("""COMPUTED_VALUE"""),"Penata Muda Tk.I")</f>
        <v>Penata Muda Tk.I</v>
      </c>
      <c r="O226" s="3" t="str">
        <f ca="1">IFERROR(__xludf.DUMMYFUNCTION("""COMPUTED_VALUE"""),"III/b")</f>
        <v>III/b</v>
      </c>
      <c r="P226" s="7">
        <f ca="1">IFERROR(__xludf.DUMMYFUNCTION("""COMPUTED_VALUE"""),45778)</f>
        <v>45778</v>
      </c>
      <c r="Q226" s="3"/>
      <c r="R226" s="3" t="str">
        <f ca="1">IFERROR(__xludf.DUMMYFUNCTION("""COMPUTED_VALUE"""),"Dosen CPNS")</f>
        <v>Dosen CPNS</v>
      </c>
      <c r="S226" s="3" t="str">
        <f ca="1">IFERROR(__xludf.DUMMYFUNCTION("""COMPUTED_VALUE"""),"Calon Dosen")</f>
        <v>Calon Dosen</v>
      </c>
      <c r="T226" s="7">
        <f ca="1">IFERROR(__xludf.DUMMYFUNCTION("""COMPUTED_VALUE"""),45778)</f>
        <v>45778</v>
      </c>
      <c r="U226" s="3" t="str">
        <f ca="1">IFERROR(__xludf.DUMMYFUNCTION("""COMPUTED_VALUE"""),"174319.1/B.II/KP.00.3/04/2025")</f>
        <v>174319.1/B.II/KP.00.3/04/2025</v>
      </c>
      <c r="V226" s="7">
        <f ca="1">IFERROR(__xludf.DUMMYFUNCTION("""COMPUTED_VALUE"""),45777)</f>
        <v>45777</v>
      </c>
      <c r="W226" s="3">
        <f ca="1">IFERROR(__xludf.DUMMYFUNCTION("""COMPUTED_VALUE"""),9)</f>
        <v>9</v>
      </c>
      <c r="X226" s="3"/>
      <c r="Y226" s="3" t="str">
        <f ca="1">IFERROR(__xludf.DUMMYFUNCTION("""COMPUTED_VALUE"""),"S-2")</f>
        <v>S-2</v>
      </c>
      <c r="Z226" s="3" t="str">
        <f ca="1">IFERROR(__xludf.DUMMYFUNCTION("""COMPUTED_VALUE"""),"0 Tahun 8 Bulan 27 Hari")</f>
        <v>0 Tahun 8 Bulan 27 Hari</v>
      </c>
      <c r="AA226" s="8">
        <f ca="1">IFERROR(__xludf.DUMMYFUNCTION("""COMPUTED_VALUE"""),59019)</f>
        <v>59019</v>
      </c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4"/>
      <c r="AR226" s="3"/>
      <c r="AS226" s="4"/>
      <c r="AT226" s="3"/>
      <c r="AU226" s="3"/>
    </row>
    <row r="227" spans="1:47" x14ac:dyDescent="0.2">
      <c r="A227" s="12">
        <v>226</v>
      </c>
      <c r="B227" s="3" t="str">
        <f ca="1">IFERROR(__xludf.DUMMYFUNCTION("""COMPUTED_VALUE"""),"‌Dikdik Garnika")</f>
        <v>‌Dikdik Garnika</v>
      </c>
      <c r="C227" s="3" t="str">
        <f ca="1">IFERROR(__xludf.DUMMYFUNCTION("""COMPUTED_VALUE"""),"Dikdik Garnika, M.Pd.")</f>
        <v>Dikdik Garnika, M.Pd.</v>
      </c>
      <c r="D227" s="3" t="str">
        <f ca="1">IFERROR(__xludf.DUMMYFUNCTION("""COMPUTED_VALUE"""),"Dikdik Garnika, M.Pd.")</f>
        <v>Dikdik Garnika, M.Pd.</v>
      </c>
      <c r="E227" s="3" t="str">
        <f ca="1">IFERROR(__xludf.DUMMYFUNCTION("""COMPUTED_VALUE"""),"199703142025051008")</f>
        <v>199703142025051008</v>
      </c>
      <c r="F227" s="3" t="str">
        <f ca="1">IFERROR(__xludf.DUMMYFUNCTION("""COMPUTED_VALUE"""),"19970314 202505 1 008")</f>
        <v>19970314 202505 1 008</v>
      </c>
      <c r="G227" s="3"/>
      <c r="H227" s="3"/>
      <c r="I227" s="3" t="str">
        <f ca="1">IFERROR(__xludf.DUMMYFUNCTION("""COMPUTED_VALUE"""),"CPNS")</f>
        <v>CPNS</v>
      </c>
      <c r="J227" s="3" t="str">
        <f ca="1">IFERROR(__xludf.DUMMYFUNCTION("""COMPUTED_VALUE"""),"Dosen CPNS")</f>
        <v>Dosen CPNS</v>
      </c>
      <c r="K227" s="5" t="str">
        <f ca="1">IFERROR(__xludf.DUMMYFUNCTION("""COMPUTED_VALUE"""),"L")</f>
        <v>L</v>
      </c>
      <c r="L227" s="3" t="str">
        <f ca="1">IFERROR(__xludf.DUMMYFUNCTION("""COMPUTED_VALUE"""),"Ciamis")</f>
        <v>Ciamis</v>
      </c>
      <c r="M227" s="7">
        <f ca="1">IFERROR(__xludf.DUMMYFUNCTION("""COMPUTED_VALUE"""),35503)</f>
        <v>35503</v>
      </c>
      <c r="N227" s="4" t="str">
        <f ca="1">IFERROR(__xludf.DUMMYFUNCTION("""COMPUTED_VALUE"""),"Penata Muda Tk.I")</f>
        <v>Penata Muda Tk.I</v>
      </c>
      <c r="O227" s="3" t="str">
        <f ca="1">IFERROR(__xludf.DUMMYFUNCTION("""COMPUTED_VALUE"""),"III/b")</f>
        <v>III/b</v>
      </c>
      <c r="P227" s="7">
        <f ca="1">IFERROR(__xludf.DUMMYFUNCTION("""COMPUTED_VALUE"""),45778)</f>
        <v>45778</v>
      </c>
      <c r="Q227" s="3"/>
      <c r="R227" s="3" t="str">
        <f ca="1">IFERROR(__xludf.DUMMYFUNCTION("""COMPUTED_VALUE"""),"Dosen CPNS")</f>
        <v>Dosen CPNS</v>
      </c>
      <c r="S227" s="3" t="str">
        <f ca="1">IFERROR(__xludf.DUMMYFUNCTION("""COMPUTED_VALUE"""),"Calon Dosen")</f>
        <v>Calon Dosen</v>
      </c>
      <c r="T227" s="7">
        <f ca="1">IFERROR(__xludf.DUMMYFUNCTION("""COMPUTED_VALUE"""),45778)</f>
        <v>45778</v>
      </c>
      <c r="U227" s="3" t="str">
        <f ca="1">IFERROR(__xludf.DUMMYFUNCTION("""COMPUTED_VALUE"""),"174323.1/B.II/KP.00.3/04/2025")</f>
        <v>174323.1/B.II/KP.00.3/04/2025</v>
      </c>
      <c r="V227" s="7">
        <f ca="1">IFERROR(__xludf.DUMMYFUNCTION("""COMPUTED_VALUE"""),45777)</f>
        <v>45777</v>
      </c>
      <c r="W227" s="3">
        <f ca="1">IFERROR(__xludf.DUMMYFUNCTION("""COMPUTED_VALUE"""),9)</f>
        <v>9</v>
      </c>
      <c r="X227" s="3"/>
      <c r="Y227" s="3" t="str">
        <f ca="1">IFERROR(__xludf.DUMMYFUNCTION("""COMPUTED_VALUE"""),"S-2")</f>
        <v>S-2</v>
      </c>
      <c r="Z227" s="3" t="str">
        <f ca="1">IFERROR(__xludf.DUMMYFUNCTION("""COMPUTED_VALUE"""),"0 Tahun 8 Bulan 27 Hari")</f>
        <v>0 Tahun 8 Bulan 27 Hari</v>
      </c>
      <c r="AA227" s="8">
        <f ca="1">IFERROR(__xludf.DUMMYFUNCTION("""COMPUTED_VALUE"""),59262)</f>
        <v>59262</v>
      </c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4"/>
      <c r="AR227" s="3"/>
      <c r="AS227" s="4"/>
      <c r="AT227" s="3"/>
      <c r="AU227" s="3"/>
    </row>
    <row r="228" spans="1:47" x14ac:dyDescent="0.2">
      <c r="A228" s="12">
        <v>227</v>
      </c>
      <c r="B228" s="3" t="str">
        <f ca="1">IFERROR(__xludf.DUMMYFUNCTION("""COMPUTED_VALUE"""),"‌Adi Wahyu Candra Kusuma")</f>
        <v>‌Adi Wahyu Candra Kusuma</v>
      </c>
      <c r="C228" s="3" t="str">
        <f ca="1">IFERROR(__xludf.DUMMYFUNCTION("""COMPUTED_VALUE"""),"Adi Wahyu Candra Kusuma, S.Kom., M.T.")</f>
        <v>Adi Wahyu Candra Kusuma, S.Kom., M.T.</v>
      </c>
      <c r="D228" s="3" t="str">
        <f ca="1">IFERROR(__xludf.DUMMYFUNCTION("""COMPUTED_VALUE"""),"Adi Wahyu Candra Kusuma, S.Kom., M.T.")</f>
        <v>Adi Wahyu Candra Kusuma, S.Kom., M.T.</v>
      </c>
      <c r="E228" s="3" t="str">
        <f ca="1">IFERROR(__xludf.DUMMYFUNCTION("""COMPUTED_VALUE"""),"199704022025051001")</f>
        <v>199704022025051001</v>
      </c>
      <c r="F228" s="3" t="str">
        <f ca="1">IFERROR(__xludf.DUMMYFUNCTION("""COMPUTED_VALUE"""),"19970402 202505 1 001")</f>
        <v>19970402 202505 1 001</v>
      </c>
      <c r="G228" s="3"/>
      <c r="H228" s="6" t="str">
        <f ca="1">IFERROR(__xludf.DUMMYFUNCTION("""COMPUTED_VALUE"""),"7734775676130212")</f>
        <v>7734775676130212</v>
      </c>
      <c r="I228" s="3" t="str">
        <f ca="1">IFERROR(__xludf.DUMMYFUNCTION("""COMPUTED_VALUE"""),"CPNS")</f>
        <v>CPNS</v>
      </c>
      <c r="J228" s="3" t="str">
        <f ca="1">IFERROR(__xludf.DUMMYFUNCTION("""COMPUTED_VALUE"""),"Dosen CPNS")</f>
        <v>Dosen CPNS</v>
      </c>
      <c r="K228" s="5" t="str">
        <f ca="1">IFERROR(__xludf.DUMMYFUNCTION("""COMPUTED_VALUE"""),"L")</f>
        <v>L</v>
      </c>
      <c r="L228" s="3" t="str">
        <f ca="1">IFERROR(__xludf.DUMMYFUNCTION("""COMPUTED_VALUE"""),"Kediri")</f>
        <v>Kediri</v>
      </c>
      <c r="M228" s="7">
        <f ca="1">IFERROR(__xludf.DUMMYFUNCTION("""COMPUTED_VALUE"""),35522)</f>
        <v>35522</v>
      </c>
      <c r="N228" s="4" t="str">
        <f ca="1">IFERROR(__xludf.DUMMYFUNCTION("""COMPUTED_VALUE"""),"Penata Muda Tk.I")</f>
        <v>Penata Muda Tk.I</v>
      </c>
      <c r="O228" s="3" t="str">
        <f ca="1">IFERROR(__xludf.DUMMYFUNCTION("""COMPUTED_VALUE"""),"III/b")</f>
        <v>III/b</v>
      </c>
      <c r="P228" s="7">
        <f ca="1">IFERROR(__xludf.DUMMYFUNCTION("""COMPUTED_VALUE"""),45778)</f>
        <v>45778</v>
      </c>
      <c r="Q228" s="3"/>
      <c r="R228" s="3" t="str">
        <f ca="1">IFERROR(__xludf.DUMMYFUNCTION("""COMPUTED_VALUE"""),"Dosen CPNS")</f>
        <v>Dosen CPNS</v>
      </c>
      <c r="S228" s="3" t="str">
        <f ca="1">IFERROR(__xludf.DUMMYFUNCTION("""COMPUTED_VALUE"""),"Calon Dosen")</f>
        <v>Calon Dosen</v>
      </c>
      <c r="T228" s="7">
        <f ca="1">IFERROR(__xludf.DUMMYFUNCTION("""COMPUTED_VALUE"""),45778)</f>
        <v>45778</v>
      </c>
      <c r="U228" s="3" t="str">
        <f ca="1">IFERROR(__xludf.DUMMYFUNCTION("""COMPUTED_VALUE"""),"174317.1/B.II/KP.00.3/04/2025")</f>
        <v>174317.1/B.II/KP.00.3/04/2025</v>
      </c>
      <c r="V228" s="7">
        <f ca="1">IFERROR(__xludf.DUMMYFUNCTION("""COMPUTED_VALUE"""),45777)</f>
        <v>45777</v>
      </c>
      <c r="W228" s="3">
        <f ca="1">IFERROR(__xludf.DUMMYFUNCTION("""COMPUTED_VALUE"""),9)</f>
        <v>9</v>
      </c>
      <c r="X228" s="3"/>
      <c r="Y228" s="3" t="str">
        <f ca="1">IFERROR(__xludf.DUMMYFUNCTION("""COMPUTED_VALUE"""),"S-2")</f>
        <v>S-2</v>
      </c>
      <c r="Z228" s="3" t="str">
        <f ca="1">IFERROR(__xludf.DUMMYFUNCTION("""COMPUTED_VALUE"""),"0 Tahun 8 Bulan 27 Hari")</f>
        <v>0 Tahun 8 Bulan 27 Hari</v>
      </c>
      <c r="AA228" s="8">
        <f ca="1">IFERROR(__xludf.DUMMYFUNCTION("""COMPUTED_VALUE"""),59292)</f>
        <v>59292</v>
      </c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4"/>
      <c r="AR228" s="3"/>
      <c r="AS228" s="4"/>
      <c r="AT228" s="3"/>
      <c r="AU228" s="3"/>
    </row>
    <row r="229" spans="1:47" x14ac:dyDescent="0.2">
      <c r="A229" s="12">
        <v>228</v>
      </c>
      <c r="B229" s="3" t="str">
        <f ca="1">IFERROR(__xludf.DUMMYFUNCTION("""COMPUTED_VALUE"""),"Achmad Djunaidi")</f>
        <v>Achmad Djunaidi</v>
      </c>
      <c r="C229" s="3" t="str">
        <f ca="1">IFERROR(__xludf.DUMMYFUNCTION("""COMPUTED_VALUE"""),"Achmad Djunaidi, S.E., M.Si.")</f>
        <v>Achmad Djunaidi, S.E., M.Si.</v>
      </c>
      <c r="D229" s="3" t="str">
        <f ca="1">IFERROR(__xludf.DUMMYFUNCTION("""COMPUTED_VALUE"""),"Achmad Djunaidi, S.E., M.Si.")</f>
        <v>Achmad Djunaidi, S.E., M.Si.</v>
      </c>
      <c r="E229" s="3" t="str">
        <f ca="1">IFERROR(__xludf.DUMMYFUNCTION("""COMPUTED_VALUE"""),"197002201998031002")</f>
        <v>197002201998031002</v>
      </c>
      <c r="F229" s="3" t="str">
        <f ca="1">IFERROR(__xludf.DUMMYFUNCTION("""COMPUTED_VALUE"""),"19700220 199803 1 002")</f>
        <v>19700220 199803 1 002</v>
      </c>
      <c r="G229" s="3"/>
      <c r="H229" s="3"/>
      <c r="I229" s="3" t="str">
        <f ca="1">IFERROR(__xludf.DUMMYFUNCTION("""COMPUTED_VALUE"""),"PNS")</f>
        <v>PNS</v>
      </c>
      <c r="J229" s="3" t="str">
        <f ca="1">IFERROR(__xludf.DUMMYFUNCTION("""COMPUTED_VALUE"""),"Pegawai PNS")</f>
        <v>Pegawai PNS</v>
      </c>
      <c r="K229" s="5" t="str">
        <f ca="1">IFERROR(__xludf.DUMMYFUNCTION("""COMPUTED_VALUE"""),"L")</f>
        <v>L</v>
      </c>
      <c r="L229" s="3" t="str">
        <f ca="1">IFERROR(__xludf.DUMMYFUNCTION("""COMPUTED_VALUE"""),"Banyumas")</f>
        <v>Banyumas</v>
      </c>
      <c r="M229" s="7">
        <f ca="1">IFERROR(__xludf.DUMMYFUNCTION("""COMPUTED_VALUE"""),25619)</f>
        <v>25619</v>
      </c>
      <c r="N229" s="4" t="str">
        <f ca="1">IFERROR(__xludf.DUMMYFUNCTION("""COMPUTED_VALUE"""),"Pembina Tk.I")</f>
        <v>Pembina Tk.I</v>
      </c>
      <c r="O229" s="3" t="str">
        <f ca="1">IFERROR(__xludf.DUMMYFUNCTION("""COMPUTED_VALUE"""),"IV/b")</f>
        <v>IV/b</v>
      </c>
      <c r="P229" s="7">
        <f ca="1">IFERROR(__xludf.DUMMYFUNCTION("""COMPUTED_VALUE"""),43374)</f>
        <v>43374</v>
      </c>
      <c r="Q229" s="3" t="str">
        <f ca="1">IFERROR(__xludf.DUMMYFUNCTION("""COMPUTED_VALUE"""),"B.II/3/031342")</f>
        <v>B.II/3/031342</v>
      </c>
      <c r="R229" s="3" t="str">
        <f ca="1">IFERROR(__xludf.DUMMYFUNCTION("""COMPUTED_VALUE"""),"Kepala Bagian Tata Usaha")</f>
        <v>Kepala Bagian Tata Usaha</v>
      </c>
      <c r="S229" s="3" t="str">
        <f ca="1">IFERROR(__xludf.DUMMYFUNCTION("""COMPUTED_VALUE"""),"Administrator")</f>
        <v>Administrator</v>
      </c>
      <c r="T229" s="7">
        <f ca="1">IFERROR(__xludf.DUMMYFUNCTION("""COMPUTED_VALUE"""),45481)</f>
        <v>45481</v>
      </c>
      <c r="U229" s="3" t="str">
        <f ca="1">IFERROR(__xludf.DUMMYFUNCTION("""COMPUTED_VALUE"""),"028659/B.II/3/2024")</f>
        <v>028659/B.II/3/2024</v>
      </c>
      <c r="V229" s="3"/>
      <c r="W229" s="3">
        <f ca="1">IFERROR(__xludf.DUMMYFUNCTION("""COMPUTED_VALUE"""),11)</f>
        <v>11</v>
      </c>
      <c r="X229" s="7" t="str">
        <f ca="1">IFERROR(__xludf.DUMMYFUNCTION("""COMPUTED_VALUE"""),"Kepala Bagian Tata Usaha Fakultas Syariah")</f>
        <v>Kepala Bagian Tata Usaha Fakultas Syariah</v>
      </c>
      <c r="Y229" s="3" t="str">
        <f ca="1">IFERROR(__xludf.DUMMYFUNCTION("""COMPUTED_VALUE"""),"S-2")</f>
        <v>S-2</v>
      </c>
      <c r="Z229" s="3" t="str">
        <f ca="1">IFERROR(__xludf.DUMMYFUNCTION("""COMPUTED_VALUE"""),"27 Tahun 10 Bulan 27 Hari")</f>
        <v>27 Tahun 10 Bulan 27 Hari</v>
      </c>
      <c r="AA229" s="8">
        <f ca="1">IFERROR(__xludf.DUMMYFUNCTION("""COMPUTED_VALUE"""),46813)</f>
        <v>46813</v>
      </c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4"/>
      <c r="AR229" s="3"/>
      <c r="AS229" s="4"/>
      <c r="AT229" s="3"/>
      <c r="AU229" s="3"/>
    </row>
    <row r="230" spans="1:47" x14ac:dyDescent="0.2">
      <c r="A230" s="12">
        <v>229</v>
      </c>
      <c r="B230" s="3" t="str">
        <f ca="1">IFERROR(__xludf.DUMMYFUNCTION("""COMPUTED_VALUE"""),"Adi Susanto")</f>
        <v>Adi Susanto</v>
      </c>
      <c r="C230" s="3" t="str">
        <f ca="1">IFERROR(__xludf.DUMMYFUNCTION("""COMPUTED_VALUE"""),"Adi Susanto, A.Md.Kom.")</f>
        <v>Adi Susanto, A.Md.Kom.</v>
      </c>
      <c r="D230" s="3" t="str">
        <f ca="1">IFERROR(__xludf.DUMMYFUNCTION("""COMPUTED_VALUE"""),"Adi Susanto, A.Md.Kom.")</f>
        <v>Adi Susanto, A.Md.Kom.</v>
      </c>
      <c r="E230" s="3" t="str">
        <f ca="1">IFERROR(__xludf.DUMMYFUNCTION("""COMPUTED_VALUE"""),"197109092005011004")</f>
        <v>197109092005011004</v>
      </c>
      <c r="F230" s="3" t="str">
        <f ca="1">IFERROR(__xludf.DUMMYFUNCTION("""COMPUTED_VALUE"""),"19710909 200501 1 004")</f>
        <v>19710909 200501 1 004</v>
      </c>
      <c r="G230" s="3"/>
      <c r="H230" s="3"/>
      <c r="I230" s="3" t="str">
        <f ca="1">IFERROR(__xludf.DUMMYFUNCTION("""COMPUTED_VALUE"""),"PNS")</f>
        <v>PNS</v>
      </c>
      <c r="J230" s="3" t="str">
        <f ca="1">IFERROR(__xludf.DUMMYFUNCTION("""COMPUTED_VALUE"""),"Pegawai PNS")</f>
        <v>Pegawai PNS</v>
      </c>
      <c r="K230" s="5" t="str">
        <f ca="1">IFERROR(__xludf.DUMMYFUNCTION("""COMPUTED_VALUE"""),"L")</f>
        <v>L</v>
      </c>
      <c r="L230" s="3" t="str">
        <f ca="1">IFERROR(__xludf.DUMMYFUNCTION("""COMPUTED_VALUE"""),"Banjarnegara")</f>
        <v>Banjarnegara</v>
      </c>
      <c r="M230" s="7">
        <f ca="1">IFERROR(__xludf.DUMMYFUNCTION("""COMPUTED_VALUE"""),26185)</f>
        <v>26185</v>
      </c>
      <c r="N230" s="4" t="str">
        <f ca="1">IFERROR(__xludf.DUMMYFUNCTION("""COMPUTED_VALUE"""),"Penata")</f>
        <v>Penata</v>
      </c>
      <c r="O230" s="3" t="str">
        <f ca="1">IFERROR(__xludf.DUMMYFUNCTION("""COMPUTED_VALUE"""),"III/c")</f>
        <v>III/c</v>
      </c>
      <c r="P230" s="7">
        <f ca="1">IFERROR(__xludf.DUMMYFUNCTION("""COMPUTED_VALUE"""),44652)</f>
        <v>44652</v>
      </c>
      <c r="Q230" s="3" t="str">
        <f ca="1">IFERROR(__xludf.DUMMYFUNCTION("""COMPUTED_VALUE"""),"1091/Un.19/R/KP.07.2/04/2022")</f>
        <v>1091/Un.19/R/KP.07.2/04/2022</v>
      </c>
      <c r="R230" s="3" t="str">
        <f ca="1">IFERROR(__xludf.DUMMYFUNCTION("""COMPUTED_VALUE"""),"Pengelola Layanan Operasional")</f>
        <v>Pengelola Layanan Operasional</v>
      </c>
      <c r="S230" s="3" t="str">
        <f ca="1">IFERROR(__xludf.DUMMYFUNCTION("""COMPUTED_VALUE"""),"Pelaksana")</f>
        <v>Pelaksana</v>
      </c>
      <c r="T230" s="7">
        <f ca="1">IFERROR(__xludf.DUMMYFUNCTION("""COMPUTED_VALUE"""),45842)</f>
        <v>45842</v>
      </c>
      <c r="U230" s="3" t="str">
        <f ca="1">IFERROR(__xludf.DUMMYFUNCTION("""COMPUTED_VALUE"""),"192026/B.II/KP.07/07/2025")</f>
        <v>192026/B.II/KP.07/07/2025</v>
      </c>
      <c r="V230" s="7">
        <f ca="1">IFERROR(__xludf.DUMMYFUNCTION("""COMPUTED_VALUE"""),45842)</f>
        <v>45842</v>
      </c>
      <c r="W230" s="3">
        <f ca="1">IFERROR(__xludf.DUMMYFUNCTION("""COMPUTED_VALUE"""),6)</f>
        <v>6</v>
      </c>
      <c r="X230" s="3"/>
      <c r="Y230" s="3" t="str">
        <f ca="1">IFERROR(__xludf.DUMMYFUNCTION("""COMPUTED_VALUE"""),"D-3")</f>
        <v>D-3</v>
      </c>
      <c r="Z230" s="3" t="str">
        <f ca="1">IFERROR(__xludf.DUMMYFUNCTION("""COMPUTED_VALUE"""),"21 Tahun 0 Bulan 27 Hari")</f>
        <v>21 Tahun 0 Bulan 27 Hari</v>
      </c>
      <c r="AA230" s="8">
        <f ca="1">IFERROR(__xludf.DUMMYFUNCTION("""COMPUTED_VALUE"""),47392)</f>
        <v>47392</v>
      </c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4"/>
      <c r="AR230" s="3"/>
      <c r="AS230" s="4"/>
      <c r="AT230" s="3"/>
      <c r="AU230" s="3"/>
    </row>
    <row r="231" spans="1:47" x14ac:dyDescent="0.2">
      <c r="A231" s="12">
        <v>230</v>
      </c>
      <c r="B231" s="3" t="str">
        <f ca="1">IFERROR(__xludf.DUMMYFUNCTION("""COMPUTED_VALUE"""),"Aditya Yanugraha")</f>
        <v>Aditya Yanugraha</v>
      </c>
      <c r="C231" s="3" t="str">
        <f ca="1">IFERROR(__xludf.DUMMYFUNCTION("""COMPUTED_VALUE"""),"Aditya Yanugraha, S.E.")</f>
        <v>Aditya Yanugraha, S.E.</v>
      </c>
      <c r="D231" s="3" t="str">
        <f ca="1">IFERROR(__xludf.DUMMYFUNCTION("""COMPUTED_VALUE"""),"Aditya Yanugraha, S.E.")</f>
        <v>Aditya Yanugraha, S.E.</v>
      </c>
      <c r="E231" s="3" t="str">
        <f ca="1">IFERROR(__xludf.DUMMYFUNCTION("""COMPUTED_VALUE"""),"198701212008121001")</f>
        <v>198701212008121001</v>
      </c>
      <c r="F231" s="3" t="str">
        <f ca="1">IFERROR(__xludf.DUMMYFUNCTION("""COMPUTED_VALUE"""),"19870121 200812 1 001")</f>
        <v>19870121 200812 1 001</v>
      </c>
      <c r="G231" s="3"/>
      <c r="H231" s="3"/>
      <c r="I231" s="3" t="str">
        <f ca="1">IFERROR(__xludf.DUMMYFUNCTION("""COMPUTED_VALUE"""),"PNS")</f>
        <v>PNS</v>
      </c>
      <c r="J231" s="3" t="str">
        <f ca="1">IFERROR(__xludf.DUMMYFUNCTION("""COMPUTED_VALUE"""),"Pegawai PNS")</f>
        <v>Pegawai PNS</v>
      </c>
      <c r="K231" s="5" t="str">
        <f ca="1">IFERROR(__xludf.DUMMYFUNCTION("""COMPUTED_VALUE"""),"L")</f>
        <v>L</v>
      </c>
      <c r="L231" s="3" t="str">
        <f ca="1">IFERROR(__xludf.DUMMYFUNCTION("""COMPUTED_VALUE"""),"Purbalingga")</f>
        <v>Purbalingga</v>
      </c>
      <c r="M231" s="7">
        <f ca="1">IFERROR(__xludf.DUMMYFUNCTION("""COMPUTED_VALUE"""),31798)</f>
        <v>31798</v>
      </c>
      <c r="N231" s="4" t="str">
        <f ca="1">IFERROR(__xludf.DUMMYFUNCTION("""COMPUTED_VALUE"""),"Penata Tk.I")</f>
        <v>Penata Tk.I</v>
      </c>
      <c r="O231" s="3" t="str">
        <f ca="1">IFERROR(__xludf.DUMMYFUNCTION("""COMPUTED_VALUE"""),"III/d")</f>
        <v>III/d</v>
      </c>
      <c r="P231" s="7">
        <f ca="1">IFERROR(__xludf.DUMMYFUNCTION("""COMPUTED_VALUE"""),44287)</f>
        <v>44287</v>
      </c>
      <c r="Q231" s="3" t="str">
        <f ca="1">IFERROR(__xludf.DUMMYFUNCTION("""COMPUTED_VALUE"""),"21318/B.II/3/2021")</f>
        <v>21318/B.II/3/2021</v>
      </c>
      <c r="R231" s="3" t="str">
        <f ca="1">IFERROR(__xludf.DUMMYFUNCTION("""COMPUTED_VALUE"""),"Analis Pengelolaan Keuangan APBN")</f>
        <v>Analis Pengelolaan Keuangan APBN</v>
      </c>
      <c r="S231" s="3" t="str">
        <f ca="1">IFERROR(__xludf.DUMMYFUNCTION("""COMPUTED_VALUE"""),"Ahli Pertama")</f>
        <v>Ahli Pertama</v>
      </c>
      <c r="T231" s="7">
        <f ca="1">IFERROR(__xludf.DUMMYFUNCTION("""COMPUTED_VALUE"""),45536)</f>
        <v>45536</v>
      </c>
      <c r="U231" s="3" t="str">
        <f ca="1">IFERROR(__xludf.DUMMYFUNCTION("""COMPUTED_VALUE"""),"035238/B.II/KP.07.6/08/2024")</f>
        <v>035238/B.II/KP.07.6/08/2024</v>
      </c>
      <c r="V231" s="7">
        <f ca="1">IFERROR(__xludf.DUMMYFUNCTION("""COMPUTED_VALUE"""),45536)</f>
        <v>45536</v>
      </c>
      <c r="W231" s="3">
        <f ca="1">IFERROR(__xludf.DUMMYFUNCTION("""COMPUTED_VALUE"""),8)</f>
        <v>8</v>
      </c>
      <c r="X231" s="3"/>
      <c r="Y231" s="3" t="str">
        <f ca="1">IFERROR(__xludf.DUMMYFUNCTION("""COMPUTED_VALUE"""),"S-1")</f>
        <v>S-1</v>
      </c>
      <c r="Z231" s="3" t="str">
        <f ca="1">IFERROR(__xludf.DUMMYFUNCTION("""COMPUTED_VALUE"""),"18 Tahun 0 Bulan 27 Hari")</f>
        <v>18 Tahun 0 Bulan 27 Hari</v>
      </c>
      <c r="AA231" s="8">
        <f ca="1">IFERROR(__xludf.DUMMYFUNCTION("""COMPUTED_VALUE"""),52994)</f>
        <v>52994</v>
      </c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4"/>
      <c r="AR231" s="3"/>
      <c r="AS231" s="4"/>
      <c r="AT231" s="3"/>
      <c r="AU231" s="3"/>
    </row>
    <row r="232" spans="1:47" x14ac:dyDescent="0.2">
      <c r="A232" s="12">
        <v>231</v>
      </c>
      <c r="B232" s="3" t="str">
        <f ca="1">IFERROR(__xludf.DUMMYFUNCTION("""COMPUTED_VALUE"""),"Akhmad Purdianto")</f>
        <v>Akhmad Purdianto</v>
      </c>
      <c r="C232" s="3" t="str">
        <f ca="1">IFERROR(__xludf.DUMMYFUNCTION("""COMPUTED_VALUE"""),"Akhmad Purdianto, S.Kom.")</f>
        <v>Akhmad Purdianto, S.Kom.</v>
      </c>
      <c r="D232" s="3" t="str">
        <f ca="1">IFERROR(__xludf.DUMMYFUNCTION("""COMPUTED_VALUE"""),"Akhmad Purdianto, S.Kom.")</f>
        <v>Akhmad Purdianto, S.Kom.</v>
      </c>
      <c r="E232" s="3" t="str">
        <f ca="1">IFERROR(__xludf.DUMMYFUNCTION("""COMPUTED_VALUE"""),"198106042011011006")</f>
        <v>198106042011011006</v>
      </c>
      <c r="F232" s="3" t="str">
        <f ca="1">IFERROR(__xludf.DUMMYFUNCTION("""COMPUTED_VALUE"""),"19810604 201101 1 006")</f>
        <v>19810604 201101 1 006</v>
      </c>
      <c r="G232" s="3"/>
      <c r="H232" s="3"/>
      <c r="I232" s="3" t="str">
        <f ca="1">IFERROR(__xludf.DUMMYFUNCTION("""COMPUTED_VALUE"""),"PNS")</f>
        <v>PNS</v>
      </c>
      <c r="J232" s="3" t="str">
        <f ca="1">IFERROR(__xludf.DUMMYFUNCTION("""COMPUTED_VALUE"""),"Pegawai PNS")</f>
        <v>Pegawai PNS</v>
      </c>
      <c r="K232" s="5" t="str">
        <f ca="1">IFERROR(__xludf.DUMMYFUNCTION("""COMPUTED_VALUE"""),"L")</f>
        <v>L</v>
      </c>
      <c r="L232" s="3" t="str">
        <f ca="1">IFERROR(__xludf.DUMMYFUNCTION("""COMPUTED_VALUE"""),"Banyumas")</f>
        <v>Banyumas</v>
      </c>
      <c r="M232" s="7">
        <f ca="1">IFERROR(__xludf.DUMMYFUNCTION("""COMPUTED_VALUE"""),29741)</f>
        <v>29741</v>
      </c>
      <c r="N232" s="4" t="str">
        <f ca="1">IFERROR(__xludf.DUMMYFUNCTION("""COMPUTED_VALUE"""),"Penata Muda Tk.I")</f>
        <v>Penata Muda Tk.I</v>
      </c>
      <c r="O232" s="3" t="str">
        <f ca="1">IFERROR(__xludf.DUMMYFUNCTION("""COMPUTED_VALUE"""),"III/b")</f>
        <v>III/b</v>
      </c>
      <c r="P232" s="7">
        <f ca="1">IFERROR(__xludf.DUMMYFUNCTION("""COMPUTED_VALUE"""),42095)</f>
        <v>42095</v>
      </c>
      <c r="Q232" s="3" t="str">
        <f ca="1">IFERROR(__xludf.DUMMYFUNCTION("""COMPUTED_VALUE"""),"In.06.1/R/KP.07.1/1517/2015")</f>
        <v>In.06.1/R/KP.07.1/1517/2015</v>
      </c>
      <c r="R232" s="3" t="str">
        <f ca="1">IFERROR(__xludf.DUMMYFUNCTION("""COMPUTED_VALUE"""),"Pranata Komputer")</f>
        <v>Pranata Komputer</v>
      </c>
      <c r="S232" s="3" t="str">
        <f ca="1">IFERROR(__xludf.DUMMYFUNCTION("""COMPUTED_VALUE"""),"Ahli Pertama")</f>
        <v>Ahli Pertama</v>
      </c>
      <c r="T232" s="7">
        <f ca="1">IFERROR(__xludf.DUMMYFUNCTION("""COMPUTED_VALUE"""),43160)</f>
        <v>43160</v>
      </c>
      <c r="U232" s="3" t="str">
        <f ca="1">IFERROR(__xludf.DUMMYFUNCTION("""COMPUTED_VALUE"""),"B.II/3/04101")</f>
        <v>B.II/3/04101</v>
      </c>
      <c r="V232" s="7">
        <f ca="1">IFERROR(__xludf.DUMMYFUNCTION("""COMPUTED_VALUE"""),43160)</f>
        <v>43160</v>
      </c>
      <c r="W232" s="3">
        <f ca="1">IFERROR(__xludf.DUMMYFUNCTION("""COMPUTED_VALUE"""),8)</f>
        <v>8</v>
      </c>
      <c r="X232" s="3"/>
      <c r="Y232" s="3" t="str">
        <f ca="1">IFERROR(__xludf.DUMMYFUNCTION("""COMPUTED_VALUE"""),"S-1")</f>
        <v>S-1</v>
      </c>
      <c r="Z232" s="3" t="str">
        <f ca="1">IFERROR(__xludf.DUMMYFUNCTION("""COMPUTED_VALUE"""),"15 Tahun 0 Bulan 27 Hari")</f>
        <v>15 Tahun 0 Bulan 27 Hari</v>
      </c>
      <c r="AA232" s="8">
        <f ca="1">IFERROR(__xludf.DUMMYFUNCTION("""COMPUTED_VALUE"""),50952)</f>
        <v>50952</v>
      </c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4"/>
      <c r="AR232" s="3"/>
      <c r="AS232" s="4"/>
      <c r="AT232" s="3"/>
      <c r="AU232" s="3"/>
    </row>
    <row r="233" spans="1:47" x14ac:dyDescent="0.2">
      <c r="A233" s="12">
        <v>232</v>
      </c>
      <c r="B233" s="3" t="str">
        <f ca="1">IFERROR(__xludf.DUMMYFUNCTION("""COMPUTED_VALUE"""),"Ali Faizin")</f>
        <v>Ali Faizin</v>
      </c>
      <c r="C233" s="3" t="str">
        <f ca="1">IFERROR(__xludf.DUMMYFUNCTION("""COMPUTED_VALUE"""),"Ali Faizin, S.Sos.")</f>
        <v>Ali Faizin, S.Sos.</v>
      </c>
      <c r="D233" s="3" t="str">
        <f ca="1">IFERROR(__xludf.DUMMYFUNCTION("""COMPUTED_VALUE"""),"Ali Faizin, S.Sos.")</f>
        <v>Ali Faizin, S.Sos.</v>
      </c>
      <c r="E233" s="3" t="str">
        <f ca="1">IFERROR(__xludf.DUMMYFUNCTION("""COMPUTED_VALUE"""),"198208212003121003")</f>
        <v>198208212003121003</v>
      </c>
      <c r="F233" s="3" t="str">
        <f ca="1">IFERROR(__xludf.DUMMYFUNCTION("""COMPUTED_VALUE"""),"19820821 200312 1 003")</f>
        <v>19820821 200312 1 003</v>
      </c>
      <c r="G233" s="3"/>
      <c r="H233" s="3"/>
      <c r="I233" s="3" t="str">
        <f ca="1">IFERROR(__xludf.DUMMYFUNCTION("""COMPUTED_VALUE"""),"PNS")</f>
        <v>PNS</v>
      </c>
      <c r="J233" s="3" t="str">
        <f ca="1">IFERROR(__xludf.DUMMYFUNCTION("""COMPUTED_VALUE"""),"Pegawai PNS")</f>
        <v>Pegawai PNS</v>
      </c>
      <c r="K233" s="5" t="str">
        <f ca="1">IFERROR(__xludf.DUMMYFUNCTION("""COMPUTED_VALUE"""),"L")</f>
        <v>L</v>
      </c>
      <c r="L233" s="3" t="str">
        <f ca="1">IFERROR(__xludf.DUMMYFUNCTION("""COMPUTED_VALUE"""),"Brebes")</f>
        <v>Brebes</v>
      </c>
      <c r="M233" s="7">
        <f ca="1">IFERROR(__xludf.DUMMYFUNCTION("""COMPUTED_VALUE"""),30184)</f>
        <v>30184</v>
      </c>
      <c r="N233" s="4" t="str">
        <f ca="1">IFERROR(__xludf.DUMMYFUNCTION("""COMPUTED_VALUE"""),"Penata")</f>
        <v>Penata</v>
      </c>
      <c r="O233" s="3" t="str">
        <f ca="1">IFERROR(__xludf.DUMMYFUNCTION("""COMPUTED_VALUE"""),"III/c")</f>
        <v>III/c</v>
      </c>
      <c r="P233" s="7">
        <f ca="1">IFERROR(__xludf.DUMMYFUNCTION("""COMPUTED_VALUE"""),44652)</f>
        <v>44652</v>
      </c>
      <c r="Q233" s="3" t="str">
        <f ca="1">IFERROR(__xludf.DUMMYFUNCTION("""COMPUTED_VALUE"""),"1095/Un.19/R/KP.07.2/04/2022")</f>
        <v>1095/Un.19/R/KP.07.2/04/2022</v>
      </c>
      <c r="R233" s="3" t="str">
        <f ca="1">IFERROR(__xludf.DUMMYFUNCTION("""COMPUTED_VALUE"""),"Penelaah Teknis Kebijakan")</f>
        <v>Penelaah Teknis Kebijakan</v>
      </c>
      <c r="S233" s="3" t="str">
        <f ca="1">IFERROR(__xludf.DUMMYFUNCTION("""COMPUTED_VALUE"""),"Pelaksana")</f>
        <v>Pelaksana</v>
      </c>
      <c r="T233" s="7">
        <f ca="1">IFERROR(__xludf.DUMMYFUNCTION("""COMPUTED_VALUE"""),45842)</f>
        <v>45842</v>
      </c>
      <c r="U233" s="3" t="str">
        <f ca="1">IFERROR(__xludf.DUMMYFUNCTION("""COMPUTED_VALUE"""),"192043/B.II/KP.07/07/2025")</f>
        <v>192043/B.II/KP.07/07/2025</v>
      </c>
      <c r="V233" s="7">
        <f ca="1">IFERROR(__xludf.DUMMYFUNCTION("""COMPUTED_VALUE"""),45842)</f>
        <v>45842</v>
      </c>
      <c r="W233" s="3">
        <f ca="1">IFERROR(__xludf.DUMMYFUNCTION("""COMPUTED_VALUE"""),7)</f>
        <v>7</v>
      </c>
      <c r="X233" s="3"/>
      <c r="Y233" s="3" t="str">
        <f ca="1">IFERROR(__xludf.DUMMYFUNCTION("""COMPUTED_VALUE"""),"S-1")</f>
        <v>S-1</v>
      </c>
      <c r="Z233" s="3" t="str">
        <f ca="1">IFERROR(__xludf.DUMMYFUNCTION("""COMPUTED_VALUE"""),"22 Tahun 1 Bulan 27 Hari")</f>
        <v>22 Tahun 1 Bulan 27 Hari</v>
      </c>
      <c r="AA233" s="8">
        <f ca="1">IFERROR(__xludf.DUMMYFUNCTION("""COMPUTED_VALUE"""),51380)</f>
        <v>51380</v>
      </c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4"/>
      <c r="AR233" s="3"/>
      <c r="AS233" s="4"/>
      <c r="AT233" s="3"/>
      <c r="AU233" s="3"/>
    </row>
    <row r="234" spans="1:47" x14ac:dyDescent="0.2">
      <c r="A234" s="12">
        <v>233</v>
      </c>
      <c r="B234" s="3" t="str">
        <f ca="1">IFERROR(__xludf.DUMMYFUNCTION("""COMPUTED_VALUE"""),"Amin Saifoelah")</f>
        <v>Amin Saifoelah</v>
      </c>
      <c r="C234" s="3" t="str">
        <f ca="1">IFERROR(__xludf.DUMMYFUNCTION("""COMPUTED_VALUE"""),"Amin Saifoelah")</f>
        <v>Amin Saifoelah</v>
      </c>
      <c r="D234" s="3" t="str">
        <f ca="1">IFERROR(__xludf.DUMMYFUNCTION("""COMPUTED_VALUE"""),"Amin Saifoelah")</f>
        <v>Amin Saifoelah</v>
      </c>
      <c r="E234" s="3" t="str">
        <f ca="1">IFERROR(__xludf.DUMMYFUNCTION("""COMPUTED_VALUE"""),"198107092007101002")</f>
        <v>198107092007101002</v>
      </c>
      <c r="F234" s="3" t="str">
        <f ca="1">IFERROR(__xludf.DUMMYFUNCTION("""COMPUTED_VALUE"""),"19810709 200710 1 002")</f>
        <v>19810709 200710 1 002</v>
      </c>
      <c r="G234" s="3"/>
      <c r="H234" s="3"/>
      <c r="I234" s="3" t="str">
        <f ca="1">IFERROR(__xludf.DUMMYFUNCTION("""COMPUTED_VALUE"""),"PNS")</f>
        <v>PNS</v>
      </c>
      <c r="J234" s="3" t="str">
        <f ca="1">IFERROR(__xludf.DUMMYFUNCTION("""COMPUTED_VALUE"""),"Pegawai PNS")</f>
        <v>Pegawai PNS</v>
      </c>
      <c r="K234" s="5" t="str">
        <f ca="1">IFERROR(__xludf.DUMMYFUNCTION("""COMPUTED_VALUE"""),"L")</f>
        <v>L</v>
      </c>
      <c r="L234" s="3" t="str">
        <f ca="1">IFERROR(__xludf.DUMMYFUNCTION("""COMPUTED_VALUE"""),"Purwokerto")</f>
        <v>Purwokerto</v>
      </c>
      <c r="M234" s="7">
        <f ca="1">IFERROR(__xludf.DUMMYFUNCTION("""COMPUTED_VALUE"""),29776)</f>
        <v>29776</v>
      </c>
      <c r="N234" s="4" t="str">
        <f ca="1">IFERROR(__xludf.DUMMYFUNCTION("""COMPUTED_VALUE"""),"Penata Muda")</f>
        <v>Penata Muda</v>
      </c>
      <c r="O234" s="3" t="str">
        <f ca="1">IFERROR(__xludf.DUMMYFUNCTION("""COMPUTED_VALUE"""),"III/a")</f>
        <v>III/a</v>
      </c>
      <c r="P234" s="7">
        <f ca="1">IFERROR(__xludf.DUMMYFUNCTION("""COMPUTED_VALUE"""),45200)</f>
        <v>45200</v>
      </c>
      <c r="Q234" s="3" t="str">
        <f ca="1">IFERROR(__xludf.DUMMYFUNCTION("""COMPUTED_VALUE"""),"1100/Un.19/K.AUPK/KP.07.1/08/2023")</f>
        <v>1100/Un.19/K.AUPK/KP.07.1/08/2023</v>
      </c>
      <c r="R234" s="3" t="str">
        <f ca="1">IFERROR(__xludf.DUMMYFUNCTION("""COMPUTED_VALUE"""),"‌Pengadministrasi Perkantoran")</f>
        <v>‌Pengadministrasi Perkantoran</v>
      </c>
      <c r="S234" s="3" t="str">
        <f ca="1">IFERROR(__xludf.DUMMYFUNCTION("""COMPUTED_VALUE"""),"Pelaksana")</f>
        <v>Pelaksana</v>
      </c>
      <c r="T234" s="7">
        <f ca="1">IFERROR(__xludf.DUMMYFUNCTION("""COMPUTED_VALUE"""),45842)</f>
        <v>45842</v>
      </c>
      <c r="U234" s="3" t="str">
        <f ca="1">IFERROR(__xludf.DUMMYFUNCTION("""COMPUTED_VALUE"""),"192041/B.II/KP.07/07/2025")</f>
        <v>192041/B.II/KP.07/07/2025</v>
      </c>
      <c r="V234" s="7">
        <f ca="1">IFERROR(__xludf.DUMMYFUNCTION("""COMPUTED_VALUE"""),45842)</f>
        <v>45842</v>
      </c>
      <c r="W234" s="3">
        <f ca="1">IFERROR(__xludf.DUMMYFUNCTION("""COMPUTED_VALUE"""),5)</f>
        <v>5</v>
      </c>
      <c r="X234" s="3"/>
      <c r="Y234" s="3" t="str">
        <f ca="1">IFERROR(__xludf.DUMMYFUNCTION("""COMPUTED_VALUE"""),"SMK")</f>
        <v>SMK</v>
      </c>
      <c r="Z234" s="3" t="str">
        <f ca="1">IFERROR(__xludf.DUMMYFUNCTION("""COMPUTED_VALUE"""),"18 Tahun 3 Bulan 27 Hari")</f>
        <v>18 Tahun 3 Bulan 27 Hari</v>
      </c>
      <c r="AA234" s="8">
        <f ca="1">IFERROR(__xludf.DUMMYFUNCTION("""COMPUTED_VALUE"""),50983)</f>
        <v>50983</v>
      </c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4"/>
      <c r="AR234" s="3"/>
      <c r="AS234" s="4"/>
      <c r="AT234" s="3"/>
      <c r="AU234" s="3"/>
    </row>
    <row r="235" spans="1:47" x14ac:dyDescent="0.2">
      <c r="A235" s="12">
        <v>234</v>
      </c>
      <c r="B235" s="3" t="str">
        <f ca="1">IFERROR(__xludf.DUMMYFUNCTION("""COMPUTED_VALUE"""),"Anjar Anjani Putra")</f>
        <v>Anjar Anjani Putra</v>
      </c>
      <c r="C235" s="3" t="str">
        <f ca="1">IFERROR(__xludf.DUMMYFUNCTION("""COMPUTED_VALUE"""),"Anjar Anjani Putra, S.Kom., M.Kom.")</f>
        <v>Anjar Anjani Putra, S.Kom., M.Kom.</v>
      </c>
      <c r="D235" s="3" t="str">
        <f ca="1">IFERROR(__xludf.DUMMYFUNCTION("""COMPUTED_VALUE"""),"Anjar Anjani Putra, S.Kom., M.Kom.")</f>
        <v>Anjar Anjani Putra, S.Kom., M.Kom.</v>
      </c>
      <c r="E235" s="3" t="str">
        <f ca="1">IFERROR(__xludf.DUMMYFUNCTION("""COMPUTED_VALUE"""),"198202022009011016")</f>
        <v>198202022009011016</v>
      </c>
      <c r="F235" s="3" t="str">
        <f ca="1">IFERROR(__xludf.DUMMYFUNCTION("""COMPUTED_VALUE"""),"19820202 200901 1 016")</f>
        <v>19820202 200901 1 016</v>
      </c>
      <c r="G235" s="3"/>
      <c r="H235" s="3"/>
      <c r="I235" s="3" t="str">
        <f ca="1">IFERROR(__xludf.DUMMYFUNCTION("""COMPUTED_VALUE"""),"PNS")</f>
        <v>PNS</v>
      </c>
      <c r="J235" s="3" t="str">
        <f ca="1">IFERROR(__xludf.DUMMYFUNCTION("""COMPUTED_VALUE"""),"Pegawai PNS")</f>
        <v>Pegawai PNS</v>
      </c>
      <c r="K235" s="5" t="str">
        <f ca="1">IFERROR(__xludf.DUMMYFUNCTION("""COMPUTED_VALUE"""),"L")</f>
        <v>L</v>
      </c>
      <c r="L235" s="3" t="str">
        <f ca="1">IFERROR(__xludf.DUMMYFUNCTION("""COMPUTED_VALUE"""),"Banyumas")</f>
        <v>Banyumas</v>
      </c>
      <c r="M235" s="7">
        <f ca="1">IFERROR(__xludf.DUMMYFUNCTION("""COMPUTED_VALUE"""),29984)</f>
        <v>29984</v>
      </c>
      <c r="N235" s="4" t="str">
        <f ca="1">IFERROR(__xludf.DUMMYFUNCTION("""COMPUTED_VALUE"""),"Penata")</f>
        <v>Penata</v>
      </c>
      <c r="O235" s="3" t="str">
        <f ca="1">IFERROR(__xludf.DUMMYFUNCTION("""COMPUTED_VALUE"""),"III/c")</f>
        <v>III/c</v>
      </c>
      <c r="P235" s="7">
        <f ca="1">IFERROR(__xludf.DUMMYFUNCTION("""COMPUTED_VALUE"""),45566)</f>
        <v>45566</v>
      </c>
      <c r="Q235" s="3" t="str">
        <f ca="1">IFERROR(__xludf.DUMMYFUNCTION("""COMPUTED_VALUE"""),"842/Un.19/K.AUPK/KP.07.1/08/2024")</f>
        <v>842/Un.19/K.AUPK/KP.07.1/08/2024</v>
      </c>
      <c r="R235" s="3" t="str">
        <f ca="1">IFERROR(__xludf.DUMMYFUNCTION("""COMPUTED_VALUE"""),"Pranata Komputer")</f>
        <v>Pranata Komputer</v>
      </c>
      <c r="S235" s="3" t="str">
        <f ca="1">IFERROR(__xludf.DUMMYFUNCTION("""COMPUTED_VALUE"""),"Ahli Muda")</f>
        <v>Ahli Muda</v>
      </c>
      <c r="T235" s="7">
        <f ca="1">IFERROR(__xludf.DUMMYFUNCTION("""COMPUTED_VALUE"""),45505)</f>
        <v>45505</v>
      </c>
      <c r="U235" s="3" t="str">
        <f ca="1">IFERROR(__xludf.DUMMYFUNCTION("""COMPUTED_VALUE"""),"794/Un.19/K.AUPK/KP.07.1/07/2024")</f>
        <v>794/Un.19/K.AUPK/KP.07.1/07/2024</v>
      </c>
      <c r="V235" s="7">
        <f ca="1">IFERROR(__xludf.DUMMYFUNCTION("""COMPUTED_VALUE"""),45502)</f>
        <v>45502</v>
      </c>
      <c r="W235" s="3">
        <f ca="1">IFERROR(__xludf.DUMMYFUNCTION("""COMPUTED_VALUE"""),9)</f>
        <v>9</v>
      </c>
      <c r="X235" s="3"/>
      <c r="Y235" s="3" t="str">
        <f ca="1">IFERROR(__xludf.DUMMYFUNCTION("""COMPUTED_VALUE"""),"S-2")</f>
        <v>S-2</v>
      </c>
      <c r="Z235" s="3" t="str">
        <f ca="1">IFERROR(__xludf.DUMMYFUNCTION("""COMPUTED_VALUE"""),"17 Tahun 0 Bulan 27 Hari")</f>
        <v>17 Tahun 0 Bulan 27 Hari</v>
      </c>
      <c r="AA235" s="8">
        <f ca="1">IFERROR(__xludf.DUMMYFUNCTION("""COMPUTED_VALUE"""),51196)</f>
        <v>51196</v>
      </c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4"/>
      <c r="AR235" s="3"/>
      <c r="AS235" s="4"/>
      <c r="AT235" s="3"/>
      <c r="AU235" s="3"/>
    </row>
    <row r="236" spans="1:47" x14ac:dyDescent="0.2">
      <c r="A236" s="12">
        <v>235</v>
      </c>
      <c r="B236" s="3" t="str">
        <f ca="1">IFERROR(__xludf.DUMMYFUNCTION("""COMPUTED_VALUE"""),"Arif Wahidin")</f>
        <v>Arif Wahidin</v>
      </c>
      <c r="C236" s="3" t="str">
        <f ca="1">IFERROR(__xludf.DUMMYFUNCTION("""COMPUTED_VALUE"""),"Arif Wahidin")</f>
        <v>Arif Wahidin</v>
      </c>
      <c r="D236" s="3" t="str">
        <f ca="1">IFERROR(__xludf.DUMMYFUNCTION("""COMPUTED_VALUE"""),"Arif Wahidin")</f>
        <v>Arif Wahidin</v>
      </c>
      <c r="E236" s="3" t="str">
        <f ca="1">IFERROR(__xludf.DUMMYFUNCTION("""COMPUTED_VALUE"""),"198206262009101002")</f>
        <v>198206262009101002</v>
      </c>
      <c r="F236" s="3" t="str">
        <f ca="1">IFERROR(__xludf.DUMMYFUNCTION("""COMPUTED_VALUE"""),"19820626 200910 1 002")</f>
        <v>19820626 200910 1 002</v>
      </c>
      <c r="G236" s="3"/>
      <c r="H236" s="3"/>
      <c r="I236" s="3" t="str">
        <f ca="1">IFERROR(__xludf.DUMMYFUNCTION("""COMPUTED_VALUE"""),"PNS")</f>
        <v>PNS</v>
      </c>
      <c r="J236" s="3" t="str">
        <f ca="1">IFERROR(__xludf.DUMMYFUNCTION("""COMPUTED_VALUE"""),"Pegawai PNS")</f>
        <v>Pegawai PNS</v>
      </c>
      <c r="K236" s="5" t="str">
        <f ca="1">IFERROR(__xludf.DUMMYFUNCTION("""COMPUTED_VALUE"""),"L")</f>
        <v>L</v>
      </c>
      <c r="L236" s="3" t="str">
        <f ca="1">IFERROR(__xludf.DUMMYFUNCTION("""COMPUTED_VALUE"""),"Banyumas")</f>
        <v>Banyumas</v>
      </c>
      <c r="M236" s="7">
        <f ca="1">IFERROR(__xludf.DUMMYFUNCTION("""COMPUTED_VALUE"""),30128)</f>
        <v>30128</v>
      </c>
      <c r="N236" s="4" t="str">
        <f ca="1">IFERROR(__xludf.DUMMYFUNCTION("""COMPUTED_VALUE"""),"Penata Muda")</f>
        <v>Penata Muda</v>
      </c>
      <c r="O236" s="3" t="str">
        <f ca="1">IFERROR(__xludf.DUMMYFUNCTION("""COMPUTED_VALUE"""),"III/a")</f>
        <v>III/a</v>
      </c>
      <c r="P236" s="7">
        <f ca="1">IFERROR(__xludf.DUMMYFUNCTION("""COMPUTED_VALUE"""),45931)</f>
        <v>45931</v>
      </c>
      <c r="Q236" s="3" t="str">
        <f ca="1">IFERROR(__xludf.DUMMYFUNCTION("""COMPUTED_VALUE"""),"199563/B.II/KP.07.1/08/2025")</f>
        <v>199563/B.II/KP.07.1/08/2025</v>
      </c>
      <c r="R236" s="3" t="str">
        <f ca="1">IFERROR(__xludf.DUMMYFUNCTION("""COMPUTED_VALUE"""),"‌Pengadministrasi Perkantoran")</f>
        <v>‌Pengadministrasi Perkantoran</v>
      </c>
      <c r="S236" s="3" t="str">
        <f ca="1">IFERROR(__xludf.DUMMYFUNCTION("""COMPUTED_VALUE"""),"Pelaksana")</f>
        <v>Pelaksana</v>
      </c>
      <c r="T236" s="7">
        <f ca="1">IFERROR(__xludf.DUMMYFUNCTION("""COMPUTED_VALUE"""),45842)</f>
        <v>45842</v>
      </c>
      <c r="U236" s="3" t="str">
        <f ca="1">IFERROR(__xludf.DUMMYFUNCTION("""COMPUTED_VALUE"""),"192042/B.II/KP.07/07/2025")</f>
        <v>192042/B.II/KP.07/07/2025</v>
      </c>
      <c r="V236" s="7">
        <f ca="1">IFERROR(__xludf.DUMMYFUNCTION("""COMPUTED_VALUE"""),45842)</f>
        <v>45842</v>
      </c>
      <c r="W236" s="3">
        <f ca="1">IFERROR(__xludf.DUMMYFUNCTION("""COMPUTED_VALUE"""),5)</f>
        <v>5</v>
      </c>
      <c r="X236" s="3"/>
      <c r="Y236" s="3" t="str">
        <f ca="1">IFERROR(__xludf.DUMMYFUNCTION("""COMPUTED_VALUE"""),"SMK")</f>
        <v>SMK</v>
      </c>
      <c r="Z236" s="3" t="str">
        <f ca="1">IFERROR(__xludf.DUMMYFUNCTION("""COMPUTED_VALUE"""),"16 Tahun 3 Bulan 27 Hari")</f>
        <v>16 Tahun 3 Bulan 27 Hari</v>
      </c>
      <c r="AA236" s="8">
        <f ca="1">IFERROR(__xludf.DUMMYFUNCTION("""COMPUTED_VALUE"""),51318)</f>
        <v>51318</v>
      </c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4"/>
      <c r="AR236" s="3"/>
      <c r="AS236" s="4"/>
      <c r="AT236" s="3"/>
      <c r="AU236" s="3"/>
    </row>
    <row r="237" spans="1:47" x14ac:dyDescent="0.2">
      <c r="A237" s="12">
        <v>236</v>
      </c>
      <c r="B237" s="3" t="str">
        <f ca="1">IFERROR(__xludf.DUMMYFUNCTION("""COMPUTED_VALUE"""),"Aris Nurrohman")</f>
        <v>Aris Nurrohman</v>
      </c>
      <c r="C237" s="3" t="str">
        <f ca="1">IFERROR(__xludf.DUMMYFUNCTION("""COMPUTED_VALUE"""),"Aris Nurrohman, S.H.I., M.Hum.")</f>
        <v>Aris Nurrohman, S.H.I., M.Hum.</v>
      </c>
      <c r="D237" s="3" t="str">
        <f ca="1">IFERROR(__xludf.DUMMYFUNCTION("""COMPUTED_VALUE"""),"Aris Nurrohman, S.H.I., M.Hum.")</f>
        <v>Aris Nurrohman, S.H.I., M.Hum.</v>
      </c>
      <c r="E237" s="3" t="str">
        <f ca="1">IFERROR(__xludf.DUMMYFUNCTION("""COMPUTED_VALUE"""),"197801142009011005")</f>
        <v>197801142009011005</v>
      </c>
      <c r="F237" s="3" t="str">
        <f ca="1">IFERROR(__xludf.DUMMYFUNCTION("""COMPUTED_VALUE"""),"19780114 200901 1 005")</f>
        <v>19780114 200901 1 005</v>
      </c>
      <c r="G237" s="3"/>
      <c r="H237" s="3"/>
      <c r="I237" s="3" t="str">
        <f ca="1">IFERROR(__xludf.DUMMYFUNCTION("""COMPUTED_VALUE"""),"PNS")</f>
        <v>PNS</v>
      </c>
      <c r="J237" s="3" t="str">
        <f ca="1">IFERROR(__xludf.DUMMYFUNCTION("""COMPUTED_VALUE"""),"Pegawai PNS")</f>
        <v>Pegawai PNS</v>
      </c>
      <c r="K237" s="5" t="str">
        <f ca="1">IFERROR(__xludf.DUMMYFUNCTION("""COMPUTED_VALUE"""),"L")</f>
        <v>L</v>
      </c>
      <c r="L237" s="3" t="str">
        <f ca="1">IFERROR(__xludf.DUMMYFUNCTION("""COMPUTED_VALUE"""),"Cilacap")</f>
        <v>Cilacap</v>
      </c>
      <c r="M237" s="7">
        <f ca="1">IFERROR(__xludf.DUMMYFUNCTION("""COMPUTED_VALUE"""),28504)</f>
        <v>28504</v>
      </c>
      <c r="N237" s="4" t="str">
        <f ca="1">IFERROR(__xludf.DUMMYFUNCTION("""COMPUTED_VALUE"""),"Pembina Tk.I")</f>
        <v>Pembina Tk.I</v>
      </c>
      <c r="O237" s="3" t="str">
        <f ca="1">IFERROR(__xludf.DUMMYFUNCTION("""COMPUTED_VALUE"""),"IV/b")</f>
        <v>IV/b</v>
      </c>
      <c r="P237" s="7">
        <f ca="1">IFERROR(__xludf.DUMMYFUNCTION("""COMPUTED_VALUE"""),44652)</f>
        <v>44652</v>
      </c>
      <c r="Q237" s="3" t="str">
        <f ca="1">IFERROR(__xludf.DUMMYFUNCTION("""COMPUTED_VALUE"""),"015707/B.II/3/2022")</f>
        <v>015707/B.II/3/2022</v>
      </c>
      <c r="R237" s="3" t="str">
        <f ca="1">IFERROR(__xludf.DUMMYFUNCTION("""COMPUTED_VALUE"""),"Pustakawan")</f>
        <v>Pustakawan</v>
      </c>
      <c r="S237" s="3" t="str">
        <f ca="1">IFERROR(__xludf.DUMMYFUNCTION("""COMPUTED_VALUE"""),"Ahli Madya")</f>
        <v>Ahli Madya</v>
      </c>
      <c r="T237" s="7">
        <f ca="1">IFERROR(__xludf.DUMMYFUNCTION("""COMPUTED_VALUE"""),43525)</f>
        <v>43525</v>
      </c>
      <c r="U237" s="3" t="str">
        <f ca="1">IFERROR(__xludf.DUMMYFUNCTION("""COMPUTED_VALUE"""),"486/In.17/R/Kp.07.6/4/2019")</f>
        <v>486/In.17/R/Kp.07.6/4/2019</v>
      </c>
      <c r="V237" s="7">
        <f ca="1">IFERROR(__xludf.DUMMYFUNCTION("""COMPUTED_VALUE"""),43525)</f>
        <v>43525</v>
      </c>
      <c r="W237" s="3">
        <f ca="1">IFERROR(__xludf.DUMMYFUNCTION("""COMPUTED_VALUE"""),11)</f>
        <v>11</v>
      </c>
      <c r="X237" s="7" t="str">
        <f ca="1">IFERROR(__xludf.DUMMYFUNCTION("""COMPUTED_VALUE"""),"Kepala Unit Pelaksana Teknis Pengembangan Karir")</f>
        <v>Kepala Unit Pelaksana Teknis Pengembangan Karir</v>
      </c>
      <c r="Y237" s="3" t="str">
        <f ca="1">IFERROR(__xludf.DUMMYFUNCTION("""COMPUTED_VALUE"""),"S-2")</f>
        <v>S-2</v>
      </c>
      <c r="Z237" s="3" t="str">
        <f ca="1">IFERROR(__xludf.DUMMYFUNCTION("""COMPUTED_VALUE"""),"17 Tahun 0 Bulan 27 Hari")</f>
        <v>17 Tahun 0 Bulan 27 Hari</v>
      </c>
      <c r="AA237" s="8">
        <f ca="1">IFERROR(__xludf.DUMMYFUNCTION("""COMPUTED_VALUE"""),50437)</f>
        <v>50437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4"/>
      <c r="AR237" s="3"/>
      <c r="AS237" s="4"/>
      <c r="AT237" s="3"/>
      <c r="AU237" s="3"/>
    </row>
    <row r="238" spans="1:47" x14ac:dyDescent="0.2">
      <c r="A238" s="12">
        <v>237</v>
      </c>
      <c r="B238" s="3" t="str">
        <f ca="1">IFERROR(__xludf.DUMMYFUNCTION("""COMPUTED_VALUE"""),"Astuti Istikaroh")</f>
        <v>Astuti Istikaroh</v>
      </c>
      <c r="C238" s="3" t="str">
        <f ca="1">IFERROR(__xludf.DUMMYFUNCTION("""COMPUTED_VALUE"""),"Astuti Istikaroh, S.Pd.I., M.Pd.")</f>
        <v>Astuti Istikaroh, S.Pd.I., M.Pd.</v>
      </c>
      <c r="D238" s="3" t="str">
        <f ca="1">IFERROR(__xludf.DUMMYFUNCTION("""COMPUTED_VALUE"""),"Astuti Istikaroh, S.Pd.I., M.Pd.")</f>
        <v>Astuti Istikaroh, S.Pd.I., M.Pd.</v>
      </c>
      <c r="E238" s="3" t="str">
        <f ca="1">IFERROR(__xludf.DUMMYFUNCTION("""COMPUTED_VALUE"""),"198104262006042006")</f>
        <v>198104262006042006</v>
      </c>
      <c r="F238" s="3" t="str">
        <f ca="1">IFERROR(__xludf.DUMMYFUNCTION("""COMPUTED_VALUE"""),"19810426 200604 2 006")</f>
        <v>19810426 200604 2 006</v>
      </c>
      <c r="G238" s="3"/>
      <c r="H238" s="3"/>
      <c r="I238" s="3" t="str">
        <f ca="1">IFERROR(__xludf.DUMMYFUNCTION("""COMPUTED_VALUE"""),"PNS")</f>
        <v>PNS</v>
      </c>
      <c r="J238" s="3" t="str">
        <f ca="1">IFERROR(__xludf.DUMMYFUNCTION("""COMPUTED_VALUE"""),"Pegawai PNS")</f>
        <v>Pegawai PNS</v>
      </c>
      <c r="K238" s="5" t="str">
        <f ca="1">IFERROR(__xludf.DUMMYFUNCTION("""COMPUTED_VALUE"""),"P")</f>
        <v>P</v>
      </c>
      <c r="L238" s="3" t="str">
        <f ca="1">IFERROR(__xludf.DUMMYFUNCTION("""COMPUTED_VALUE"""),"Banyumas")</f>
        <v>Banyumas</v>
      </c>
      <c r="M238" s="7">
        <f ca="1">IFERROR(__xludf.DUMMYFUNCTION("""COMPUTED_VALUE"""),29702)</f>
        <v>29702</v>
      </c>
      <c r="N238" s="4" t="str">
        <f ca="1">IFERROR(__xludf.DUMMYFUNCTION("""COMPUTED_VALUE"""),"Pembina")</f>
        <v>Pembina</v>
      </c>
      <c r="O238" s="3" t="str">
        <f ca="1">IFERROR(__xludf.DUMMYFUNCTION("""COMPUTED_VALUE"""),"IV/a")</f>
        <v>IV/a</v>
      </c>
      <c r="P238" s="7">
        <f ca="1">IFERROR(__xludf.DUMMYFUNCTION("""COMPUTED_VALUE"""),44835)</f>
        <v>44835</v>
      </c>
      <c r="Q238" s="3" t="str">
        <f ca="1">IFERROR(__xludf.DUMMYFUNCTION("""COMPUTED_VALUE"""),"028963/B.II/3/2022")</f>
        <v>028963/B.II/3/2022</v>
      </c>
      <c r="R238" s="3" t="str">
        <f ca="1">IFERROR(__xludf.DUMMYFUNCTION("""COMPUTED_VALUE"""),"Analis Sumber Daya Manusia Aparatur")</f>
        <v>Analis Sumber Daya Manusia Aparatur</v>
      </c>
      <c r="S238" s="3" t="str">
        <f ca="1">IFERROR(__xludf.DUMMYFUNCTION("""COMPUTED_VALUE"""),"Ahli Madya")</f>
        <v>Ahli Madya</v>
      </c>
      <c r="T238" s="7">
        <f ca="1">IFERROR(__xludf.DUMMYFUNCTION("""COMPUTED_VALUE"""),45992)</f>
        <v>45992</v>
      </c>
      <c r="U238" s="3" t="str">
        <f ca="1">IFERROR(__xludf.DUMMYFUNCTION("""COMPUTED_VALUE"""),"212553/MA/KP.07.6/11/2025")</f>
        <v>212553/MA/KP.07.6/11/2025</v>
      </c>
      <c r="V238" s="9">
        <f ca="1">IFERROR(__xludf.DUMMYFUNCTION("""COMPUTED_VALUE"""),45989)</f>
        <v>45989</v>
      </c>
      <c r="W238" s="3">
        <f ca="1">IFERROR(__xludf.DUMMYFUNCTION("""COMPUTED_VALUE"""),12)</f>
        <v>12</v>
      </c>
      <c r="X238" s="7" t="str">
        <f ca="1">IFERROR(__xludf.DUMMYFUNCTION("""COMPUTED_VALUE"""),"Ketua Tim Kerja Organisasi, Kepegawaian, dan Hukum")</f>
        <v>Ketua Tim Kerja Organisasi, Kepegawaian, dan Hukum</v>
      </c>
      <c r="Y238" s="3" t="str">
        <f ca="1">IFERROR(__xludf.DUMMYFUNCTION("""COMPUTED_VALUE"""),"S-2")</f>
        <v>S-2</v>
      </c>
      <c r="Z238" s="3" t="str">
        <f ca="1">IFERROR(__xludf.DUMMYFUNCTION("""COMPUTED_VALUE"""),"19 Tahun 9 Bulan 27 Hari")</f>
        <v>19 Tahun 9 Bulan 27 Hari</v>
      </c>
      <c r="AA238" s="8">
        <f ca="1">IFERROR(__xludf.DUMMYFUNCTION("""COMPUTED_VALUE"""),51622)</f>
        <v>51622</v>
      </c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4"/>
      <c r="AR238" s="3"/>
      <c r="AS238" s="4"/>
      <c r="AT238" s="3"/>
      <c r="AU238" s="3"/>
    </row>
    <row r="239" spans="1:47" x14ac:dyDescent="0.2">
      <c r="A239" s="12">
        <v>238</v>
      </c>
      <c r="B239" s="3" t="str">
        <f ca="1">IFERROR(__xludf.DUMMYFUNCTION("""COMPUTED_VALUE"""),"Ayuk Kusuma Ningrum")</f>
        <v>Ayuk Kusuma Ningrum</v>
      </c>
      <c r="C239" s="3" t="str">
        <f ca="1">IFERROR(__xludf.DUMMYFUNCTION("""COMPUTED_VALUE"""),"Ayuk Kusuma Ningrum, S.Hum.")</f>
        <v>Ayuk Kusuma Ningrum, S.Hum.</v>
      </c>
      <c r="D239" s="3" t="str">
        <f ca="1">IFERROR(__xludf.DUMMYFUNCTION("""COMPUTED_VALUE"""),"Ayuk Kusuma Ningrum, S.Hum.")</f>
        <v>Ayuk Kusuma Ningrum, S.Hum.</v>
      </c>
      <c r="E239" s="3" t="str">
        <f ca="1">IFERROR(__xludf.DUMMYFUNCTION("""COMPUTED_VALUE"""),"198812212019032006")</f>
        <v>198812212019032006</v>
      </c>
      <c r="F239" s="3" t="str">
        <f ca="1">IFERROR(__xludf.DUMMYFUNCTION("""COMPUTED_VALUE"""),"19881221 201903 2 006")</f>
        <v>19881221 201903 2 006</v>
      </c>
      <c r="G239" s="3"/>
      <c r="H239" s="3"/>
      <c r="I239" s="3" t="str">
        <f ca="1">IFERROR(__xludf.DUMMYFUNCTION("""COMPUTED_VALUE"""),"PNS")</f>
        <v>PNS</v>
      </c>
      <c r="J239" s="3" t="str">
        <f ca="1">IFERROR(__xludf.DUMMYFUNCTION("""COMPUTED_VALUE"""),"Pegawai PNS")</f>
        <v>Pegawai PNS</v>
      </c>
      <c r="K239" s="5" t="str">
        <f ca="1">IFERROR(__xludf.DUMMYFUNCTION("""COMPUTED_VALUE"""),"P")</f>
        <v>P</v>
      </c>
      <c r="L239" s="3" t="str">
        <f ca="1">IFERROR(__xludf.DUMMYFUNCTION("""COMPUTED_VALUE"""),"Surakarta")</f>
        <v>Surakarta</v>
      </c>
      <c r="M239" s="9">
        <f ca="1">IFERROR(__xludf.DUMMYFUNCTION("""COMPUTED_VALUE"""),32498)</f>
        <v>32498</v>
      </c>
      <c r="N239" s="4" t="str">
        <f ca="1">IFERROR(__xludf.DUMMYFUNCTION("""COMPUTED_VALUE"""),"Penata Muda Tk.I")</f>
        <v>Penata Muda Tk.I</v>
      </c>
      <c r="O239" s="3" t="str">
        <f ca="1">IFERROR(__xludf.DUMMYFUNCTION("""COMPUTED_VALUE"""),"III/b")</f>
        <v>III/b</v>
      </c>
      <c r="P239" s="7">
        <f ca="1">IFERROR(__xludf.DUMMYFUNCTION("""COMPUTED_VALUE"""),45566)</f>
        <v>45566</v>
      </c>
      <c r="Q239" s="3" t="str">
        <f ca="1">IFERROR(__xludf.DUMMYFUNCTION("""COMPUTED_VALUE"""),"843/Un.19/K.AUPK/KP.07.1/08/2024")</f>
        <v>843/Un.19/K.AUPK/KP.07.1/08/2024</v>
      </c>
      <c r="R239" s="3" t="str">
        <f ca="1">IFERROR(__xludf.DUMMYFUNCTION("""COMPUTED_VALUE"""),"Pustakawan")</f>
        <v>Pustakawan</v>
      </c>
      <c r="S239" s="3" t="str">
        <f ca="1">IFERROR(__xludf.DUMMYFUNCTION("""COMPUTED_VALUE"""),"Ahli Pertama")</f>
        <v>Ahli Pertama</v>
      </c>
      <c r="T239" s="7">
        <f ca="1">IFERROR(__xludf.DUMMYFUNCTION("""COMPUTED_VALUE"""),44621)</f>
        <v>44621</v>
      </c>
      <c r="U239" s="3" t="str">
        <f ca="1">IFERROR(__xludf.DUMMYFUNCTION("""COMPUTED_VALUE"""),"699/Un.19/R/Kp.07.6/2/2022")</f>
        <v>699/Un.19/R/Kp.07.6/2/2022</v>
      </c>
      <c r="V239" s="7">
        <f ca="1">IFERROR(__xludf.DUMMYFUNCTION("""COMPUTED_VALUE"""),43891)</f>
        <v>43891</v>
      </c>
      <c r="W239" s="3">
        <f ca="1">IFERROR(__xludf.DUMMYFUNCTION("""COMPUTED_VALUE"""),8)</f>
        <v>8</v>
      </c>
      <c r="X239" s="3"/>
      <c r="Y239" s="3" t="str">
        <f ca="1">IFERROR(__xludf.DUMMYFUNCTION("""COMPUTED_VALUE"""),"S-1")</f>
        <v>S-1</v>
      </c>
      <c r="Z239" s="3" t="str">
        <f ca="1">IFERROR(__xludf.DUMMYFUNCTION("""COMPUTED_VALUE"""),"6 Tahun 10 Bulan 27 Hari")</f>
        <v>6 Tahun 10 Bulan 27 Hari</v>
      </c>
      <c r="AA239" s="8">
        <f ca="1">IFERROR(__xludf.DUMMYFUNCTION("""COMPUTED_VALUE"""),53693)</f>
        <v>53693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4"/>
      <c r="AR239" s="3"/>
      <c r="AS239" s="4"/>
      <c r="AT239" s="3"/>
      <c r="AU239" s="3"/>
    </row>
    <row r="240" spans="1:47" x14ac:dyDescent="0.2">
      <c r="A240" s="12">
        <v>239</v>
      </c>
      <c r="B240" s="3" t="str">
        <f ca="1">IFERROR(__xludf.DUMMYFUNCTION("""COMPUTED_VALUE"""),"Aziz Mujahidin")</f>
        <v>Aziz Mujahidin</v>
      </c>
      <c r="C240" s="3" t="str">
        <f ca="1">IFERROR(__xludf.DUMMYFUNCTION("""COMPUTED_VALUE"""),"Aziz Mujahidin")</f>
        <v>Aziz Mujahidin</v>
      </c>
      <c r="D240" s="3" t="str">
        <f ca="1">IFERROR(__xludf.DUMMYFUNCTION("""COMPUTED_VALUE"""),"Aziz Mujahidin")</f>
        <v>Aziz Mujahidin</v>
      </c>
      <c r="E240" s="3" t="str">
        <f ca="1">IFERROR(__xludf.DUMMYFUNCTION("""COMPUTED_VALUE"""),"198104242007011012")</f>
        <v>198104242007011012</v>
      </c>
      <c r="F240" s="3" t="str">
        <f ca="1">IFERROR(__xludf.DUMMYFUNCTION("""COMPUTED_VALUE"""),"19810424 200701 1 012")</f>
        <v>19810424 200701 1 012</v>
      </c>
      <c r="G240" s="3"/>
      <c r="H240" s="3"/>
      <c r="I240" s="3" t="str">
        <f ca="1">IFERROR(__xludf.DUMMYFUNCTION("""COMPUTED_VALUE"""),"PNS")</f>
        <v>PNS</v>
      </c>
      <c r="J240" s="3" t="str">
        <f ca="1">IFERROR(__xludf.DUMMYFUNCTION("""COMPUTED_VALUE"""),"Pegawai PNS")</f>
        <v>Pegawai PNS</v>
      </c>
      <c r="K240" s="5" t="str">
        <f ca="1">IFERROR(__xludf.DUMMYFUNCTION("""COMPUTED_VALUE"""),"L")</f>
        <v>L</v>
      </c>
      <c r="L240" s="3" t="str">
        <f ca="1">IFERROR(__xludf.DUMMYFUNCTION("""COMPUTED_VALUE"""),"Banjarnegara")</f>
        <v>Banjarnegara</v>
      </c>
      <c r="M240" s="7">
        <f ca="1">IFERROR(__xludf.DUMMYFUNCTION("""COMPUTED_VALUE"""),29700)</f>
        <v>29700</v>
      </c>
      <c r="N240" s="4" t="str">
        <f ca="1">IFERROR(__xludf.DUMMYFUNCTION("""COMPUTED_VALUE"""),"Penata Muda")</f>
        <v>Penata Muda</v>
      </c>
      <c r="O240" s="3" t="str">
        <f ca="1">IFERROR(__xludf.DUMMYFUNCTION("""COMPUTED_VALUE"""),"III/a")</f>
        <v>III/a</v>
      </c>
      <c r="P240" s="7">
        <f ca="1">IFERROR(__xludf.DUMMYFUNCTION("""COMPUTED_VALUE"""),45017)</f>
        <v>45017</v>
      </c>
      <c r="Q240" s="3" t="str">
        <f ca="1">IFERROR(__xludf.DUMMYFUNCTION("""COMPUTED_VALUE"""),"509/Un.19/K.AUPK/KP.07.2/03/2023")</f>
        <v>509/Un.19/K.AUPK/KP.07.2/03/2023</v>
      </c>
      <c r="R240" s="3" t="str">
        <f ca="1">IFERROR(__xludf.DUMMYFUNCTION("""COMPUTED_VALUE"""),"‌Pengadministrasi Perkantoran")</f>
        <v>‌Pengadministrasi Perkantoran</v>
      </c>
      <c r="S240" s="3" t="str">
        <f ca="1">IFERROR(__xludf.DUMMYFUNCTION("""COMPUTED_VALUE"""),"Pelaksana")</f>
        <v>Pelaksana</v>
      </c>
      <c r="T240" s="7">
        <f ca="1">IFERROR(__xludf.DUMMYFUNCTION("""COMPUTED_VALUE"""),45842)</f>
        <v>45842</v>
      </c>
      <c r="U240" s="3" t="str">
        <f ca="1">IFERROR(__xludf.DUMMYFUNCTION("""COMPUTED_VALUE"""),"192040/B.II/KP.07/07/2025")</f>
        <v>192040/B.II/KP.07/07/2025</v>
      </c>
      <c r="V240" s="7">
        <f ca="1">IFERROR(__xludf.DUMMYFUNCTION("""COMPUTED_VALUE"""),45842)</f>
        <v>45842</v>
      </c>
      <c r="W240" s="3">
        <f ca="1">IFERROR(__xludf.DUMMYFUNCTION("""COMPUTED_VALUE"""),5)</f>
        <v>5</v>
      </c>
      <c r="X240" s="3"/>
      <c r="Y240" s="3" t="str">
        <f ca="1">IFERROR(__xludf.DUMMYFUNCTION("""COMPUTED_VALUE"""),"SMK")</f>
        <v>SMK</v>
      </c>
      <c r="Z240" s="3" t="str">
        <f ca="1">IFERROR(__xludf.DUMMYFUNCTION("""COMPUTED_VALUE"""),"19 Tahun 0 Bulan 27 Hari")</f>
        <v>19 Tahun 0 Bulan 27 Hari</v>
      </c>
      <c r="AA240" s="8">
        <f ca="1">IFERROR(__xludf.DUMMYFUNCTION("""COMPUTED_VALUE"""),50891)</f>
        <v>50891</v>
      </c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4"/>
      <c r="AR240" s="3"/>
      <c r="AS240" s="4"/>
      <c r="AT240" s="3"/>
      <c r="AU240" s="3"/>
    </row>
    <row r="241" spans="1:47" x14ac:dyDescent="0.2">
      <c r="A241" s="12">
        <v>240</v>
      </c>
      <c r="B241" s="3" t="str">
        <f ca="1">IFERROR(__xludf.DUMMYFUNCTION("""COMPUTED_VALUE"""),"Chafid Diyanto")</f>
        <v>Chafid Diyanto</v>
      </c>
      <c r="C241" s="3" t="str">
        <f ca="1">IFERROR(__xludf.DUMMYFUNCTION("""COMPUTED_VALUE"""),"Dr. Chafid Diyanto, S.Sos., M.Si.")</f>
        <v>Dr. Chafid Diyanto, S.Sos., M.Si.</v>
      </c>
      <c r="D241" s="3" t="str">
        <f ca="1">IFERROR(__xludf.DUMMYFUNCTION("""COMPUTED_VALUE"""),"Dr. Chafid Diyanto, S.Sos., M.Si.")</f>
        <v>Dr. Chafid Diyanto, S.Sos., M.Si.</v>
      </c>
      <c r="E241" s="3" t="str">
        <f ca="1">IFERROR(__xludf.DUMMYFUNCTION("""COMPUTED_VALUE"""),"198401212009011005")</f>
        <v>198401212009011005</v>
      </c>
      <c r="F241" s="3" t="str">
        <f ca="1">IFERROR(__xludf.DUMMYFUNCTION("""COMPUTED_VALUE"""),"19840121 200901 1 005")</f>
        <v>19840121 200901 1 005</v>
      </c>
      <c r="G241" s="3"/>
      <c r="H241" s="3"/>
      <c r="I241" s="3" t="str">
        <f ca="1">IFERROR(__xludf.DUMMYFUNCTION("""COMPUTED_VALUE"""),"PNS")</f>
        <v>PNS</v>
      </c>
      <c r="J241" s="3" t="str">
        <f ca="1">IFERROR(__xludf.DUMMYFUNCTION("""COMPUTED_VALUE"""),"Pegawai PNS")</f>
        <v>Pegawai PNS</v>
      </c>
      <c r="K241" s="5" t="str">
        <f ca="1">IFERROR(__xludf.DUMMYFUNCTION("""COMPUTED_VALUE"""),"L")</f>
        <v>L</v>
      </c>
      <c r="L241" s="3" t="str">
        <f ca="1">IFERROR(__xludf.DUMMYFUNCTION("""COMPUTED_VALUE"""),"Purbalingga")</f>
        <v>Purbalingga</v>
      </c>
      <c r="M241" s="7">
        <f ca="1">IFERROR(__xludf.DUMMYFUNCTION("""COMPUTED_VALUE"""),30702)</f>
        <v>30702</v>
      </c>
      <c r="N241" s="4" t="str">
        <f ca="1">IFERROR(__xludf.DUMMYFUNCTION("""COMPUTED_VALUE"""),"Pembina")</f>
        <v>Pembina</v>
      </c>
      <c r="O241" s="3" t="str">
        <f ca="1">IFERROR(__xludf.DUMMYFUNCTION("""COMPUTED_VALUE"""),"IV/a")</f>
        <v>IV/a</v>
      </c>
      <c r="P241" s="7">
        <f ca="1">IFERROR(__xludf.DUMMYFUNCTION("""COMPUTED_VALUE"""),45383)</f>
        <v>45383</v>
      </c>
      <c r="Q241" s="3" t="str">
        <f ca="1">IFERROR(__xludf.DUMMYFUNCTION("""COMPUTED_VALUE"""),"504/Un.19/K.AUPK/KP.07.1/03/2024")</f>
        <v>504/Un.19/K.AUPK/KP.07.1/03/2024</v>
      </c>
      <c r="R241" s="3" t="str">
        <f ca="1">IFERROR(__xludf.DUMMYFUNCTION("""COMPUTED_VALUE"""),"Penelaah Teknis Kebijakan")</f>
        <v>Penelaah Teknis Kebijakan</v>
      </c>
      <c r="S241" s="3" t="str">
        <f ca="1">IFERROR(__xludf.DUMMYFUNCTION("""COMPUTED_VALUE"""),"Pelaksana")</f>
        <v>Pelaksana</v>
      </c>
      <c r="T241" s="7">
        <f ca="1">IFERROR(__xludf.DUMMYFUNCTION("""COMPUTED_VALUE"""),45842)</f>
        <v>45842</v>
      </c>
      <c r="U241" s="3" t="str">
        <f ca="1">IFERROR(__xludf.DUMMYFUNCTION("""COMPUTED_VALUE"""),"192044/B.II/KP.07/07/2025")</f>
        <v>192044/B.II/KP.07/07/2025</v>
      </c>
      <c r="V241" s="7">
        <f ca="1">IFERROR(__xludf.DUMMYFUNCTION("""COMPUTED_VALUE"""),45842)</f>
        <v>45842</v>
      </c>
      <c r="W241" s="3">
        <f ca="1">IFERROR(__xludf.DUMMYFUNCTION("""COMPUTED_VALUE"""),7)</f>
        <v>7</v>
      </c>
      <c r="X241" s="3"/>
      <c r="Y241" s="3" t="str">
        <f ca="1">IFERROR(__xludf.DUMMYFUNCTION("""COMPUTED_VALUE"""),"S-3")</f>
        <v>S-3</v>
      </c>
      <c r="Z241" s="3" t="str">
        <f ca="1">IFERROR(__xludf.DUMMYFUNCTION("""COMPUTED_VALUE"""),"17 Tahun 0 Bulan 27 Hari")</f>
        <v>17 Tahun 0 Bulan 27 Hari</v>
      </c>
      <c r="AA241" s="8">
        <f ca="1">IFERROR(__xludf.DUMMYFUNCTION("""COMPUTED_VALUE"""),51898)</f>
        <v>51898</v>
      </c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4"/>
      <c r="AR241" s="3"/>
      <c r="AS241" s="4"/>
      <c r="AT241" s="3"/>
      <c r="AU241" s="3"/>
    </row>
    <row r="242" spans="1:47" x14ac:dyDescent="0.2">
      <c r="A242" s="12">
        <v>241</v>
      </c>
      <c r="B242" s="3" t="str">
        <f ca="1">IFERROR(__xludf.DUMMYFUNCTION("""COMPUTED_VALUE"""),"Dyah Ratri Fiyani")</f>
        <v>Dyah Ratri Fiyani</v>
      </c>
      <c r="C242" s="3" t="str">
        <f ca="1">IFERROR(__xludf.DUMMYFUNCTION("""COMPUTED_VALUE"""),"Dyah Ratri Fiyani, S.E., M.Si.")</f>
        <v>Dyah Ratri Fiyani, S.E., M.Si.</v>
      </c>
      <c r="D242" s="3" t="str">
        <f ca="1">IFERROR(__xludf.DUMMYFUNCTION("""COMPUTED_VALUE"""),"Dyah Ratri Fiyani, S.E., M.Si.")</f>
        <v>Dyah Ratri Fiyani, S.E., M.Si.</v>
      </c>
      <c r="E242" s="3" t="str">
        <f ca="1">IFERROR(__xludf.DUMMYFUNCTION("""COMPUTED_VALUE"""),"198203212005012006")</f>
        <v>198203212005012006</v>
      </c>
      <c r="F242" s="3" t="str">
        <f ca="1">IFERROR(__xludf.DUMMYFUNCTION("""COMPUTED_VALUE"""),"19820321 200501 2 006")</f>
        <v>19820321 200501 2 006</v>
      </c>
      <c r="G242" s="3"/>
      <c r="H242" s="3"/>
      <c r="I242" s="3" t="str">
        <f ca="1">IFERROR(__xludf.DUMMYFUNCTION("""COMPUTED_VALUE"""),"PNS")</f>
        <v>PNS</v>
      </c>
      <c r="J242" s="3" t="str">
        <f ca="1">IFERROR(__xludf.DUMMYFUNCTION("""COMPUTED_VALUE"""),"Pegawai PNS")</f>
        <v>Pegawai PNS</v>
      </c>
      <c r="K242" s="5" t="str">
        <f ca="1">IFERROR(__xludf.DUMMYFUNCTION("""COMPUTED_VALUE"""),"P")</f>
        <v>P</v>
      </c>
      <c r="L242" s="3" t="str">
        <f ca="1">IFERROR(__xludf.DUMMYFUNCTION("""COMPUTED_VALUE"""),"Banyumas")</f>
        <v>Banyumas</v>
      </c>
      <c r="M242" s="7">
        <f ca="1">IFERROR(__xludf.DUMMYFUNCTION("""COMPUTED_VALUE"""),30031)</f>
        <v>30031</v>
      </c>
      <c r="N242" s="4" t="str">
        <f ca="1">IFERROR(__xludf.DUMMYFUNCTION("""COMPUTED_VALUE"""),"Penata Tk.I")</f>
        <v>Penata Tk.I</v>
      </c>
      <c r="O242" s="3" t="str">
        <f ca="1">IFERROR(__xludf.DUMMYFUNCTION("""COMPUTED_VALUE"""),"III/d")</f>
        <v>III/d</v>
      </c>
      <c r="P242" s="7">
        <f ca="1">IFERROR(__xludf.DUMMYFUNCTION("""COMPUTED_VALUE"""),43922)</f>
        <v>43922</v>
      </c>
      <c r="Q242" s="3" t="str">
        <f ca="1">IFERROR(__xludf.DUMMYFUNCTION("""COMPUTED_VALUE"""),"11779/B.II/3/2020")</f>
        <v>11779/B.II/3/2020</v>
      </c>
      <c r="R242" s="3" t="str">
        <f ca="1">IFERROR(__xludf.DUMMYFUNCTION("""COMPUTED_VALUE"""),"Analis Anggaran")</f>
        <v>Analis Anggaran</v>
      </c>
      <c r="S242" s="3" t="str">
        <f ca="1">IFERROR(__xludf.DUMMYFUNCTION("""COMPUTED_VALUE"""),"Ahli Muda")</f>
        <v>Ahli Muda</v>
      </c>
      <c r="T242" s="7">
        <f ca="1">IFERROR(__xludf.DUMMYFUNCTION("""COMPUTED_VALUE"""),44560)</f>
        <v>44560</v>
      </c>
      <c r="U242" s="3" t="str">
        <f ca="1">IFERROR(__xludf.DUMMYFUNCTION("""COMPUTED_VALUE"""),"059499/B.II/3/2021")</f>
        <v>059499/B.II/3/2021</v>
      </c>
      <c r="V242" s="9">
        <f ca="1">IFERROR(__xludf.DUMMYFUNCTION("""COMPUTED_VALUE"""),44553)</f>
        <v>44553</v>
      </c>
      <c r="W242" s="3">
        <f ca="1">IFERROR(__xludf.DUMMYFUNCTION("""COMPUTED_VALUE"""),10)</f>
        <v>10</v>
      </c>
      <c r="X242" s="3"/>
      <c r="Y242" s="3" t="str">
        <f ca="1">IFERROR(__xludf.DUMMYFUNCTION("""COMPUTED_VALUE"""),"S-2")</f>
        <v>S-2</v>
      </c>
      <c r="Z242" s="3" t="str">
        <f ca="1">IFERROR(__xludf.DUMMYFUNCTION("""COMPUTED_VALUE"""),"21 Tahun 0 Bulan 27 Hari")</f>
        <v>21 Tahun 0 Bulan 27 Hari</v>
      </c>
      <c r="AA242" s="8">
        <f ca="1">IFERROR(__xludf.DUMMYFUNCTION("""COMPUTED_VALUE"""),51227)</f>
        <v>51227</v>
      </c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4"/>
      <c r="AR242" s="3"/>
      <c r="AS242" s="4"/>
      <c r="AT242" s="3"/>
      <c r="AU242" s="3"/>
    </row>
    <row r="243" spans="1:47" x14ac:dyDescent="0.2">
      <c r="A243" s="12">
        <v>242</v>
      </c>
      <c r="B243" s="3" t="str">
        <f ca="1">IFERROR(__xludf.DUMMYFUNCTION("""COMPUTED_VALUE"""),"Edi Pujiyono")</f>
        <v>Edi Pujiyono</v>
      </c>
      <c r="C243" s="3" t="str">
        <f ca="1">IFERROR(__xludf.DUMMYFUNCTION("""COMPUTED_VALUE"""),"Edi Pujiyono, S.Pd.I.")</f>
        <v>Edi Pujiyono, S.Pd.I.</v>
      </c>
      <c r="D243" s="3" t="str">
        <f ca="1">IFERROR(__xludf.DUMMYFUNCTION("""COMPUTED_VALUE"""),"Edi Pujiyono, S.Pd.I.")</f>
        <v>Edi Pujiyono, S.Pd.I.</v>
      </c>
      <c r="E243" s="3" t="str">
        <f ca="1">IFERROR(__xludf.DUMMYFUNCTION("""COMPUTED_VALUE"""),"197601012003121007")</f>
        <v>197601012003121007</v>
      </c>
      <c r="F243" s="3" t="str">
        <f ca="1">IFERROR(__xludf.DUMMYFUNCTION("""COMPUTED_VALUE"""),"19760101 200312 1 007")</f>
        <v>19760101 200312 1 007</v>
      </c>
      <c r="G243" s="3"/>
      <c r="H243" s="3"/>
      <c r="I243" s="3" t="str">
        <f ca="1">IFERROR(__xludf.DUMMYFUNCTION("""COMPUTED_VALUE"""),"PNS")</f>
        <v>PNS</v>
      </c>
      <c r="J243" s="3" t="str">
        <f ca="1">IFERROR(__xludf.DUMMYFUNCTION("""COMPUTED_VALUE"""),"Pegawai PNS")</f>
        <v>Pegawai PNS</v>
      </c>
      <c r="K243" s="5" t="str">
        <f ca="1">IFERROR(__xludf.DUMMYFUNCTION("""COMPUTED_VALUE"""),"L")</f>
        <v>L</v>
      </c>
      <c r="L243" s="3" t="str">
        <f ca="1">IFERROR(__xludf.DUMMYFUNCTION("""COMPUTED_VALUE"""),"Cilacap")</f>
        <v>Cilacap</v>
      </c>
      <c r="M243" s="7">
        <f ca="1">IFERROR(__xludf.DUMMYFUNCTION("""COMPUTED_VALUE"""),27760)</f>
        <v>27760</v>
      </c>
      <c r="N243" s="4" t="str">
        <f ca="1">IFERROR(__xludf.DUMMYFUNCTION("""COMPUTED_VALUE"""),"Penata Tk.I")</f>
        <v>Penata Tk.I</v>
      </c>
      <c r="O243" s="3" t="str">
        <f ca="1">IFERROR(__xludf.DUMMYFUNCTION("""COMPUTED_VALUE"""),"III/d")</f>
        <v>III/d</v>
      </c>
      <c r="P243" s="7">
        <f ca="1">IFERROR(__xludf.DUMMYFUNCTION("""COMPUTED_VALUE"""),45200)</f>
        <v>45200</v>
      </c>
      <c r="Q243" s="3" t="str">
        <f ca="1">IFERROR(__xludf.DUMMYFUNCTION("""COMPUTED_VALUE"""),"115378/B-II/3/2023")</f>
        <v>115378/B-II/3/2023</v>
      </c>
      <c r="R243" s="3" t="str">
        <f ca="1">IFERROR(__xludf.DUMMYFUNCTION("""COMPUTED_VALUE"""),"Arsiparis")</f>
        <v>Arsiparis</v>
      </c>
      <c r="S243" s="3" t="str">
        <f ca="1">IFERROR(__xludf.DUMMYFUNCTION("""COMPUTED_VALUE"""),"Ahli Muda")</f>
        <v>Ahli Muda</v>
      </c>
      <c r="T243" s="7">
        <f ca="1">IFERROR(__xludf.DUMMYFUNCTION("""COMPUTED_VALUE"""),45293)</f>
        <v>45293</v>
      </c>
      <c r="U243" s="3" t="str">
        <f ca="1">IFERROR(__xludf.DUMMYFUNCTION("""COMPUTED_VALUE"""),"161/Un.19/K.AUPK/KP.07.6/1/2024")</f>
        <v>161/Un.19/K.AUPK/KP.07.6/1/2024</v>
      </c>
      <c r="V243" s="7">
        <f ca="1">IFERROR(__xludf.DUMMYFUNCTION("""COMPUTED_VALUE"""),45293)</f>
        <v>45293</v>
      </c>
      <c r="W243" s="3">
        <f ca="1">IFERROR(__xludf.DUMMYFUNCTION("""COMPUTED_VALUE"""),9)</f>
        <v>9</v>
      </c>
      <c r="X243" s="7" t="str">
        <f ca="1">IFERROR(__xludf.DUMMYFUNCTION("""COMPUTED_VALUE"""),"Ketua Tim Kerja AKA Fakultas Syariah")</f>
        <v>Ketua Tim Kerja AKA Fakultas Syariah</v>
      </c>
      <c r="Y243" s="3" t="str">
        <f ca="1">IFERROR(__xludf.DUMMYFUNCTION("""COMPUTED_VALUE"""),"S-1")</f>
        <v>S-1</v>
      </c>
      <c r="Z243" s="3" t="str">
        <f ca="1">IFERROR(__xludf.DUMMYFUNCTION("""COMPUTED_VALUE"""),"22 Tahun 1 Bulan 27 Hari")</f>
        <v>22 Tahun 1 Bulan 27 Hari</v>
      </c>
      <c r="AA243" s="8">
        <f ca="1">IFERROR(__xludf.DUMMYFUNCTION("""COMPUTED_VALUE"""),48976)</f>
        <v>48976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4"/>
      <c r="AR243" s="3"/>
      <c r="AS243" s="4"/>
      <c r="AT243" s="3"/>
      <c r="AU243" s="3"/>
    </row>
    <row r="244" spans="1:47" x14ac:dyDescent="0.2">
      <c r="A244" s="12">
        <v>243</v>
      </c>
      <c r="B244" s="3" t="str">
        <f ca="1">IFERROR(__xludf.DUMMYFUNCTION("""COMPUTED_VALUE"""),"Eko Kurniawati")</f>
        <v>Eko Kurniawati</v>
      </c>
      <c r="C244" s="3" t="str">
        <f ca="1">IFERROR(__xludf.DUMMYFUNCTION("""COMPUTED_VALUE"""),"Eko Kurniawati, S.E.")</f>
        <v>Eko Kurniawati, S.E.</v>
      </c>
      <c r="D244" s="3" t="str">
        <f ca="1">IFERROR(__xludf.DUMMYFUNCTION("""COMPUTED_VALUE"""),"Eko Kurniawati, S.E.")</f>
        <v>Eko Kurniawati, S.E.</v>
      </c>
      <c r="E244" s="3" t="str">
        <f ca="1">IFERROR(__xludf.DUMMYFUNCTION("""COMPUTED_VALUE"""),"197308022006042001")</f>
        <v>197308022006042001</v>
      </c>
      <c r="F244" s="3" t="str">
        <f ca="1">IFERROR(__xludf.DUMMYFUNCTION("""COMPUTED_VALUE"""),"19730802 200604 2 001")</f>
        <v>19730802 200604 2 001</v>
      </c>
      <c r="G244" s="3"/>
      <c r="H244" s="3"/>
      <c r="I244" s="3" t="str">
        <f ca="1">IFERROR(__xludf.DUMMYFUNCTION("""COMPUTED_VALUE"""),"PNS")</f>
        <v>PNS</v>
      </c>
      <c r="J244" s="3" t="str">
        <f ca="1">IFERROR(__xludf.DUMMYFUNCTION("""COMPUTED_VALUE"""),"Pegawai PNS")</f>
        <v>Pegawai PNS</v>
      </c>
      <c r="K244" s="5" t="str">
        <f ca="1">IFERROR(__xludf.DUMMYFUNCTION("""COMPUTED_VALUE"""),"P")</f>
        <v>P</v>
      </c>
      <c r="L244" s="3" t="str">
        <f ca="1">IFERROR(__xludf.DUMMYFUNCTION("""COMPUTED_VALUE"""),"Banyumas")</f>
        <v>Banyumas</v>
      </c>
      <c r="M244" s="7">
        <f ca="1">IFERROR(__xludf.DUMMYFUNCTION("""COMPUTED_VALUE"""),26878)</f>
        <v>26878</v>
      </c>
      <c r="N244" s="4" t="str">
        <f ca="1">IFERROR(__xludf.DUMMYFUNCTION("""COMPUTED_VALUE"""),"Penata")</f>
        <v>Penata</v>
      </c>
      <c r="O244" s="3" t="str">
        <f ca="1">IFERROR(__xludf.DUMMYFUNCTION("""COMPUTED_VALUE"""),"III/c")</f>
        <v>III/c</v>
      </c>
      <c r="P244" s="7">
        <f ca="1">IFERROR(__xludf.DUMMYFUNCTION("""COMPUTED_VALUE"""),45383)</f>
        <v>45383</v>
      </c>
      <c r="Q244" s="3" t="str">
        <f ca="1">IFERROR(__xludf.DUMMYFUNCTION("""COMPUTED_VALUE"""),"503/Un.19/K.AUPK/KP.07.1/03/2024")</f>
        <v>503/Un.19/K.AUPK/KP.07.1/03/2024</v>
      </c>
      <c r="R244" s="3" t="str">
        <f ca="1">IFERROR(__xludf.DUMMYFUNCTION("""COMPUTED_VALUE"""),"Pengolah Data dan Informasi")</f>
        <v>Pengolah Data dan Informasi</v>
      </c>
      <c r="S244" s="3" t="str">
        <f ca="1">IFERROR(__xludf.DUMMYFUNCTION("""COMPUTED_VALUE"""),"Pelaksana")</f>
        <v>Pelaksana</v>
      </c>
      <c r="T244" s="7">
        <f ca="1">IFERROR(__xludf.DUMMYFUNCTION("""COMPUTED_VALUE"""),45842)</f>
        <v>45842</v>
      </c>
      <c r="U244" s="3" t="str">
        <f ca="1">IFERROR(__xludf.DUMMYFUNCTION("""COMPUTED_VALUE"""),"192031/B.II/KP.07/07/2025")</f>
        <v>192031/B.II/KP.07/07/2025</v>
      </c>
      <c r="V244" s="7">
        <f ca="1">IFERROR(__xludf.DUMMYFUNCTION("""COMPUTED_VALUE"""),45842)</f>
        <v>45842</v>
      </c>
      <c r="W244" s="3">
        <f ca="1">IFERROR(__xludf.DUMMYFUNCTION("""COMPUTED_VALUE"""),6)</f>
        <v>6</v>
      </c>
      <c r="X244" s="3"/>
      <c r="Y244" s="3" t="str">
        <f ca="1">IFERROR(__xludf.DUMMYFUNCTION("""COMPUTED_VALUE"""),"S-1")</f>
        <v>S-1</v>
      </c>
      <c r="Z244" s="3" t="str">
        <f ca="1">IFERROR(__xludf.DUMMYFUNCTION("""COMPUTED_VALUE"""),"19 Tahun 9 Bulan 27 Hari")</f>
        <v>19 Tahun 9 Bulan 27 Hari</v>
      </c>
      <c r="AA244" s="8">
        <f ca="1">IFERROR(__xludf.DUMMYFUNCTION("""COMPUTED_VALUE"""),48092)</f>
        <v>48092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4"/>
      <c r="AR244" s="3"/>
      <c r="AS244" s="4"/>
      <c r="AT244" s="3"/>
      <c r="AU244" s="3"/>
    </row>
    <row r="245" spans="1:47" x14ac:dyDescent="0.2">
      <c r="A245" s="12">
        <v>244</v>
      </c>
      <c r="B245" s="3" t="str">
        <f ca="1">IFERROR(__xludf.DUMMYFUNCTION("""COMPUTED_VALUE"""),"Eli Yuli Astuti")</f>
        <v>Eli Yuli Astuti</v>
      </c>
      <c r="C245" s="3" t="str">
        <f ca="1">IFERROR(__xludf.DUMMYFUNCTION("""COMPUTED_VALUE"""),"Eli Yuli Astuti, S.E.")</f>
        <v>Eli Yuli Astuti, S.E.</v>
      </c>
      <c r="D245" s="3" t="str">
        <f ca="1">IFERROR(__xludf.DUMMYFUNCTION("""COMPUTED_VALUE"""),"Eli Yuli Astuti, S.E.")</f>
        <v>Eli Yuli Astuti, S.E.</v>
      </c>
      <c r="E245" s="3" t="str">
        <f ca="1">IFERROR(__xludf.DUMMYFUNCTION("""COMPUTED_VALUE"""),"197610192006042003")</f>
        <v>197610192006042003</v>
      </c>
      <c r="F245" s="3" t="str">
        <f ca="1">IFERROR(__xludf.DUMMYFUNCTION("""COMPUTED_VALUE"""),"19761019 200604 2 003")</f>
        <v>19761019 200604 2 003</v>
      </c>
      <c r="G245" s="3"/>
      <c r="H245" s="3"/>
      <c r="I245" s="3" t="str">
        <f ca="1">IFERROR(__xludf.DUMMYFUNCTION("""COMPUTED_VALUE"""),"PNS")</f>
        <v>PNS</v>
      </c>
      <c r="J245" s="3" t="str">
        <f ca="1">IFERROR(__xludf.DUMMYFUNCTION("""COMPUTED_VALUE"""),"Pegawai PNS")</f>
        <v>Pegawai PNS</v>
      </c>
      <c r="K245" s="5" t="str">
        <f ca="1">IFERROR(__xludf.DUMMYFUNCTION("""COMPUTED_VALUE"""),"P")</f>
        <v>P</v>
      </c>
      <c r="L245" s="3" t="str">
        <f ca="1">IFERROR(__xludf.DUMMYFUNCTION("""COMPUTED_VALUE"""),"Banyumas")</f>
        <v>Banyumas</v>
      </c>
      <c r="M245" s="9">
        <f ca="1">IFERROR(__xludf.DUMMYFUNCTION("""COMPUTED_VALUE"""),28052)</f>
        <v>28052</v>
      </c>
      <c r="N245" s="4" t="str">
        <f ca="1">IFERROR(__xludf.DUMMYFUNCTION("""COMPUTED_VALUE"""),"Penata")</f>
        <v>Penata</v>
      </c>
      <c r="O245" s="3" t="str">
        <f ca="1">IFERROR(__xludf.DUMMYFUNCTION("""COMPUTED_VALUE"""),"III/c")</f>
        <v>III/c</v>
      </c>
      <c r="P245" s="7">
        <f ca="1">IFERROR(__xludf.DUMMYFUNCTION("""COMPUTED_VALUE"""),44652)</f>
        <v>44652</v>
      </c>
      <c r="Q245" s="3" t="str">
        <f ca="1">IFERROR(__xludf.DUMMYFUNCTION("""COMPUTED_VALUE"""),"1094/Un.19/R/KP.07.2/04/2022")</f>
        <v>1094/Un.19/R/KP.07.2/04/2022</v>
      </c>
      <c r="R245" s="3" t="str">
        <f ca="1">IFERROR(__xludf.DUMMYFUNCTION("""COMPUTED_VALUE"""),"Penelaah Teknis Kebijakan")</f>
        <v>Penelaah Teknis Kebijakan</v>
      </c>
      <c r="S245" s="3" t="str">
        <f ca="1">IFERROR(__xludf.DUMMYFUNCTION("""COMPUTED_VALUE"""),"Pelaksana")</f>
        <v>Pelaksana</v>
      </c>
      <c r="T245" s="7">
        <f ca="1">IFERROR(__xludf.DUMMYFUNCTION("""COMPUTED_VALUE"""),45842)</f>
        <v>45842</v>
      </c>
      <c r="U245" s="3" t="str">
        <f ca="1">IFERROR(__xludf.DUMMYFUNCTION("""COMPUTED_VALUE"""),"192035/B.II/KP.07/07/2025")</f>
        <v>192035/B.II/KP.07/07/2025</v>
      </c>
      <c r="V245" s="7">
        <f ca="1">IFERROR(__xludf.DUMMYFUNCTION("""COMPUTED_VALUE"""),45842)</f>
        <v>45842</v>
      </c>
      <c r="W245" s="3">
        <f ca="1">IFERROR(__xludf.DUMMYFUNCTION("""COMPUTED_VALUE"""),7)</f>
        <v>7</v>
      </c>
      <c r="X245" s="3"/>
      <c r="Y245" s="3" t="str">
        <f ca="1">IFERROR(__xludf.DUMMYFUNCTION("""COMPUTED_VALUE"""),"S-1")</f>
        <v>S-1</v>
      </c>
      <c r="Z245" s="3" t="str">
        <f ca="1">IFERROR(__xludf.DUMMYFUNCTION("""COMPUTED_VALUE"""),"19 Tahun 9 Bulan 27 Hari")</f>
        <v>19 Tahun 9 Bulan 27 Hari</v>
      </c>
      <c r="AA245" s="8">
        <f ca="1">IFERROR(__xludf.DUMMYFUNCTION("""COMPUTED_VALUE"""),49249)</f>
        <v>49249</v>
      </c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4"/>
      <c r="AR245" s="3"/>
      <c r="AS245" s="4"/>
      <c r="AT245" s="3"/>
      <c r="AU245" s="3"/>
    </row>
    <row r="246" spans="1:47" x14ac:dyDescent="0.2">
      <c r="A246" s="12">
        <v>245</v>
      </c>
      <c r="B246" s="3" t="str">
        <f ca="1">IFERROR(__xludf.DUMMYFUNCTION("""COMPUTED_VALUE"""),"Fadhil Ashari")</f>
        <v>Fadhil Ashari</v>
      </c>
      <c r="C246" s="3" t="str">
        <f ca="1">IFERROR(__xludf.DUMMYFUNCTION("""COMPUTED_VALUE"""),"Fadhil Ashari, S.Ag., M.H.")</f>
        <v>Fadhil Ashari, S.Ag., M.H.</v>
      </c>
      <c r="D246" s="3" t="str">
        <f ca="1">IFERROR(__xludf.DUMMYFUNCTION("""COMPUTED_VALUE"""),"Fadhil Ashari, S.Ag., M.H.")</f>
        <v>Fadhil Ashari, S.Ag., M.H.</v>
      </c>
      <c r="E246" s="3" t="str">
        <f ca="1">IFERROR(__xludf.DUMMYFUNCTION("""COMPUTED_VALUE"""),"197110302006041005")</f>
        <v>197110302006041005</v>
      </c>
      <c r="F246" s="3" t="str">
        <f ca="1">IFERROR(__xludf.DUMMYFUNCTION("""COMPUTED_VALUE"""),"19711030 200604 1 005")</f>
        <v>19711030 200604 1 005</v>
      </c>
      <c r="G246" s="3"/>
      <c r="H246" s="3"/>
      <c r="I246" s="3" t="str">
        <f ca="1">IFERROR(__xludf.DUMMYFUNCTION("""COMPUTED_VALUE"""),"PNS")</f>
        <v>PNS</v>
      </c>
      <c r="J246" s="3" t="str">
        <f ca="1">IFERROR(__xludf.DUMMYFUNCTION("""COMPUTED_VALUE"""),"Pegawai PNS")</f>
        <v>Pegawai PNS</v>
      </c>
      <c r="K246" s="5" t="str">
        <f ca="1">IFERROR(__xludf.DUMMYFUNCTION("""COMPUTED_VALUE"""),"L")</f>
        <v>L</v>
      </c>
      <c r="L246" s="3" t="str">
        <f ca="1">IFERROR(__xludf.DUMMYFUNCTION("""COMPUTED_VALUE"""),"Banyumas")</f>
        <v>Banyumas</v>
      </c>
      <c r="M246" s="9">
        <f ca="1">IFERROR(__xludf.DUMMYFUNCTION("""COMPUTED_VALUE"""),26236)</f>
        <v>26236</v>
      </c>
      <c r="N246" s="4" t="str">
        <f ca="1">IFERROR(__xludf.DUMMYFUNCTION("""COMPUTED_VALUE"""),"Pembina")</f>
        <v>Pembina</v>
      </c>
      <c r="O246" s="3" t="str">
        <f ca="1">IFERROR(__xludf.DUMMYFUNCTION("""COMPUTED_VALUE"""),"IV/a")</f>
        <v>IV/a</v>
      </c>
      <c r="P246" s="7">
        <f ca="1">IFERROR(__xludf.DUMMYFUNCTION("""COMPUTED_VALUE"""),44835)</f>
        <v>44835</v>
      </c>
      <c r="Q246" s="3" t="str">
        <f ca="1">IFERROR(__xludf.DUMMYFUNCTION("""COMPUTED_VALUE"""),"2168/Un.19/K.AUPK/KP.07.1/09/2022")</f>
        <v>2168/Un.19/K.AUPK/KP.07.1/09/2022</v>
      </c>
      <c r="R246" s="3" t="str">
        <f ca="1">IFERROR(__xludf.DUMMYFUNCTION("""COMPUTED_VALUE"""),"Penelaah Teknis Kebijakan")</f>
        <v>Penelaah Teknis Kebijakan</v>
      </c>
      <c r="S246" s="3" t="str">
        <f ca="1">IFERROR(__xludf.DUMMYFUNCTION("""COMPUTED_VALUE"""),"Pelaksana")</f>
        <v>Pelaksana</v>
      </c>
      <c r="T246" s="7">
        <f ca="1">IFERROR(__xludf.DUMMYFUNCTION("""COMPUTED_VALUE"""),45842)</f>
        <v>45842</v>
      </c>
      <c r="U246" s="3" t="str">
        <f ca="1">IFERROR(__xludf.DUMMYFUNCTION("""COMPUTED_VALUE"""),"192027/B.II/KP.07/07/2025")</f>
        <v>192027/B.II/KP.07/07/2025</v>
      </c>
      <c r="V246" s="7">
        <f ca="1">IFERROR(__xludf.DUMMYFUNCTION("""COMPUTED_VALUE"""),45842)</f>
        <v>45842</v>
      </c>
      <c r="W246" s="3">
        <f ca="1">IFERROR(__xludf.DUMMYFUNCTION("""COMPUTED_VALUE"""),7)</f>
        <v>7</v>
      </c>
      <c r="X246" s="3"/>
      <c r="Y246" s="3" t="str">
        <f ca="1">IFERROR(__xludf.DUMMYFUNCTION("""COMPUTED_VALUE"""),"S-2")</f>
        <v>S-2</v>
      </c>
      <c r="Z246" s="3" t="str">
        <f ca="1">IFERROR(__xludf.DUMMYFUNCTION("""COMPUTED_VALUE"""),"19 Tahun 9 Bulan 27 Hari")</f>
        <v>19 Tahun 9 Bulan 27 Hari</v>
      </c>
      <c r="AA246" s="8">
        <f ca="1">IFERROR(__xludf.DUMMYFUNCTION("""COMPUTED_VALUE"""),47423)</f>
        <v>47423</v>
      </c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4"/>
      <c r="AR246" s="3"/>
      <c r="AS246" s="4"/>
      <c r="AT246" s="3"/>
      <c r="AU246" s="3"/>
    </row>
    <row r="247" spans="1:47" x14ac:dyDescent="0.2">
      <c r="A247" s="12">
        <v>246</v>
      </c>
      <c r="B247" s="3" t="str">
        <f ca="1">IFERROR(__xludf.DUMMYFUNCTION("""COMPUTED_VALUE"""),"Fatkhurrozi")</f>
        <v>Fatkhurrozi</v>
      </c>
      <c r="C247" s="3" t="str">
        <f ca="1">IFERROR(__xludf.DUMMYFUNCTION("""COMPUTED_VALUE"""),"H. Fatkhurrozi, M.Kom.")</f>
        <v>H. Fatkhurrozi, M.Kom.</v>
      </c>
      <c r="D247" s="3" t="str">
        <f ca="1">IFERROR(__xludf.DUMMYFUNCTION("""COMPUTED_VALUE"""),"H. Fatkhurrozi, M.Kom.")</f>
        <v>H. Fatkhurrozi, M.Kom.</v>
      </c>
      <c r="E247" s="3" t="str">
        <f ca="1">IFERROR(__xludf.DUMMYFUNCTION("""COMPUTED_VALUE"""),"197408202007011013")</f>
        <v>197408202007011013</v>
      </c>
      <c r="F247" s="3" t="str">
        <f ca="1">IFERROR(__xludf.DUMMYFUNCTION("""COMPUTED_VALUE"""),"19740820 200701 1 013")</f>
        <v>19740820 200701 1 013</v>
      </c>
      <c r="G247" s="3"/>
      <c r="H247" s="3"/>
      <c r="I247" s="3" t="str">
        <f ca="1">IFERROR(__xludf.DUMMYFUNCTION("""COMPUTED_VALUE"""),"PNS")</f>
        <v>PNS</v>
      </c>
      <c r="J247" s="3" t="str">
        <f ca="1">IFERROR(__xludf.DUMMYFUNCTION("""COMPUTED_VALUE"""),"Pegawai PNS")</f>
        <v>Pegawai PNS</v>
      </c>
      <c r="K247" s="5" t="str">
        <f ca="1">IFERROR(__xludf.DUMMYFUNCTION("""COMPUTED_VALUE"""),"L")</f>
        <v>L</v>
      </c>
      <c r="L247" s="3" t="str">
        <f ca="1">IFERROR(__xludf.DUMMYFUNCTION("""COMPUTED_VALUE"""),"Banjarnegara")</f>
        <v>Banjarnegara</v>
      </c>
      <c r="M247" s="7">
        <f ca="1">IFERROR(__xludf.DUMMYFUNCTION("""COMPUTED_VALUE"""),27261)</f>
        <v>27261</v>
      </c>
      <c r="N247" s="4" t="str">
        <f ca="1">IFERROR(__xludf.DUMMYFUNCTION("""COMPUTED_VALUE"""),"Pembina")</f>
        <v>Pembina</v>
      </c>
      <c r="O247" s="3" t="str">
        <f ca="1">IFERROR(__xludf.DUMMYFUNCTION("""COMPUTED_VALUE"""),"IV/a")</f>
        <v>IV/a</v>
      </c>
      <c r="P247" s="7">
        <f ca="1">IFERROR(__xludf.DUMMYFUNCTION("""COMPUTED_VALUE"""),45931)</f>
        <v>45931</v>
      </c>
      <c r="Q247" s="3" t="str">
        <f ca="1">IFERROR(__xludf.DUMMYFUNCTION("""COMPUTED_VALUE"""),"196343/B.II/KP.07.1/08/2025")</f>
        <v>196343/B.II/KP.07.1/08/2025</v>
      </c>
      <c r="R247" s="3" t="str">
        <f ca="1">IFERROR(__xludf.DUMMYFUNCTION("""COMPUTED_VALUE"""),"Kepala Bagian Tata Usaha")</f>
        <v>Kepala Bagian Tata Usaha</v>
      </c>
      <c r="S247" s="3" t="str">
        <f ca="1">IFERROR(__xludf.DUMMYFUNCTION("""COMPUTED_VALUE"""),"Administrator")</f>
        <v>Administrator</v>
      </c>
      <c r="T247" s="7">
        <f ca="1">IFERROR(__xludf.DUMMYFUNCTION("""COMPUTED_VALUE"""),45481)</f>
        <v>45481</v>
      </c>
      <c r="U247" s="3" t="str">
        <f ca="1">IFERROR(__xludf.DUMMYFUNCTION("""COMPUTED_VALUE"""),"028661/B.II/3/2024")</f>
        <v>028661/B.II/3/2024</v>
      </c>
      <c r="V247" s="7">
        <f ca="1">IFERROR(__xludf.DUMMYFUNCTION("""COMPUTED_VALUE"""),45475)</f>
        <v>45475</v>
      </c>
      <c r="W247" s="3">
        <f ca="1">IFERROR(__xludf.DUMMYFUNCTION("""COMPUTED_VALUE"""),11)</f>
        <v>11</v>
      </c>
      <c r="X247" s="7" t="str">
        <f ca="1">IFERROR(__xludf.DUMMYFUNCTION("""COMPUTED_VALUE"""),"Kepala Bagian Tata Usaha Fakultas Ushuluddin, Adab, dan Humaniora")</f>
        <v>Kepala Bagian Tata Usaha Fakultas Ushuluddin, Adab, dan Humaniora</v>
      </c>
      <c r="Y247" s="3" t="str">
        <f ca="1">IFERROR(__xludf.DUMMYFUNCTION("""COMPUTED_VALUE"""),"S-2")</f>
        <v>S-2</v>
      </c>
      <c r="Z247" s="3" t="str">
        <f ca="1">IFERROR(__xludf.DUMMYFUNCTION("""COMPUTED_VALUE"""),"19 Tahun 0 Bulan 27 Hari")</f>
        <v>19 Tahun 0 Bulan 27 Hari</v>
      </c>
      <c r="AA247" s="8">
        <f ca="1">IFERROR(__xludf.DUMMYFUNCTION("""COMPUTED_VALUE"""),48458)</f>
        <v>48458</v>
      </c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4"/>
      <c r="AR247" s="3"/>
      <c r="AS247" s="4"/>
      <c r="AT247" s="3"/>
      <c r="AU247" s="3"/>
    </row>
    <row r="248" spans="1:47" x14ac:dyDescent="0.2">
      <c r="A248" s="12">
        <v>247</v>
      </c>
      <c r="B248" s="3" t="str">
        <f ca="1">IFERROR(__xludf.DUMMYFUNCTION("""COMPUTED_VALUE"""),"Fauziyah")</f>
        <v>Fauziyah</v>
      </c>
      <c r="C248" s="3" t="str">
        <f ca="1">IFERROR(__xludf.DUMMYFUNCTION("""COMPUTED_VALUE"""),"Fauziyah, S.H.I., M.H.")</f>
        <v>Fauziyah, S.H.I., M.H.</v>
      </c>
      <c r="D248" s="3" t="str">
        <f ca="1">IFERROR(__xludf.DUMMYFUNCTION("""COMPUTED_VALUE"""),"Fauziyah, S.H.I., M.H.")</f>
        <v>Fauziyah, S.H.I., M.H.</v>
      </c>
      <c r="E248" s="3" t="str">
        <f ca="1">IFERROR(__xludf.DUMMYFUNCTION("""COMPUTED_VALUE"""),"197906212011012005")</f>
        <v>197906212011012005</v>
      </c>
      <c r="F248" s="3" t="str">
        <f ca="1">IFERROR(__xludf.DUMMYFUNCTION("""COMPUTED_VALUE"""),"19790621 201101 2 005")</f>
        <v>19790621 201101 2 005</v>
      </c>
      <c r="G248" s="3"/>
      <c r="H248" s="3"/>
      <c r="I248" s="3" t="str">
        <f ca="1">IFERROR(__xludf.DUMMYFUNCTION("""COMPUTED_VALUE"""),"PNS")</f>
        <v>PNS</v>
      </c>
      <c r="J248" s="3" t="str">
        <f ca="1">IFERROR(__xludf.DUMMYFUNCTION("""COMPUTED_VALUE"""),"Pegawai PNS")</f>
        <v>Pegawai PNS</v>
      </c>
      <c r="K248" s="5" t="str">
        <f ca="1">IFERROR(__xludf.DUMMYFUNCTION("""COMPUTED_VALUE"""),"P")</f>
        <v>P</v>
      </c>
      <c r="L248" s="3" t="str">
        <f ca="1">IFERROR(__xludf.DUMMYFUNCTION("""COMPUTED_VALUE"""),"Tegal")</f>
        <v>Tegal</v>
      </c>
      <c r="M248" s="7">
        <f ca="1">IFERROR(__xludf.DUMMYFUNCTION("""COMPUTED_VALUE"""),29027)</f>
        <v>29027</v>
      </c>
      <c r="N248" s="4" t="str">
        <f ca="1">IFERROR(__xludf.DUMMYFUNCTION("""COMPUTED_VALUE"""),"Penata Tk.I")</f>
        <v>Penata Tk.I</v>
      </c>
      <c r="O248" s="3" t="str">
        <f ca="1">IFERROR(__xludf.DUMMYFUNCTION("""COMPUTED_VALUE"""),"III/d")</f>
        <v>III/d</v>
      </c>
      <c r="P248" s="7">
        <f ca="1">IFERROR(__xludf.DUMMYFUNCTION("""COMPUTED_VALUE"""),45017)</f>
        <v>45017</v>
      </c>
      <c r="Q248" s="3" t="str">
        <f ca="1">IFERROR(__xludf.DUMMYFUNCTION("""COMPUTED_VALUE"""),"510/Un.19/K.AUPK/KP.07.2/03/2023")</f>
        <v>510/Un.19/K.AUPK/KP.07.2/03/2023</v>
      </c>
      <c r="R248" s="3" t="str">
        <f ca="1">IFERROR(__xludf.DUMMYFUNCTION("""COMPUTED_VALUE"""),"Kepala Subbagian Layanan Akademik")</f>
        <v>Kepala Subbagian Layanan Akademik</v>
      </c>
      <c r="S248" s="3" t="str">
        <f ca="1">IFERROR(__xludf.DUMMYFUNCTION("""COMPUTED_VALUE"""),"Pengawas")</f>
        <v>Pengawas</v>
      </c>
      <c r="T248" s="7">
        <f ca="1">IFERROR(__xludf.DUMMYFUNCTION("""COMPUTED_VALUE"""),45481)</f>
        <v>45481</v>
      </c>
      <c r="U248" s="3" t="str">
        <f ca="1">IFERROR(__xludf.DUMMYFUNCTION("""COMPUTED_VALUE"""),"744 Tahun 2024")</f>
        <v>744 Tahun 2024</v>
      </c>
      <c r="V248" s="3"/>
      <c r="W248" s="3">
        <f ca="1">IFERROR(__xludf.DUMMYFUNCTION("""COMPUTED_VALUE"""),9)</f>
        <v>9</v>
      </c>
      <c r="X248" s="7" t="str">
        <f ca="1">IFERROR(__xludf.DUMMYFUNCTION("""COMPUTED_VALUE"""),"Kepala Subbagian Layanan Akademik")</f>
        <v>Kepala Subbagian Layanan Akademik</v>
      </c>
      <c r="Y248" s="3" t="str">
        <f ca="1">IFERROR(__xludf.DUMMYFUNCTION("""COMPUTED_VALUE"""),"S-2")</f>
        <v>S-2</v>
      </c>
      <c r="Z248" s="3" t="str">
        <f ca="1">IFERROR(__xludf.DUMMYFUNCTION("""COMPUTED_VALUE"""),"15 Tahun 0 Bulan 27 Hari")</f>
        <v>15 Tahun 0 Bulan 27 Hari</v>
      </c>
      <c r="AA248" s="8">
        <f ca="1">IFERROR(__xludf.DUMMYFUNCTION("""COMPUTED_VALUE"""),50222)</f>
        <v>50222</v>
      </c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4"/>
      <c r="AR248" s="3"/>
      <c r="AS248" s="4"/>
      <c r="AT248" s="3"/>
      <c r="AU248" s="3"/>
    </row>
    <row r="249" spans="1:47" x14ac:dyDescent="0.2">
      <c r="A249" s="12">
        <v>248</v>
      </c>
      <c r="B249" s="3" t="str">
        <f ca="1">IFERROR(__xludf.DUMMYFUNCTION("""COMPUTED_VALUE"""),"Hargiyanto Syamsu Suwandhito")</f>
        <v>Hargiyanto Syamsu Suwandhito</v>
      </c>
      <c r="C249" s="3" t="str">
        <f ca="1">IFERROR(__xludf.DUMMYFUNCTION("""COMPUTED_VALUE"""),"Hargiyanto Syamsu Suwandhito, A.Md.")</f>
        <v>Hargiyanto Syamsu Suwandhito, A.Md.</v>
      </c>
      <c r="D249" s="3" t="str">
        <f ca="1">IFERROR(__xludf.DUMMYFUNCTION("""COMPUTED_VALUE"""),"Hargiyanto Syamsu Suwandhito, A.Md.")</f>
        <v>Hargiyanto Syamsu Suwandhito, A.Md.</v>
      </c>
      <c r="E249" s="3" t="str">
        <f ca="1">IFERROR(__xludf.DUMMYFUNCTION("""COMPUTED_VALUE"""),"197311191998031001")</f>
        <v>197311191998031001</v>
      </c>
      <c r="F249" s="3" t="str">
        <f ca="1">IFERROR(__xludf.DUMMYFUNCTION("""COMPUTED_VALUE"""),"19731119 199803 1 001")</f>
        <v>19731119 199803 1 001</v>
      </c>
      <c r="G249" s="3"/>
      <c r="H249" s="3"/>
      <c r="I249" s="3" t="str">
        <f ca="1">IFERROR(__xludf.DUMMYFUNCTION("""COMPUTED_VALUE"""),"PNS")</f>
        <v>PNS</v>
      </c>
      <c r="J249" s="3" t="str">
        <f ca="1">IFERROR(__xludf.DUMMYFUNCTION("""COMPUTED_VALUE"""),"Pegawai PNS")</f>
        <v>Pegawai PNS</v>
      </c>
      <c r="K249" s="5" t="str">
        <f ca="1">IFERROR(__xludf.DUMMYFUNCTION("""COMPUTED_VALUE"""),"L")</f>
        <v>L</v>
      </c>
      <c r="L249" s="3" t="str">
        <f ca="1">IFERROR(__xludf.DUMMYFUNCTION("""COMPUTED_VALUE"""),"Yogyakarta")</f>
        <v>Yogyakarta</v>
      </c>
      <c r="M249" s="9">
        <f ca="1">IFERROR(__xludf.DUMMYFUNCTION("""COMPUTED_VALUE"""),26987)</f>
        <v>26987</v>
      </c>
      <c r="N249" s="4" t="str">
        <f ca="1">IFERROR(__xludf.DUMMYFUNCTION("""COMPUTED_VALUE"""),"Penata Tk.I")</f>
        <v>Penata Tk.I</v>
      </c>
      <c r="O249" s="3" t="str">
        <f ca="1">IFERROR(__xludf.DUMMYFUNCTION("""COMPUTED_VALUE"""),"III/d")</f>
        <v>III/d</v>
      </c>
      <c r="P249" s="7">
        <f ca="1">IFERROR(__xludf.DUMMYFUNCTION("""COMPUTED_VALUE"""),43922)</f>
        <v>43922</v>
      </c>
      <c r="Q249" s="3" t="str">
        <f ca="1">IFERROR(__xludf.DUMMYFUNCTION("""COMPUTED_VALUE"""),"11781/B.II/3/2020")</f>
        <v>11781/B.II/3/2020</v>
      </c>
      <c r="R249" s="3" t="str">
        <f ca="1">IFERROR(__xludf.DUMMYFUNCTION("""COMPUTED_VALUE"""),"Arsiparis")</f>
        <v>Arsiparis</v>
      </c>
      <c r="S249" s="3" t="str">
        <f ca="1">IFERROR(__xludf.DUMMYFUNCTION("""COMPUTED_VALUE"""),"Ahli Muda")</f>
        <v>Ahli Muda</v>
      </c>
      <c r="T249" s="7">
        <f ca="1">IFERROR(__xludf.DUMMYFUNCTION("""COMPUTED_VALUE"""),45293)</f>
        <v>45293</v>
      </c>
      <c r="U249" s="3" t="str">
        <f ca="1">IFERROR(__xludf.DUMMYFUNCTION("""COMPUTED_VALUE"""),"163/Un.19/K.AUPK/KP.07.6/1/2024")</f>
        <v>163/Un.19/K.AUPK/KP.07.6/1/2024</v>
      </c>
      <c r="V249" s="7">
        <f ca="1">IFERROR(__xludf.DUMMYFUNCTION("""COMPUTED_VALUE"""),45293)</f>
        <v>45293</v>
      </c>
      <c r="W249" s="3">
        <f ca="1">IFERROR(__xludf.DUMMYFUNCTION("""COMPUTED_VALUE"""),9)</f>
        <v>9</v>
      </c>
      <c r="X249" s="7" t="str">
        <f ca="1">IFERROR(__xludf.DUMMYFUNCTION("""COMPUTED_VALUE"""),"Ketua Tim Kerja AKA FTIK")</f>
        <v>Ketua Tim Kerja AKA FTIK</v>
      </c>
      <c r="Y249" s="3" t="str">
        <f ca="1">IFERROR(__xludf.DUMMYFUNCTION("""COMPUTED_VALUE"""),"D-3")</f>
        <v>D-3</v>
      </c>
      <c r="Z249" s="3" t="str">
        <f ca="1">IFERROR(__xludf.DUMMYFUNCTION("""COMPUTED_VALUE"""),"27 Tahun 10 Bulan 27 Hari")</f>
        <v>27 Tahun 10 Bulan 27 Hari</v>
      </c>
      <c r="AA249" s="8">
        <f ca="1">IFERROR(__xludf.DUMMYFUNCTION("""COMPUTED_VALUE"""),48183)</f>
        <v>48183</v>
      </c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4"/>
      <c r="AR249" s="3"/>
      <c r="AS249" s="4"/>
      <c r="AT249" s="3"/>
      <c r="AU249" s="3"/>
    </row>
    <row r="250" spans="1:47" x14ac:dyDescent="0.2">
      <c r="A250" s="12">
        <v>249</v>
      </c>
      <c r="B250" s="3" t="str">
        <f ca="1">IFERROR(__xludf.DUMMYFUNCTION("""COMPUTED_VALUE"""),"Ikhda Aniroh")</f>
        <v>Ikhda Aniroh</v>
      </c>
      <c r="C250" s="3" t="str">
        <f ca="1">IFERROR(__xludf.DUMMYFUNCTION("""COMPUTED_VALUE"""),"Ikhda Aniroh, S.Ag., M.Pd.I.")</f>
        <v>Ikhda Aniroh, S.Ag., M.Pd.I.</v>
      </c>
      <c r="D250" s="3" t="str">
        <f ca="1">IFERROR(__xludf.DUMMYFUNCTION("""COMPUTED_VALUE"""),"Ikhda Aniroh, S.Ag., M.Pd.I.")</f>
        <v>Ikhda Aniroh, S.Ag., M.Pd.I.</v>
      </c>
      <c r="E250" s="3" t="str">
        <f ca="1">IFERROR(__xludf.DUMMYFUNCTION("""COMPUTED_VALUE"""),"197509142005012004")</f>
        <v>197509142005012004</v>
      </c>
      <c r="F250" s="3" t="str">
        <f ca="1">IFERROR(__xludf.DUMMYFUNCTION("""COMPUTED_VALUE"""),"19750914 200501 2 004")</f>
        <v>19750914 200501 2 004</v>
      </c>
      <c r="G250" s="3"/>
      <c r="H250" s="3"/>
      <c r="I250" s="3" t="str">
        <f ca="1">IFERROR(__xludf.DUMMYFUNCTION("""COMPUTED_VALUE"""),"PNS")</f>
        <v>PNS</v>
      </c>
      <c r="J250" s="3" t="str">
        <f ca="1">IFERROR(__xludf.DUMMYFUNCTION("""COMPUTED_VALUE"""),"Pegawai PNS")</f>
        <v>Pegawai PNS</v>
      </c>
      <c r="K250" s="5" t="str">
        <f ca="1">IFERROR(__xludf.DUMMYFUNCTION("""COMPUTED_VALUE"""),"P")</f>
        <v>P</v>
      </c>
      <c r="L250" s="3" t="str">
        <f ca="1">IFERROR(__xludf.DUMMYFUNCTION("""COMPUTED_VALUE"""),"Banyumas")</f>
        <v>Banyumas</v>
      </c>
      <c r="M250" s="7">
        <f ca="1">IFERROR(__xludf.DUMMYFUNCTION("""COMPUTED_VALUE"""),27651)</f>
        <v>27651</v>
      </c>
      <c r="N250" s="4" t="str">
        <f ca="1">IFERROR(__xludf.DUMMYFUNCTION("""COMPUTED_VALUE"""),"Pembina")</f>
        <v>Pembina</v>
      </c>
      <c r="O250" s="3" t="str">
        <f ca="1">IFERROR(__xludf.DUMMYFUNCTION("""COMPUTED_VALUE"""),"IV/a")</f>
        <v>IV/a</v>
      </c>
      <c r="P250" s="7">
        <f ca="1">IFERROR(__xludf.DUMMYFUNCTION("""COMPUTED_VALUE"""),44287)</f>
        <v>44287</v>
      </c>
      <c r="Q250" s="3" t="str">
        <f ca="1">IFERROR(__xludf.DUMMYFUNCTION("""COMPUTED_VALUE"""),"21179/B.II/3/2021")</f>
        <v>21179/B.II/3/2021</v>
      </c>
      <c r="R250" s="3" t="str">
        <f ca="1">IFERROR(__xludf.DUMMYFUNCTION("""COMPUTED_VALUE"""),"Analis Kebijakan")</f>
        <v>Analis Kebijakan</v>
      </c>
      <c r="S250" s="3" t="str">
        <f ca="1">IFERROR(__xludf.DUMMYFUNCTION("""COMPUTED_VALUE"""),"Ahli Muda")</f>
        <v>Ahli Muda</v>
      </c>
      <c r="T250" s="7">
        <f ca="1">IFERROR(__xludf.DUMMYFUNCTION("""COMPUTED_VALUE"""),45717)</f>
        <v>45717</v>
      </c>
      <c r="U250" s="3" t="str">
        <f ca="1">IFERROR(__xludf.DUMMYFUNCTION("""COMPUTED_VALUE"""),"146357/B.II/KP.07.6/02/2025")</f>
        <v>146357/B.II/KP.07.6/02/2025</v>
      </c>
      <c r="V250" s="7">
        <f ca="1">IFERROR(__xludf.DUMMYFUNCTION("""COMPUTED_VALUE"""),45706)</f>
        <v>45706</v>
      </c>
      <c r="W250" s="3">
        <f ca="1">IFERROR(__xludf.DUMMYFUNCTION("""COMPUTED_VALUE"""),10)</f>
        <v>10</v>
      </c>
      <c r="X250" s="7" t="str">
        <f ca="1">IFERROR(__xludf.DUMMYFUNCTION("""COMPUTED_VALUE"""),"Ketua Tim kerja Ketatausahaan, Kearsipan, dan Rumah Tangga")</f>
        <v>Ketua Tim kerja Ketatausahaan, Kearsipan, dan Rumah Tangga</v>
      </c>
      <c r="Y250" s="3" t="str">
        <f ca="1">IFERROR(__xludf.DUMMYFUNCTION("""COMPUTED_VALUE"""),"S-2")</f>
        <v>S-2</v>
      </c>
      <c r="Z250" s="3" t="str">
        <f ca="1">IFERROR(__xludf.DUMMYFUNCTION("""COMPUTED_VALUE"""),"21 Tahun 0 Bulan 27 Hari")</f>
        <v>21 Tahun 0 Bulan 27 Hari</v>
      </c>
      <c r="AA250" s="8">
        <f ca="1">IFERROR(__xludf.DUMMYFUNCTION("""COMPUTED_VALUE"""),48853)</f>
        <v>48853</v>
      </c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4"/>
      <c r="AR250" s="3"/>
      <c r="AS250" s="4"/>
      <c r="AT250" s="3"/>
      <c r="AU250" s="3"/>
    </row>
    <row r="251" spans="1:47" x14ac:dyDescent="0.2">
      <c r="A251" s="12">
        <v>250</v>
      </c>
      <c r="B251" s="3" t="str">
        <f ca="1">IFERROR(__xludf.DUMMYFUNCTION("""COMPUTED_VALUE"""),"Imam Baihaqi")</f>
        <v>Imam Baihaqi</v>
      </c>
      <c r="C251" s="3" t="str">
        <f ca="1">IFERROR(__xludf.DUMMYFUNCTION("""COMPUTED_VALUE"""),"Imam Baihaqi, S.Sos.")</f>
        <v>Imam Baihaqi, S.Sos.</v>
      </c>
      <c r="D251" s="3" t="str">
        <f ca="1">IFERROR(__xludf.DUMMYFUNCTION("""COMPUTED_VALUE"""),"Imam Baihaqi, S.Sos., M.E.")</f>
        <v>Imam Baihaqi, S.Sos., M.E.</v>
      </c>
      <c r="E251" s="3" t="str">
        <f ca="1">IFERROR(__xludf.DUMMYFUNCTION("""COMPUTED_VALUE"""),"197711092009011010")</f>
        <v>197711092009011010</v>
      </c>
      <c r="F251" s="3" t="str">
        <f ca="1">IFERROR(__xludf.DUMMYFUNCTION("""COMPUTED_VALUE"""),"19771109 200901 1 010")</f>
        <v>19771109 200901 1 010</v>
      </c>
      <c r="G251" s="3"/>
      <c r="H251" s="3"/>
      <c r="I251" s="3" t="str">
        <f ca="1">IFERROR(__xludf.DUMMYFUNCTION("""COMPUTED_VALUE"""),"PNS")</f>
        <v>PNS</v>
      </c>
      <c r="J251" s="3" t="str">
        <f ca="1">IFERROR(__xludf.DUMMYFUNCTION("""COMPUTED_VALUE"""),"Pegawai PNS")</f>
        <v>Pegawai PNS</v>
      </c>
      <c r="K251" s="5" t="str">
        <f ca="1">IFERROR(__xludf.DUMMYFUNCTION("""COMPUTED_VALUE"""),"L")</f>
        <v>L</v>
      </c>
      <c r="L251" s="3" t="str">
        <f ca="1">IFERROR(__xludf.DUMMYFUNCTION("""COMPUTED_VALUE"""),"Banyumas")</f>
        <v>Banyumas</v>
      </c>
      <c r="M251" s="7">
        <f ca="1">IFERROR(__xludf.DUMMYFUNCTION("""COMPUTED_VALUE"""),28438)</f>
        <v>28438</v>
      </c>
      <c r="N251" s="4" t="str">
        <f ca="1">IFERROR(__xludf.DUMMYFUNCTION("""COMPUTED_VALUE"""),"Penata Muda Tk.I")</f>
        <v>Penata Muda Tk.I</v>
      </c>
      <c r="O251" s="3" t="str">
        <f ca="1">IFERROR(__xludf.DUMMYFUNCTION("""COMPUTED_VALUE"""),"III/b")</f>
        <v>III/b</v>
      </c>
      <c r="P251" s="7">
        <f ca="1">IFERROR(__xludf.DUMMYFUNCTION("""COMPUTED_VALUE"""),45748)</f>
        <v>45748</v>
      </c>
      <c r="Q251" s="3" t="str">
        <f ca="1">IFERROR(__xludf.DUMMYFUNCTION("""COMPUTED_VALUE"""),"281/Un.19/K.AUPK/KP.11.1/02/2025")</f>
        <v>281/Un.19/K.AUPK/KP.11.1/02/2025</v>
      </c>
      <c r="R251" s="3" t="str">
        <f ca="1">IFERROR(__xludf.DUMMYFUNCTION("""COMPUTED_VALUE"""),"Pengolah Data dan Informasi")</f>
        <v>Pengolah Data dan Informasi</v>
      </c>
      <c r="S251" s="3" t="str">
        <f ca="1">IFERROR(__xludf.DUMMYFUNCTION("""COMPUTED_VALUE"""),"Pelaksana")</f>
        <v>Pelaksana</v>
      </c>
      <c r="T251" s="7">
        <f ca="1">IFERROR(__xludf.DUMMYFUNCTION("""COMPUTED_VALUE"""),45842)</f>
        <v>45842</v>
      </c>
      <c r="U251" s="3" t="str">
        <f ca="1">IFERROR(__xludf.DUMMYFUNCTION("""COMPUTED_VALUE"""),"192036/B.II/KP.07/07/2025")</f>
        <v>192036/B.II/KP.07/07/2025</v>
      </c>
      <c r="V251" s="7">
        <f ca="1">IFERROR(__xludf.DUMMYFUNCTION("""COMPUTED_VALUE"""),45842)</f>
        <v>45842</v>
      </c>
      <c r="W251" s="3">
        <f ca="1">IFERROR(__xludf.DUMMYFUNCTION("""COMPUTED_VALUE"""),6)</f>
        <v>6</v>
      </c>
      <c r="X251" s="3"/>
      <c r="Y251" s="3" t="str">
        <f ca="1">IFERROR(__xludf.DUMMYFUNCTION("""COMPUTED_VALUE"""),"S-2")</f>
        <v>S-2</v>
      </c>
      <c r="Z251" s="3" t="str">
        <f ca="1">IFERROR(__xludf.DUMMYFUNCTION("""COMPUTED_VALUE"""),"17 Tahun 0 Bulan 27 Hari")</f>
        <v>17 Tahun 0 Bulan 27 Hari</v>
      </c>
      <c r="AA251" s="8">
        <f ca="1">IFERROR(__xludf.DUMMYFUNCTION("""COMPUTED_VALUE"""),49644)</f>
        <v>49644</v>
      </c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4"/>
      <c r="AR251" s="3"/>
      <c r="AS251" s="4"/>
      <c r="AT251" s="3"/>
      <c r="AU251" s="3"/>
    </row>
    <row r="252" spans="1:47" x14ac:dyDescent="0.2">
      <c r="A252" s="12">
        <v>251</v>
      </c>
      <c r="B252" s="3" t="str">
        <f ca="1">IFERROR(__xludf.DUMMYFUNCTION("""COMPUTED_VALUE"""),"Imam Supriyono")</f>
        <v>Imam Supriyono</v>
      </c>
      <c r="C252" s="3" t="str">
        <f ca="1">IFERROR(__xludf.DUMMYFUNCTION("""COMPUTED_VALUE"""),"Imam Supriyono, S.Sos.")</f>
        <v>Imam Supriyono, S.Sos.</v>
      </c>
      <c r="D252" s="3" t="str">
        <f ca="1">IFERROR(__xludf.DUMMYFUNCTION("""COMPUTED_VALUE"""),"Imam Supriyono, S.Sos.")</f>
        <v>Imam Supriyono, S.Sos.</v>
      </c>
      <c r="E252" s="3" t="str">
        <f ca="1">IFERROR(__xludf.DUMMYFUNCTION("""COMPUTED_VALUE"""),"197306062009011013")</f>
        <v>197306062009011013</v>
      </c>
      <c r="F252" s="3" t="str">
        <f ca="1">IFERROR(__xludf.DUMMYFUNCTION("""COMPUTED_VALUE"""),"19730606 200901 1 013")</f>
        <v>19730606 200901 1 013</v>
      </c>
      <c r="G252" s="3"/>
      <c r="H252" s="3"/>
      <c r="I252" s="3" t="str">
        <f ca="1">IFERROR(__xludf.DUMMYFUNCTION("""COMPUTED_VALUE"""),"PNS")</f>
        <v>PNS</v>
      </c>
      <c r="J252" s="3" t="str">
        <f ca="1">IFERROR(__xludf.DUMMYFUNCTION("""COMPUTED_VALUE"""),"Pegawai PNS")</f>
        <v>Pegawai PNS</v>
      </c>
      <c r="K252" s="5" t="str">
        <f ca="1">IFERROR(__xludf.DUMMYFUNCTION("""COMPUTED_VALUE"""),"L")</f>
        <v>L</v>
      </c>
      <c r="L252" s="3" t="str">
        <f ca="1">IFERROR(__xludf.DUMMYFUNCTION("""COMPUTED_VALUE"""),"Banyumas")</f>
        <v>Banyumas</v>
      </c>
      <c r="M252" s="7">
        <f ca="1">IFERROR(__xludf.DUMMYFUNCTION("""COMPUTED_VALUE"""),26821)</f>
        <v>26821</v>
      </c>
      <c r="N252" s="4" t="str">
        <f ca="1">IFERROR(__xludf.DUMMYFUNCTION("""COMPUTED_VALUE"""),"Penata Muda")</f>
        <v>Penata Muda</v>
      </c>
      <c r="O252" s="3" t="str">
        <f ca="1">IFERROR(__xludf.DUMMYFUNCTION("""COMPUTED_VALUE"""),"III/a")</f>
        <v>III/a</v>
      </c>
      <c r="P252" s="7">
        <f ca="1">IFERROR(__xludf.DUMMYFUNCTION("""COMPUTED_VALUE"""),45870)</f>
        <v>45870</v>
      </c>
      <c r="Q252" s="3" t="str">
        <f ca="1">IFERROR(__xludf.DUMMYFUNCTION("""COMPUTED_VALUE"""),"193181/B.II/KP.07.1/07/2025")</f>
        <v>193181/B.II/KP.07.1/07/2025</v>
      </c>
      <c r="R252" s="3" t="str">
        <f ca="1">IFERROR(__xludf.DUMMYFUNCTION("""COMPUTED_VALUE"""),"‌Pengadministrasi Perkantoran")</f>
        <v>‌Pengadministrasi Perkantoran</v>
      </c>
      <c r="S252" s="3" t="str">
        <f ca="1">IFERROR(__xludf.DUMMYFUNCTION("""COMPUTED_VALUE"""),"Pelaksana")</f>
        <v>Pelaksana</v>
      </c>
      <c r="T252" s="7">
        <f ca="1">IFERROR(__xludf.DUMMYFUNCTION("""COMPUTED_VALUE"""),45842)</f>
        <v>45842</v>
      </c>
      <c r="U252" s="3" t="str">
        <f ca="1">IFERROR(__xludf.DUMMYFUNCTION("""COMPUTED_VALUE"""),"192030/B.II/KP.07/07/2025")</f>
        <v>192030/B.II/KP.07/07/2025</v>
      </c>
      <c r="V252" s="7">
        <f ca="1">IFERROR(__xludf.DUMMYFUNCTION("""COMPUTED_VALUE"""),45842)</f>
        <v>45842</v>
      </c>
      <c r="W252" s="3">
        <f ca="1">IFERROR(__xludf.DUMMYFUNCTION("""COMPUTED_VALUE"""),5)</f>
        <v>5</v>
      </c>
      <c r="X252" s="3"/>
      <c r="Y252" s="3" t="str">
        <f ca="1">IFERROR(__xludf.DUMMYFUNCTION("""COMPUTED_VALUE"""),"S-1")</f>
        <v>S-1</v>
      </c>
      <c r="Z252" s="3" t="str">
        <f ca="1">IFERROR(__xludf.DUMMYFUNCTION("""COMPUTED_VALUE"""),"17 Tahun 0 Bulan 27 Hari")</f>
        <v>17 Tahun 0 Bulan 27 Hari</v>
      </c>
      <c r="AA252" s="8">
        <f ca="1">IFERROR(__xludf.DUMMYFUNCTION("""COMPUTED_VALUE"""),48030)</f>
        <v>48030</v>
      </c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4"/>
      <c r="AR252" s="3"/>
      <c r="AS252" s="4"/>
      <c r="AT252" s="3"/>
      <c r="AU252" s="3"/>
    </row>
    <row r="253" spans="1:47" x14ac:dyDescent="0.2">
      <c r="A253" s="12">
        <v>252</v>
      </c>
      <c r="B253" s="3" t="str">
        <f ca="1">IFERROR(__xludf.DUMMYFUNCTION("""COMPUTED_VALUE"""),"Indah Wijaya Antasari")</f>
        <v>Indah Wijaya Antasari</v>
      </c>
      <c r="C253" s="3" t="str">
        <f ca="1">IFERROR(__xludf.DUMMYFUNCTION("""COMPUTED_VALUE"""),"Indah Wijaya Antasari, S.Sos., M.I.Kom.")</f>
        <v>Indah Wijaya Antasari, S.Sos., M.I.Kom.</v>
      </c>
      <c r="D253" s="3" t="str">
        <f ca="1">IFERROR(__xludf.DUMMYFUNCTION("""COMPUTED_VALUE"""),"Indah Wijaya Antasari, S.Sos., M.I.Kom.")</f>
        <v>Indah Wijaya Antasari, S.Sos., M.I.Kom.</v>
      </c>
      <c r="E253" s="3" t="str">
        <f ca="1">IFERROR(__xludf.DUMMYFUNCTION("""COMPUTED_VALUE"""),"197704282005012003")</f>
        <v>197704282005012003</v>
      </c>
      <c r="F253" s="3" t="str">
        <f ca="1">IFERROR(__xludf.DUMMYFUNCTION("""COMPUTED_VALUE"""),"19770428 200501 2 003")</f>
        <v>19770428 200501 2 003</v>
      </c>
      <c r="G253" s="3"/>
      <c r="H253" s="3"/>
      <c r="I253" s="3" t="str">
        <f ca="1">IFERROR(__xludf.DUMMYFUNCTION("""COMPUTED_VALUE"""),"PNS")</f>
        <v>PNS</v>
      </c>
      <c r="J253" s="3" t="str">
        <f ca="1">IFERROR(__xludf.DUMMYFUNCTION("""COMPUTED_VALUE"""),"Pegawai PNS")</f>
        <v>Pegawai PNS</v>
      </c>
      <c r="K253" s="5" t="str">
        <f ca="1">IFERROR(__xludf.DUMMYFUNCTION("""COMPUTED_VALUE"""),"P")</f>
        <v>P</v>
      </c>
      <c r="L253" s="3" t="str">
        <f ca="1">IFERROR(__xludf.DUMMYFUNCTION("""COMPUTED_VALUE"""),"Cilacap")</f>
        <v>Cilacap</v>
      </c>
      <c r="M253" s="7">
        <f ca="1">IFERROR(__xludf.DUMMYFUNCTION("""COMPUTED_VALUE"""),28243)</f>
        <v>28243</v>
      </c>
      <c r="N253" s="4" t="str">
        <f ca="1">IFERROR(__xludf.DUMMYFUNCTION("""COMPUTED_VALUE"""),"Pembina")</f>
        <v>Pembina</v>
      </c>
      <c r="O253" s="3" t="str">
        <f ca="1">IFERROR(__xludf.DUMMYFUNCTION("""COMPUTED_VALUE"""),"IV/a")</f>
        <v>IV/a</v>
      </c>
      <c r="P253" s="7">
        <f ca="1">IFERROR(__xludf.DUMMYFUNCTION("""COMPUTED_VALUE"""),45566)</f>
        <v>45566</v>
      </c>
      <c r="Q253" s="3" t="str">
        <f ca="1">IFERROR(__xludf.DUMMYFUNCTION("""COMPUTED_VALUE"""),"036730/B.II/KP.07.1/09/2024")</f>
        <v>036730/B.II/KP.07.1/09/2024</v>
      </c>
      <c r="R253" s="3" t="str">
        <f ca="1">IFERROR(__xludf.DUMMYFUNCTION("""COMPUTED_VALUE"""),"Pustakawan")</f>
        <v>Pustakawan</v>
      </c>
      <c r="S253" s="3" t="str">
        <f ca="1">IFERROR(__xludf.DUMMYFUNCTION("""COMPUTED_VALUE"""),"Ahli Madya")</f>
        <v>Ahli Madya</v>
      </c>
      <c r="T253" s="7">
        <f ca="1">IFERROR(__xludf.DUMMYFUNCTION("""COMPUTED_VALUE"""),44713)</f>
        <v>44713</v>
      </c>
      <c r="U253" s="3" t="str">
        <f ca="1">IFERROR(__xludf.DUMMYFUNCTION("""COMPUTED_VALUE"""),"1291/Un.19/R/Kp.07.6/5/2022")</f>
        <v>1291/Un.19/R/Kp.07.6/5/2022</v>
      </c>
      <c r="V253" s="7">
        <f ca="1">IFERROR(__xludf.DUMMYFUNCTION("""COMPUTED_VALUE"""),44713)</f>
        <v>44713</v>
      </c>
      <c r="W253" s="3">
        <f ca="1">IFERROR(__xludf.DUMMYFUNCTION("""COMPUTED_VALUE"""),11)</f>
        <v>11</v>
      </c>
      <c r="X253" s="7" t="str">
        <f ca="1">IFERROR(__xludf.DUMMYFUNCTION("""COMPUTED_VALUE"""),"Kepala Unit Pelaksana Teknis Perpustakaan")</f>
        <v>Kepala Unit Pelaksana Teknis Perpustakaan</v>
      </c>
      <c r="Y253" s="3" t="str">
        <f ca="1">IFERROR(__xludf.DUMMYFUNCTION("""COMPUTED_VALUE"""),"S-1")</f>
        <v>S-1</v>
      </c>
      <c r="Z253" s="3" t="str">
        <f ca="1">IFERROR(__xludf.DUMMYFUNCTION("""COMPUTED_VALUE"""),"21 Tahun 0 Bulan 27 Hari")</f>
        <v>21 Tahun 0 Bulan 27 Hari</v>
      </c>
      <c r="AA253" s="8">
        <f ca="1">IFERROR(__xludf.DUMMYFUNCTION("""COMPUTED_VALUE"""),50161)</f>
        <v>50161</v>
      </c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4"/>
      <c r="AR253" s="3"/>
      <c r="AS253" s="4"/>
      <c r="AT253" s="3"/>
      <c r="AU253" s="3"/>
    </row>
    <row r="254" spans="1:47" x14ac:dyDescent="0.2">
      <c r="A254" s="12">
        <v>253</v>
      </c>
      <c r="B254" s="3" t="str">
        <f ca="1">IFERROR(__xludf.DUMMYFUNCTION("""COMPUTED_VALUE"""),"Intan Sahara")</f>
        <v>Intan Sahara</v>
      </c>
      <c r="C254" s="3" t="str">
        <f ca="1">IFERROR(__xludf.DUMMYFUNCTION("""COMPUTED_VALUE"""),"Intan Sahara, S.E.")</f>
        <v>Intan Sahara, S.E.</v>
      </c>
      <c r="D254" s="3" t="str">
        <f ca="1">IFERROR(__xludf.DUMMYFUNCTION("""COMPUTED_VALUE"""),"Intan Sahara, S.E.")</f>
        <v>Intan Sahara, S.E.</v>
      </c>
      <c r="E254" s="3" t="str">
        <f ca="1">IFERROR(__xludf.DUMMYFUNCTION("""COMPUTED_VALUE"""),"199010102020122025")</f>
        <v>199010102020122025</v>
      </c>
      <c r="F254" s="3" t="str">
        <f ca="1">IFERROR(__xludf.DUMMYFUNCTION("""COMPUTED_VALUE"""),"‌19901010 202012 2 025")</f>
        <v>‌19901010 202012 2 025</v>
      </c>
      <c r="G254" s="3"/>
      <c r="H254" s="3"/>
      <c r="I254" s="3" t="str">
        <f ca="1">IFERROR(__xludf.DUMMYFUNCTION("""COMPUTED_VALUE"""),"PNS")</f>
        <v>PNS</v>
      </c>
      <c r="J254" s="3" t="str">
        <f ca="1">IFERROR(__xludf.DUMMYFUNCTION("""COMPUTED_VALUE"""),"Pegawai PNS")</f>
        <v>Pegawai PNS</v>
      </c>
      <c r="K254" s="5" t="str">
        <f ca="1">IFERROR(__xludf.DUMMYFUNCTION("""COMPUTED_VALUE"""),"P")</f>
        <v>P</v>
      </c>
      <c r="L254" s="3" t="str">
        <f ca="1">IFERROR(__xludf.DUMMYFUNCTION("""COMPUTED_VALUE"""),"Banyumas")</f>
        <v>Banyumas</v>
      </c>
      <c r="M254" s="9">
        <f ca="1">IFERROR(__xludf.DUMMYFUNCTION("""COMPUTED_VALUE"""),33156)</f>
        <v>33156</v>
      </c>
      <c r="N254" s="4" t="str">
        <f ca="1">IFERROR(__xludf.DUMMYFUNCTION("""COMPUTED_VALUE"""),"Penata Muda Tk.I")</f>
        <v>Penata Muda Tk.I</v>
      </c>
      <c r="O254" s="3" t="str">
        <f ca="1">IFERROR(__xludf.DUMMYFUNCTION("""COMPUTED_VALUE"""),"III/b")</f>
        <v>III/b</v>
      </c>
      <c r="P254" s="7">
        <f ca="1">IFERROR(__xludf.DUMMYFUNCTION("""COMPUTED_VALUE"""),45383)</f>
        <v>45383</v>
      </c>
      <c r="Q254" s="3" t="str">
        <f ca="1">IFERROR(__xludf.DUMMYFUNCTION("""COMPUTED_VALUE"""),"519/Un.19/K.AUPK/KP.07.1/03/2024")</f>
        <v>519/Un.19/K.AUPK/KP.07.1/03/2024</v>
      </c>
      <c r="R254" s="3" t="str">
        <f ca="1">IFERROR(__xludf.DUMMYFUNCTION("""COMPUTED_VALUE"""),"Perencana")</f>
        <v>Perencana</v>
      </c>
      <c r="S254" s="3" t="str">
        <f ca="1">IFERROR(__xludf.DUMMYFUNCTION("""COMPUTED_VALUE"""),"Ahli Pertama")</f>
        <v>Ahli Pertama</v>
      </c>
      <c r="T254" s="7">
        <f ca="1">IFERROR(__xludf.DUMMYFUNCTION("""COMPUTED_VALUE"""),44562)</f>
        <v>44562</v>
      </c>
      <c r="U254" s="3" t="str">
        <f ca="1">IFERROR(__xludf.DUMMYFUNCTION("""COMPUTED_VALUE"""),"3591/Un.19/R/Kp.00.3.12/2021")</f>
        <v>3591/Un.19/R/Kp.00.3.12/2021</v>
      </c>
      <c r="V254" s="9">
        <f ca="1">IFERROR(__xludf.DUMMYFUNCTION("""COMPUTED_VALUE"""),44560)</f>
        <v>44560</v>
      </c>
      <c r="W254" s="3">
        <f ca="1">IFERROR(__xludf.DUMMYFUNCTION("""COMPUTED_VALUE"""),8)</f>
        <v>8</v>
      </c>
      <c r="X254" s="3"/>
      <c r="Y254" s="3" t="str">
        <f ca="1">IFERROR(__xludf.DUMMYFUNCTION("""COMPUTED_VALUE"""),"S-1")</f>
        <v>S-1</v>
      </c>
      <c r="Z254" s="3" t="str">
        <f ca="1">IFERROR(__xludf.DUMMYFUNCTION("""COMPUTED_VALUE"""),"5 Tahun 1 Bulan 27 Hari")</f>
        <v>5 Tahun 1 Bulan 27 Hari</v>
      </c>
      <c r="AA254" s="8">
        <f ca="1">IFERROR(__xludf.DUMMYFUNCTION("""COMPUTED_VALUE"""),54363)</f>
        <v>54363</v>
      </c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4"/>
      <c r="AR254" s="3"/>
      <c r="AS254" s="4"/>
      <c r="AT254" s="3"/>
      <c r="AU254" s="3"/>
    </row>
    <row r="255" spans="1:47" x14ac:dyDescent="0.2">
      <c r="A255" s="12">
        <v>254</v>
      </c>
      <c r="B255" s="3" t="str">
        <f ca="1">IFERROR(__xludf.DUMMYFUNCTION("""COMPUTED_VALUE"""),"Ipung Nurdianto")</f>
        <v>Ipung Nurdianto</v>
      </c>
      <c r="C255" s="3" t="str">
        <f ca="1">IFERROR(__xludf.DUMMYFUNCTION("""COMPUTED_VALUE"""),"Ipung Nurdianto, S.Kom.")</f>
        <v>Ipung Nurdianto, S.Kom.</v>
      </c>
      <c r="D255" s="3" t="str">
        <f ca="1">IFERROR(__xludf.DUMMYFUNCTION("""COMPUTED_VALUE"""),"Ipung Nurdianto, S.Kom.")</f>
        <v>Ipung Nurdianto, S.Kom.</v>
      </c>
      <c r="E255" s="3" t="str">
        <f ca="1">IFERROR(__xludf.DUMMYFUNCTION("""COMPUTED_VALUE"""),"199212042019031019")</f>
        <v>199212042019031019</v>
      </c>
      <c r="F255" s="3" t="str">
        <f ca="1">IFERROR(__xludf.DUMMYFUNCTION("""COMPUTED_VALUE"""),"19921204 201903 1 019")</f>
        <v>19921204 201903 1 019</v>
      </c>
      <c r="G255" s="3"/>
      <c r="H255" s="3"/>
      <c r="I255" s="3" t="str">
        <f ca="1">IFERROR(__xludf.DUMMYFUNCTION("""COMPUTED_VALUE"""),"PNS")</f>
        <v>PNS</v>
      </c>
      <c r="J255" s="3" t="str">
        <f ca="1">IFERROR(__xludf.DUMMYFUNCTION("""COMPUTED_VALUE"""),"Pegawai PNS")</f>
        <v>Pegawai PNS</v>
      </c>
      <c r="K255" s="5" t="str">
        <f ca="1">IFERROR(__xludf.DUMMYFUNCTION("""COMPUTED_VALUE"""),"L")</f>
        <v>L</v>
      </c>
      <c r="L255" s="3" t="str">
        <f ca="1">IFERROR(__xludf.DUMMYFUNCTION("""COMPUTED_VALUE"""),"Purworejo")</f>
        <v>Purworejo</v>
      </c>
      <c r="M255" s="7">
        <f ca="1">IFERROR(__xludf.DUMMYFUNCTION("""COMPUTED_VALUE"""),33942)</f>
        <v>33942</v>
      </c>
      <c r="N255" s="4" t="str">
        <f ca="1">IFERROR(__xludf.DUMMYFUNCTION("""COMPUTED_VALUE"""),"Penata Muda")</f>
        <v>Penata Muda</v>
      </c>
      <c r="O255" s="3" t="str">
        <f ca="1">IFERROR(__xludf.DUMMYFUNCTION("""COMPUTED_VALUE"""),"III/a")</f>
        <v>III/a</v>
      </c>
      <c r="P255" s="7">
        <f ca="1">IFERROR(__xludf.DUMMYFUNCTION("""COMPUTED_VALUE"""),43525)</f>
        <v>43525</v>
      </c>
      <c r="Q255" s="3" t="str">
        <f ca="1">IFERROR(__xludf.DUMMYFUNCTION("""COMPUTED_VALUE"""),"447/In.17/R/KP.00.3/4/2019")</f>
        <v>447/In.17/R/KP.00.3/4/2019</v>
      </c>
      <c r="R255" s="3" t="str">
        <f ca="1">IFERROR(__xludf.DUMMYFUNCTION("""COMPUTED_VALUE"""),"Pranata Komputer")</f>
        <v>Pranata Komputer</v>
      </c>
      <c r="S255" s="3" t="str">
        <f ca="1">IFERROR(__xludf.DUMMYFUNCTION("""COMPUTED_VALUE"""),"Ahli Pertama")</f>
        <v>Ahli Pertama</v>
      </c>
      <c r="T255" s="7">
        <f ca="1">IFERROR(__xludf.DUMMYFUNCTION("""COMPUTED_VALUE"""),44317)</f>
        <v>44317</v>
      </c>
      <c r="U255" s="3" t="str">
        <f ca="1">IFERROR(__xludf.DUMMYFUNCTION("""COMPUTED_VALUE"""),"028682/B.II/3/2021")</f>
        <v>028682/B.II/3/2021</v>
      </c>
      <c r="V255" s="7">
        <f ca="1">IFERROR(__xludf.DUMMYFUNCTION("""COMPUTED_VALUE"""),44317)</f>
        <v>44317</v>
      </c>
      <c r="W255" s="3">
        <f ca="1">IFERROR(__xludf.DUMMYFUNCTION("""COMPUTED_VALUE"""),8)</f>
        <v>8</v>
      </c>
      <c r="X255" s="3"/>
      <c r="Y255" s="3" t="str">
        <f ca="1">IFERROR(__xludf.DUMMYFUNCTION("""COMPUTED_VALUE"""),"S-1")</f>
        <v>S-1</v>
      </c>
      <c r="Z255" s="3" t="str">
        <f ca="1">IFERROR(__xludf.DUMMYFUNCTION("""COMPUTED_VALUE"""),"6 Tahun 10 Bulan 27 Hari")</f>
        <v>6 Tahun 10 Bulan 27 Hari</v>
      </c>
      <c r="AA255" s="8">
        <f ca="1">IFERROR(__xludf.DUMMYFUNCTION("""COMPUTED_VALUE"""),55154)</f>
        <v>55154</v>
      </c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4"/>
      <c r="AR255" s="3"/>
      <c r="AS255" s="4"/>
      <c r="AT255" s="3"/>
      <c r="AU255" s="3"/>
    </row>
    <row r="256" spans="1:47" x14ac:dyDescent="0.2">
      <c r="A256" s="12">
        <v>255</v>
      </c>
      <c r="B256" s="3" t="str">
        <f ca="1">IFERROR(__xludf.DUMMYFUNCTION("""COMPUTED_VALUE"""),"Isnaeni Putranti")</f>
        <v>Isnaeni Putranti</v>
      </c>
      <c r="C256" s="3" t="str">
        <f ca="1">IFERROR(__xludf.DUMMYFUNCTION("""COMPUTED_VALUE"""),"Isnaeni Putranti, S.Sos.")</f>
        <v>Isnaeni Putranti, S.Sos.</v>
      </c>
      <c r="D256" s="3" t="str">
        <f ca="1">IFERROR(__xludf.DUMMYFUNCTION("""COMPUTED_VALUE"""),"Isnaeni Putranti, S.Sos.")</f>
        <v>Isnaeni Putranti, S.Sos.</v>
      </c>
      <c r="E256" s="3" t="str">
        <f ca="1">IFERROR(__xludf.DUMMYFUNCTION("""COMPUTED_VALUE"""),"198607282015022002")</f>
        <v>198607282015022002</v>
      </c>
      <c r="F256" s="3" t="str">
        <f ca="1">IFERROR(__xludf.DUMMYFUNCTION("""COMPUTED_VALUE"""),"19860728 201502 2 002")</f>
        <v>19860728 201502 2 002</v>
      </c>
      <c r="G256" s="3"/>
      <c r="H256" s="3"/>
      <c r="I256" s="3" t="str">
        <f ca="1">IFERROR(__xludf.DUMMYFUNCTION("""COMPUTED_VALUE"""),"PNS")</f>
        <v>PNS</v>
      </c>
      <c r="J256" s="3" t="str">
        <f ca="1">IFERROR(__xludf.DUMMYFUNCTION("""COMPUTED_VALUE"""),"Pegawai PNS")</f>
        <v>Pegawai PNS</v>
      </c>
      <c r="K256" s="5" t="str">
        <f ca="1">IFERROR(__xludf.DUMMYFUNCTION("""COMPUTED_VALUE"""),"P")</f>
        <v>P</v>
      </c>
      <c r="L256" s="3" t="str">
        <f ca="1">IFERROR(__xludf.DUMMYFUNCTION("""COMPUTED_VALUE"""),"Purbalingga")</f>
        <v>Purbalingga</v>
      </c>
      <c r="M256" s="7">
        <f ca="1">IFERROR(__xludf.DUMMYFUNCTION("""COMPUTED_VALUE"""),31621)</f>
        <v>31621</v>
      </c>
      <c r="N256" s="4" t="str">
        <f ca="1">IFERROR(__xludf.DUMMYFUNCTION("""COMPUTED_VALUE"""),"Penata Muda Tk.I")</f>
        <v>Penata Muda Tk.I</v>
      </c>
      <c r="O256" s="3" t="str">
        <f ca="1">IFERROR(__xludf.DUMMYFUNCTION("""COMPUTED_VALUE"""),"III/b")</f>
        <v>III/b</v>
      </c>
      <c r="P256" s="7">
        <f ca="1">IFERROR(__xludf.DUMMYFUNCTION("""COMPUTED_VALUE"""),43556)</f>
        <v>43556</v>
      </c>
      <c r="Q256" s="3" t="str">
        <f ca="1">IFERROR(__xludf.DUMMYFUNCTION("""COMPUTED_VALUE"""),"2455/2/KPG.03.00/III.2019")</f>
        <v>2455/2/KPG.03.00/III.2019</v>
      </c>
      <c r="R256" s="3" t="str">
        <f ca="1">IFERROR(__xludf.DUMMYFUNCTION("""COMPUTED_VALUE"""),"Pustakawan")</f>
        <v>Pustakawan</v>
      </c>
      <c r="S256" s="3" t="str">
        <f ca="1">IFERROR(__xludf.DUMMYFUNCTION("""COMPUTED_VALUE"""),"Ahli Pertama")</f>
        <v>Ahli Pertama</v>
      </c>
      <c r="T256" s="7">
        <f ca="1">IFERROR(__xludf.DUMMYFUNCTION("""COMPUTED_VALUE"""),44256)</f>
        <v>44256</v>
      </c>
      <c r="U256" s="3" t="str">
        <f ca="1">IFERROR(__xludf.DUMMYFUNCTION("""COMPUTED_VALUE"""),"02029/B.II/3/2021")</f>
        <v>02029/B.II/3/2021</v>
      </c>
      <c r="V256" s="7">
        <f ca="1">IFERROR(__xludf.DUMMYFUNCTION("""COMPUTED_VALUE"""),44256)</f>
        <v>44256</v>
      </c>
      <c r="W256" s="3">
        <f ca="1">IFERROR(__xludf.DUMMYFUNCTION("""COMPUTED_VALUE"""),8)</f>
        <v>8</v>
      </c>
      <c r="X256" s="3"/>
      <c r="Y256" s="3" t="str">
        <f ca="1">IFERROR(__xludf.DUMMYFUNCTION("""COMPUTED_VALUE"""),"S-1")</f>
        <v>S-1</v>
      </c>
      <c r="Z256" s="3" t="str">
        <f ca="1">IFERROR(__xludf.DUMMYFUNCTION("""COMPUTED_VALUE"""),"10 Tahun 11 Bulan 27 Hari")</f>
        <v>10 Tahun 11 Bulan 27 Hari</v>
      </c>
      <c r="AA256" s="8">
        <f ca="1">IFERROR(__xludf.DUMMYFUNCTION("""COMPUTED_VALUE"""),52810)</f>
        <v>52810</v>
      </c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4"/>
      <c r="AR256" s="3"/>
      <c r="AS256" s="4"/>
      <c r="AT256" s="3"/>
      <c r="AU256" s="3"/>
    </row>
    <row r="257" spans="1:47" x14ac:dyDescent="0.2">
      <c r="A257" s="12">
        <v>256</v>
      </c>
      <c r="B257" s="3" t="str">
        <f ca="1">IFERROR(__xludf.DUMMYFUNCTION("""COMPUTED_VALUE"""),"Isrofi Khuzeni")</f>
        <v>Isrofi Khuzeni</v>
      </c>
      <c r="C257" s="3" t="str">
        <f ca="1">IFERROR(__xludf.DUMMYFUNCTION("""COMPUTED_VALUE"""),"Isrofi Khuzeni")</f>
        <v>Isrofi Khuzeni</v>
      </c>
      <c r="D257" s="3" t="str">
        <f ca="1">IFERROR(__xludf.DUMMYFUNCTION("""COMPUTED_VALUE"""),"Isrofi Khuzeni")</f>
        <v>Isrofi Khuzeni</v>
      </c>
      <c r="E257" s="3" t="str">
        <f ca="1">IFERROR(__xludf.DUMMYFUNCTION("""COMPUTED_VALUE"""),"197211042009101001")</f>
        <v>197211042009101001</v>
      </c>
      <c r="F257" s="3" t="str">
        <f ca="1">IFERROR(__xludf.DUMMYFUNCTION("""COMPUTED_VALUE"""),"19721104 200910 1 001")</f>
        <v>19721104 200910 1 001</v>
      </c>
      <c r="G257" s="3"/>
      <c r="H257" s="3"/>
      <c r="I257" s="3" t="str">
        <f ca="1">IFERROR(__xludf.DUMMYFUNCTION("""COMPUTED_VALUE"""),"PNS")</f>
        <v>PNS</v>
      </c>
      <c r="J257" s="3" t="str">
        <f ca="1">IFERROR(__xludf.DUMMYFUNCTION("""COMPUTED_VALUE"""),"Pegawai PNS")</f>
        <v>Pegawai PNS</v>
      </c>
      <c r="K257" s="5" t="str">
        <f ca="1">IFERROR(__xludf.DUMMYFUNCTION("""COMPUTED_VALUE"""),"L")</f>
        <v>L</v>
      </c>
      <c r="L257" s="3" t="str">
        <f ca="1">IFERROR(__xludf.DUMMYFUNCTION("""COMPUTED_VALUE"""),"Banyumas")</f>
        <v>Banyumas</v>
      </c>
      <c r="M257" s="7">
        <f ca="1">IFERROR(__xludf.DUMMYFUNCTION("""COMPUTED_VALUE"""),26607)</f>
        <v>26607</v>
      </c>
      <c r="N257" s="4" t="str">
        <f ca="1">IFERROR(__xludf.DUMMYFUNCTION("""COMPUTED_VALUE"""),"Penata Muda")</f>
        <v>Penata Muda</v>
      </c>
      <c r="O257" s="3" t="str">
        <f ca="1">IFERROR(__xludf.DUMMYFUNCTION("""COMPUTED_VALUE"""),"III/a")</f>
        <v>III/a</v>
      </c>
      <c r="P257" s="7">
        <f ca="1">IFERROR(__xludf.DUMMYFUNCTION("""COMPUTED_VALUE"""),45931)</f>
        <v>45931</v>
      </c>
      <c r="Q257" s="3" t="str">
        <f ca="1">IFERROR(__xludf.DUMMYFUNCTION("""COMPUTED_VALUE"""),"199564/B.II/KP.07.1/08/2025")</f>
        <v>199564/B.II/KP.07.1/08/2025</v>
      </c>
      <c r="R257" s="3" t="str">
        <f ca="1">IFERROR(__xludf.DUMMYFUNCTION("""COMPUTED_VALUE"""),"‌Pengadministrasi Perkantoran")</f>
        <v>‌Pengadministrasi Perkantoran</v>
      </c>
      <c r="S257" s="3" t="str">
        <f ca="1">IFERROR(__xludf.DUMMYFUNCTION("""COMPUTED_VALUE"""),"Pelaksana")</f>
        <v>Pelaksana</v>
      </c>
      <c r="T257" s="7">
        <f ca="1">IFERROR(__xludf.DUMMYFUNCTION("""COMPUTED_VALUE"""),45842)</f>
        <v>45842</v>
      </c>
      <c r="U257" s="3" t="str">
        <f ca="1">IFERROR(__xludf.DUMMYFUNCTION("""COMPUTED_VALUE"""),"192029/B.II/KP.07/07/2025")</f>
        <v>192029/B.II/KP.07/07/2025</v>
      </c>
      <c r="V257" s="7">
        <f ca="1">IFERROR(__xludf.DUMMYFUNCTION("""COMPUTED_VALUE"""),45842)</f>
        <v>45842</v>
      </c>
      <c r="W257" s="3">
        <f ca="1">IFERROR(__xludf.DUMMYFUNCTION("""COMPUTED_VALUE"""),5)</f>
        <v>5</v>
      </c>
      <c r="X257" s="3"/>
      <c r="Y257" s="3" t="str">
        <f ca="1">IFERROR(__xludf.DUMMYFUNCTION("""COMPUTED_VALUE"""),"SMA")</f>
        <v>SMA</v>
      </c>
      <c r="Z257" s="3" t="str">
        <f ca="1">IFERROR(__xludf.DUMMYFUNCTION("""COMPUTED_VALUE"""),"16 Tahun 3 Bulan 27 Hari")</f>
        <v>16 Tahun 3 Bulan 27 Hari</v>
      </c>
      <c r="AA257" s="8">
        <f ca="1">IFERROR(__xludf.DUMMYFUNCTION("""COMPUTED_VALUE"""),47818)</f>
        <v>47818</v>
      </c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4"/>
      <c r="AR257" s="3"/>
      <c r="AS257" s="4"/>
      <c r="AT257" s="3"/>
      <c r="AU257" s="3"/>
    </row>
    <row r="258" spans="1:47" x14ac:dyDescent="0.2">
      <c r="A258" s="12">
        <v>257</v>
      </c>
      <c r="B258" s="3" t="str">
        <f ca="1">IFERROR(__xludf.DUMMYFUNCTION("""COMPUTED_VALUE"""),"Khairul Anam")</f>
        <v>Khairul Anam</v>
      </c>
      <c r="C258" s="3" t="str">
        <f ca="1">IFERROR(__xludf.DUMMYFUNCTION("""COMPUTED_VALUE"""),"Khairul Anam, S.Pd.I.")</f>
        <v>Khairul Anam, S.Pd.I.</v>
      </c>
      <c r="D258" s="3" t="str">
        <f ca="1">IFERROR(__xludf.DUMMYFUNCTION("""COMPUTED_VALUE"""),"Khairul Anam, S.Pd.I.")</f>
        <v>Khairul Anam, S.Pd.I.</v>
      </c>
      <c r="E258" s="3" t="str">
        <f ca="1">IFERROR(__xludf.DUMMYFUNCTION("""COMPUTED_VALUE"""),"198004172009121004")</f>
        <v>198004172009121004</v>
      </c>
      <c r="F258" s="3" t="str">
        <f ca="1">IFERROR(__xludf.DUMMYFUNCTION("""COMPUTED_VALUE"""),"19800417 200912 1 004")</f>
        <v>19800417 200912 1 004</v>
      </c>
      <c r="G258" s="3"/>
      <c r="H258" s="3"/>
      <c r="I258" s="3" t="str">
        <f ca="1">IFERROR(__xludf.DUMMYFUNCTION("""COMPUTED_VALUE"""),"PNS")</f>
        <v>PNS</v>
      </c>
      <c r="J258" s="3" t="str">
        <f ca="1">IFERROR(__xludf.DUMMYFUNCTION("""COMPUTED_VALUE"""),"Pegawai PNS")</f>
        <v>Pegawai PNS</v>
      </c>
      <c r="K258" s="5" t="str">
        <f ca="1">IFERROR(__xludf.DUMMYFUNCTION("""COMPUTED_VALUE"""),"L")</f>
        <v>L</v>
      </c>
      <c r="L258" s="3" t="str">
        <f ca="1">IFERROR(__xludf.DUMMYFUNCTION("""COMPUTED_VALUE"""),"Rembang")</f>
        <v>Rembang</v>
      </c>
      <c r="M258" s="7">
        <f ca="1">IFERROR(__xludf.DUMMYFUNCTION("""COMPUTED_VALUE"""),29328)</f>
        <v>29328</v>
      </c>
      <c r="N258" s="4" t="str">
        <f ca="1">IFERROR(__xludf.DUMMYFUNCTION("""COMPUTED_VALUE"""),"Penata Tk.I")</f>
        <v>Penata Tk.I</v>
      </c>
      <c r="O258" s="3" t="str">
        <f ca="1">IFERROR(__xludf.DUMMYFUNCTION("""COMPUTED_VALUE"""),"III/d")</f>
        <v>III/d</v>
      </c>
      <c r="P258" s="7">
        <f ca="1">IFERROR(__xludf.DUMMYFUNCTION("""COMPUTED_VALUE"""),44652)</f>
        <v>44652</v>
      </c>
      <c r="Q258" s="3" t="str">
        <f ca="1">IFERROR(__xludf.DUMMYFUNCTION("""COMPUTED_VALUE"""),"12403.1/B.II/3/2022")</f>
        <v>12403.1/B.II/3/2022</v>
      </c>
      <c r="R258" s="3" t="str">
        <f ca="1">IFERROR(__xludf.DUMMYFUNCTION("""COMPUTED_VALUE"""),"Analis Pengelolaan Keuangan APBN")</f>
        <v>Analis Pengelolaan Keuangan APBN</v>
      </c>
      <c r="S258" s="3" t="str">
        <f ca="1">IFERROR(__xludf.DUMMYFUNCTION("""COMPUTED_VALUE"""),"Ahli Muda")</f>
        <v>Ahli Muda</v>
      </c>
      <c r="T258" s="7">
        <f ca="1">IFERROR(__xludf.DUMMYFUNCTION("""COMPUTED_VALUE"""),44183)</f>
        <v>44183</v>
      </c>
      <c r="U258" s="3" t="str">
        <f ca="1">IFERROR(__xludf.DUMMYFUNCTION("""COMPUTED_VALUE"""),"044050/B.II/3/2020")</f>
        <v>044050/B.II/3/2020</v>
      </c>
      <c r="V258" s="7">
        <f ca="1">IFERROR(__xludf.DUMMYFUNCTION("""COMPUTED_VALUE"""),44183)</f>
        <v>44183</v>
      </c>
      <c r="W258" s="3">
        <f ca="1">IFERROR(__xludf.DUMMYFUNCTION("""COMPUTED_VALUE"""),10)</f>
        <v>10</v>
      </c>
      <c r="X258" s="7" t="str">
        <f ca="1">IFERROR(__xludf.DUMMYFUNCTION("""COMPUTED_VALUE"""),"Ketua Tim Kerja AUK FTIK")</f>
        <v>Ketua Tim Kerja AUK FTIK</v>
      </c>
      <c r="Y258" s="3" t="str">
        <f ca="1">IFERROR(__xludf.DUMMYFUNCTION("""COMPUTED_VALUE"""),"S-1")</f>
        <v>S-1</v>
      </c>
      <c r="Z258" s="3" t="str">
        <f ca="1">IFERROR(__xludf.DUMMYFUNCTION("""COMPUTED_VALUE"""),"16 Tahun 1 Bulan 27 Hari")</f>
        <v>16 Tahun 1 Bulan 27 Hari</v>
      </c>
      <c r="AA258" s="8">
        <f ca="1">IFERROR(__xludf.DUMMYFUNCTION("""COMPUTED_VALUE"""),50526)</f>
        <v>50526</v>
      </c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4"/>
      <c r="AR258" s="3"/>
      <c r="AS258" s="4"/>
      <c r="AT258" s="3"/>
      <c r="AU258" s="3"/>
    </row>
    <row r="259" spans="1:47" x14ac:dyDescent="0.2">
      <c r="A259" s="12">
        <v>258</v>
      </c>
      <c r="B259" s="3" t="str">
        <f ca="1">IFERROR(__xludf.DUMMYFUNCTION("""COMPUTED_VALUE"""),"Kholidah Rahmawati")</f>
        <v>Kholidah Rahmawati</v>
      </c>
      <c r="C259" s="3" t="str">
        <f ca="1">IFERROR(__xludf.DUMMYFUNCTION("""COMPUTED_VALUE"""),"Kholidah Rahmawati, S.Ag.")</f>
        <v>Kholidah Rahmawati, S.Ag.</v>
      </c>
      <c r="D259" s="3" t="str">
        <f ca="1">IFERROR(__xludf.DUMMYFUNCTION("""COMPUTED_VALUE"""),"Kholidah Rahmawati, S.Ag.")</f>
        <v>Kholidah Rahmawati, S.Ag.</v>
      </c>
      <c r="E259" s="3" t="str">
        <f ca="1">IFERROR(__xludf.DUMMYFUNCTION("""COMPUTED_VALUE"""),"197505162009102001")</f>
        <v>197505162009102001</v>
      </c>
      <c r="F259" s="3" t="str">
        <f ca="1">IFERROR(__xludf.DUMMYFUNCTION("""COMPUTED_VALUE"""),"19750516 200910 2 001")</f>
        <v>19750516 200910 2 001</v>
      </c>
      <c r="G259" s="3"/>
      <c r="H259" s="3"/>
      <c r="I259" s="3" t="str">
        <f ca="1">IFERROR(__xludf.DUMMYFUNCTION("""COMPUTED_VALUE"""),"PNS")</f>
        <v>PNS</v>
      </c>
      <c r="J259" s="3" t="str">
        <f ca="1">IFERROR(__xludf.DUMMYFUNCTION("""COMPUTED_VALUE"""),"Pegawai PNS")</f>
        <v>Pegawai PNS</v>
      </c>
      <c r="K259" s="5" t="str">
        <f ca="1">IFERROR(__xludf.DUMMYFUNCTION("""COMPUTED_VALUE"""),"P")</f>
        <v>P</v>
      </c>
      <c r="L259" s="3" t="str">
        <f ca="1">IFERROR(__xludf.DUMMYFUNCTION("""COMPUTED_VALUE"""),"Purworejo")</f>
        <v>Purworejo</v>
      </c>
      <c r="M259" s="7">
        <f ca="1">IFERROR(__xludf.DUMMYFUNCTION("""COMPUTED_VALUE"""),27530)</f>
        <v>27530</v>
      </c>
      <c r="N259" s="4" t="str">
        <f ca="1">IFERROR(__xludf.DUMMYFUNCTION("""COMPUTED_VALUE"""),"Penata Tk.I")</f>
        <v>Penata Tk.I</v>
      </c>
      <c r="O259" s="3" t="str">
        <f ca="1">IFERROR(__xludf.DUMMYFUNCTION("""COMPUTED_VALUE"""),"III/d")</f>
        <v>III/d</v>
      </c>
      <c r="P259" s="7">
        <f ca="1">IFERROR(__xludf.DUMMYFUNCTION("""COMPUTED_VALUE"""),44835)</f>
        <v>44835</v>
      </c>
      <c r="Q259" s="3" t="str">
        <f ca="1">IFERROR(__xludf.DUMMYFUNCTION("""COMPUTED_VALUE"""),"2169/Un.19/K.AUPK/KP.07.1/09/2022")</f>
        <v>2169/Un.19/K.AUPK/KP.07.1/09/2022</v>
      </c>
      <c r="R259" s="3" t="str">
        <f ca="1">IFERROR(__xludf.DUMMYFUNCTION("""COMPUTED_VALUE"""),"Arsiparis")</f>
        <v>Arsiparis</v>
      </c>
      <c r="S259" s="3" t="str">
        <f ca="1">IFERROR(__xludf.DUMMYFUNCTION("""COMPUTED_VALUE"""),"Terampil")</f>
        <v>Terampil</v>
      </c>
      <c r="T259" s="7">
        <f ca="1">IFERROR(__xludf.DUMMYFUNCTION("""COMPUTED_VALUE"""),45078)</f>
        <v>45078</v>
      </c>
      <c r="U259" s="3" t="str">
        <f ca="1">IFERROR(__xludf.DUMMYFUNCTION("""COMPUTED_VALUE"""),"012251/B.II/3/2023")</f>
        <v>012251/B.II/3/2023</v>
      </c>
      <c r="V259" s="7">
        <f ca="1">IFERROR(__xludf.DUMMYFUNCTION("""COMPUTED_VALUE"""),45077)</f>
        <v>45077</v>
      </c>
      <c r="W259" s="3">
        <f ca="1">IFERROR(__xludf.DUMMYFUNCTION("""COMPUTED_VALUE"""),6)</f>
        <v>6</v>
      </c>
      <c r="X259" s="3"/>
      <c r="Y259" s="3" t="str">
        <f ca="1">IFERROR(__xludf.DUMMYFUNCTION("""COMPUTED_VALUE"""),"S-1")</f>
        <v>S-1</v>
      </c>
      <c r="Z259" s="3" t="str">
        <f ca="1">IFERROR(__xludf.DUMMYFUNCTION("""COMPUTED_VALUE"""),"16 Tahun 3 Bulan 27 Hari")</f>
        <v>16 Tahun 3 Bulan 27 Hari</v>
      </c>
      <c r="AA259" s="8">
        <f ca="1">IFERROR(__xludf.DUMMYFUNCTION("""COMPUTED_VALUE"""),49461)</f>
        <v>49461</v>
      </c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4"/>
      <c r="AR259" s="3"/>
      <c r="AS259" s="4"/>
      <c r="AT259" s="3"/>
      <c r="AU259" s="3"/>
    </row>
    <row r="260" spans="1:47" x14ac:dyDescent="0.2">
      <c r="A260" s="12">
        <v>259</v>
      </c>
      <c r="B260" s="3" t="str">
        <f ca="1">IFERROR(__xludf.DUMMYFUNCTION("""COMPUTED_VALUE"""),"Kholil Arkham Hakim")</f>
        <v>Kholil Arkham Hakim</v>
      </c>
      <c r="C260" s="3" t="str">
        <f ca="1">IFERROR(__xludf.DUMMYFUNCTION("""COMPUTED_VALUE"""),"Kholil Arkham Hakim, S.H.")</f>
        <v>Kholil Arkham Hakim, S.H.</v>
      </c>
      <c r="D260" s="3" t="str">
        <f ca="1">IFERROR(__xludf.DUMMYFUNCTION("""COMPUTED_VALUE"""),"Kholil Arkham Hakim, S.H.")</f>
        <v>Kholil Arkham Hakim, S.H.</v>
      </c>
      <c r="E260" s="3" t="str">
        <f ca="1">IFERROR(__xludf.DUMMYFUNCTION("""COMPUTED_VALUE"""),"199406202022031001")</f>
        <v>199406202022031001</v>
      </c>
      <c r="F260" s="3" t="str">
        <f ca="1">IFERROR(__xludf.DUMMYFUNCTION("""COMPUTED_VALUE"""),"19940620 202203 1 001")</f>
        <v>19940620 202203 1 001</v>
      </c>
      <c r="G260" s="3"/>
      <c r="H260" s="3"/>
      <c r="I260" s="3" t="str">
        <f ca="1">IFERROR(__xludf.DUMMYFUNCTION("""COMPUTED_VALUE"""),"PNS")</f>
        <v>PNS</v>
      </c>
      <c r="J260" s="3" t="str">
        <f ca="1">IFERROR(__xludf.DUMMYFUNCTION("""COMPUTED_VALUE"""),"Pegawai PNS")</f>
        <v>Pegawai PNS</v>
      </c>
      <c r="K260" s="5" t="str">
        <f ca="1">IFERROR(__xludf.DUMMYFUNCTION("""COMPUTED_VALUE"""),"L")</f>
        <v>L</v>
      </c>
      <c r="L260" s="3" t="str">
        <f ca="1">IFERROR(__xludf.DUMMYFUNCTION("""COMPUTED_VALUE"""),"Banjarnegara")</f>
        <v>Banjarnegara</v>
      </c>
      <c r="M260" s="7">
        <f ca="1">IFERROR(__xludf.DUMMYFUNCTION("""COMPUTED_VALUE"""),34505)</f>
        <v>34505</v>
      </c>
      <c r="N260" s="4" t="str">
        <f ca="1">IFERROR(__xludf.DUMMYFUNCTION("""COMPUTED_VALUE"""),"Penata Muda")</f>
        <v>Penata Muda</v>
      </c>
      <c r="O260" s="3" t="str">
        <f ca="1">IFERROR(__xludf.DUMMYFUNCTION("""COMPUTED_VALUE"""),"III/a")</f>
        <v>III/a</v>
      </c>
      <c r="P260" s="7">
        <f ca="1">IFERROR(__xludf.DUMMYFUNCTION("""COMPUTED_VALUE"""),44621)</f>
        <v>44621</v>
      </c>
      <c r="Q260" s="3" t="str">
        <f ca="1">IFERROR(__xludf.DUMMYFUNCTION("""COMPUTED_VALUE"""),"707/Un.19/R/KP.00.3/2/2022")</f>
        <v>707/Un.19/R/KP.00.3/2/2022</v>
      </c>
      <c r="R260" s="3" t="str">
        <f ca="1">IFERROR(__xludf.DUMMYFUNCTION("""COMPUTED_VALUE"""),"Analis Hukum")</f>
        <v>Analis Hukum</v>
      </c>
      <c r="S260" s="3" t="str">
        <f ca="1">IFERROR(__xludf.DUMMYFUNCTION("""COMPUTED_VALUE"""),"Ahli Pertama")</f>
        <v>Ahli Pertama</v>
      </c>
      <c r="T260" s="7">
        <f ca="1">IFERROR(__xludf.DUMMYFUNCTION("""COMPUTED_VALUE"""),44621)</f>
        <v>44621</v>
      </c>
      <c r="U260" s="3" t="str">
        <f ca="1">IFERROR(__xludf.DUMMYFUNCTION("""COMPUTED_VALUE"""),"333/Un.19/K.AUPK/KP.00.3/2/2023")</f>
        <v>333/Un.19/K.AUPK/KP.00.3/2/2023</v>
      </c>
      <c r="V260" s="7">
        <f ca="1">IFERROR(__xludf.DUMMYFUNCTION("""COMPUTED_VALUE"""),44986)</f>
        <v>44986</v>
      </c>
      <c r="W260" s="3">
        <f ca="1">IFERROR(__xludf.DUMMYFUNCTION("""COMPUTED_VALUE"""),8)</f>
        <v>8</v>
      </c>
      <c r="X260" s="3"/>
      <c r="Y260" s="3" t="str">
        <f ca="1">IFERROR(__xludf.DUMMYFUNCTION("""COMPUTED_VALUE"""),"S-1")</f>
        <v>S-1</v>
      </c>
      <c r="Z260" s="3" t="str">
        <f ca="1">IFERROR(__xludf.DUMMYFUNCTION("""COMPUTED_VALUE"""),"3 Tahun 10 Bulan 27 Hari")</f>
        <v>3 Tahun 10 Bulan 27 Hari</v>
      </c>
      <c r="AA260" s="8">
        <f ca="1">IFERROR(__xludf.DUMMYFUNCTION("""COMPUTED_VALUE"""),55701)</f>
        <v>55701</v>
      </c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4"/>
      <c r="AR260" s="3"/>
      <c r="AS260" s="4"/>
      <c r="AT260" s="3"/>
      <c r="AU260" s="3"/>
    </row>
    <row r="261" spans="1:47" x14ac:dyDescent="0.2">
      <c r="A261" s="12">
        <v>260</v>
      </c>
      <c r="B261" s="3" t="str">
        <f ca="1">IFERROR(__xludf.DUMMYFUNCTION("""COMPUTED_VALUE"""),"Krismawan Hariyanto")</f>
        <v>Krismawan Hariyanto</v>
      </c>
      <c r="C261" s="3" t="str">
        <f ca="1">IFERROR(__xludf.DUMMYFUNCTION("""COMPUTED_VALUE"""),"Krismawan Hariyanto, S.Sos.")</f>
        <v>Krismawan Hariyanto, S.Sos.</v>
      </c>
      <c r="D261" s="3" t="str">
        <f ca="1">IFERROR(__xludf.DUMMYFUNCTION("""COMPUTED_VALUE"""),"Krismawan Hariyanto, S.Sos.")</f>
        <v>Krismawan Hariyanto, S.Sos.</v>
      </c>
      <c r="E261" s="3" t="str">
        <f ca="1">IFERROR(__xludf.DUMMYFUNCTION("""COMPUTED_VALUE"""),"197601072005011002")</f>
        <v>197601072005011002</v>
      </c>
      <c r="F261" s="3" t="str">
        <f ca="1">IFERROR(__xludf.DUMMYFUNCTION("""COMPUTED_VALUE"""),"19760107 200501 1 002")</f>
        <v>19760107 200501 1 002</v>
      </c>
      <c r="G261" s="3"/>
      <c r="H261" s="3"/>
      <c r="I261" s="3" t="str">
        <f ca="1">IFERROR(__xludf.DUMMYFUNCTION("""COMPUTED_VALUE"""),"PNS")</f>
        <v>PNS</v>
      </c>
      <c r="J261" s="3" t="str">
        <f ca="1">IFERROR(__xludf.DUMMYFUNCTION("""COMPUTED_VALUE"""),"Pegawai PNS")</f>
        <v>Pegawai PNS</v>
      </c>
      <c r="K261" s="5" t="str">
        <f ca="1">IFERROR(__xludf.DUMMYFUNCTION("""COMPUTED_VALUE"""),"L")</f>
        <v>L</v>
      </c>
      <c r="L261" s="3" t="str">
        <f ca="1">IFERROR(__xludf.DUMMYFUNCTION("""COMPUTED_VALUE"""),"Karanglewas")</f>
        <v>Karanglewas</v>
      </c>
      <c r="M261" s="7">
        <f ca="1">IFERROR(__xludf.DUMMYFUNCTION("""COMPUTED_VALUE"""),27766)</f>
        <v>27766</v>
      </c>
      <c r="N261" s="4" t="str">
        <f ca="1">IFERROR(__xludf.DUMMYFUNCTION("""COMPUTED_VALUE"""),"Penata Tk.I")</f>
        <v>Penata Tk.I</v>
      </c>
      <c r="O261" s="3" t="str">
        <f ca="1">IFERROR(__xludf.DUMMYFUNCTION("""COMPUTED_VALUE"""),"III/d")</f>
        <v>III/d</v>
      </c>
      <c r="P261" s="7">
        <f ca="1">IFERROR(__xludf.DUMMYFUNCTION("""COMPUTED_VALUE"""),42826)</f>
        <v>42826</v>
      </c>
      <c r="Q261" s="3" t="str">
        <f ca="1">IFERROR(__xludf.DUMMYFUNCTION("""COMPUTED_VALUE"""),"B.II/3/05678")</f>
        <v>B.II/3/05678</v>
      </c>
      <c r="R261" s="3" t="str">
        <f ca="1">IFERROR(__xludf.DUMMYFUNCTION("""COMPUTED_VALUE"""),"Perencana")</f>
        <v>Perencana</v>
      </c>
      <c r="S261" s="3" t="str">
        <f ca="1">IFERROR(__xludf.DUMMYFUNCTION("""COMPUTED_VALUE"""),"Ahli Muda")</f>
        <v>Ahli Muda</v>
      </c>
      <c r="T261" s="7">
        <f ca="1">IFERROR(__xludf.DUMMYFUNCTION("""COMPUTED_VALUE"""),45293)</f>
        <v>45293</v>
      </c>
      <c r="U261" s="3" t="str">
        <f ca="1">IFERROR(__xludf.DUMMYFUNCTION("""COMPUTED_VALUE"""),"160/Un.19/K.AUPK/KP.07.6/1/2024")</f>
        <v>160/Un.19/K.AUPK/KP.07.6/1/2024</v>
      </c>
      <c r="V261" s="7">
        <f ca="1">IFERROR(__xludf.DUMMYFUNCTION("""COMPUTED_VALUE"""),45293)</f>
        <v>45293</v>
      </c>
      <c r="W261" s="3">
        <f ca="1">IFERROR(__xludf.DUMMYFUNCTION("""COMPUTED_VALUE"""),10)</f>
        <v>10</v>
      </c>
      <c r="X261" s="3"/>
      <c r="Y261" s="3" t="str">
        <f ca="1">IFERROR(__xludf.DUMMYFUNCTION("""COMPUTED_VALUE"""),"S-1")</f>
        <v>S-1</v>
      </c>
      <c r="Z261" s="3" t="str">
        <f ca="1">IFERROR(__xludf.DUMMYFUNCTION("""COMPUTED_VALUE"""),"21 Tahun 0 Bulan 27 Hari")</f>
        <v>21 Tahun 0 Bulan 27 Hari</v>
      </c>
      <c r="AA261" s="8">
        <f ca="1">IFERROR(__xludf.DUMMYFUNCTION("""COMPUTED_VALUE"""),48976)</f>
        <v>48976</v>
      </c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4"/>
      <c r="AR261" s="3"/>
      <c r="AS261" s="4"/>
      <c r="AT261" s="3"/>
      <c r="AU261" s="3"/>
    </row>
    <row r="262" spans="1:47" x14ac:dyDescent="0.2">
      <c r="A262" s="12">
        <v>261</v>
      </c>
      <c r="B262" s="3" t="str">
        <f ca="1">IFERROR(__xludf.DUMMYFUNCTION("""COMPUTED_VALUE"""),"Kristiarso")</f>
        <v>Kristiarso</v>
      </c>
      <c r="C262" s="3" t="str">
        <f ca="1">IFERROR(__xludf.DUMMYFUNCTION("""COMPUTED_VALUE"""),"Kristiarso, S.Si.")</f>
        <v>Kristiarso, S.Si.</v>
      </c>
      <c r="D262" s="3" t="str">
        <f ca="1">IFERROR(__xludf.DUMMYFUNCTION("""COMPUTED_VALUE"""),"Kristiarso, S.Si.")</f>
        <v>Kristiarso, S.Si.</v>
      </c>
      <c r="E262" s="3" t="str">
        <f ca="1">IFERROR(__xludf.DUMMYFUNCTION("""COMPUTED_VALUE"""),"196911232000031001")</f>
        <v>196911232000031001</v>
      </c>
      <c r="F262" s="3" t="str">
        <f ca="1">IFERROR(__xludf.DUMMYFUNCTION("""COMPUTED_VALUE"""),"19691123 200003 1 001")</f>
        <v>19691123 200003 1 001</v>
      </c>
      <c r="G262" s="3">
        <f ca="1">IFERROR(__xludf.DUMMYFUNCTION("""COMPUTED_VALUE"""),2023116901)</f>
        <v>2023116901</v>
      </c>
      <c r="H262" s="3"/>
      <c r="I262" s="3" t="str">
        <f ca="1">IFERROR(__xludf.DUMMYFUNCTION("""COMPUTED_VALUE"""),"PNS")</f>
        <v>PNS</v>
      </c>
      <c r="J262" s="3" t="str">
        <f ca="1">IFERROR(__xludf.DUMMYFUNCTION("""COMPUTED_VALUE"""),"Pegawai PNS")</f>
        <v>Pegawai PNS</v>
      </c>
      <c r="K262" s="5" t="str">
        <f ca="1">IFERROR(__xludf.DUMMYFUNCTION("""COMPUTED_VALUE"""),"L")</f>
        <v>L</v>
      </c>
      <c r="L262" s="3" t="str">
        <f ca="1">IFERROR(__xludf.DUMMYFUNCTION("""COMPUTED_VALUE"""),"Banyumas")</f>
        <v>Banyumas</v>
      </c>
      <c r="M262" s="9">
        <f ca="1">IFERROR(__xludf.DUMMYFUNCTION("""COMPUTED_VALUE"""),25530)</f>
        <v>25530</v>
      </c>
      <c r="N262" s="4" t="str">
        <f ca="1">IFERROR(__xludf.DUMMYFUNCTION("""COMPUTED_VALUE"""),"Penata")</f>
        <v>Penata</v>
      </c>
      <c r="O262" s="3" t="str">
        <f ca="1">IFERROR(__xludf.DUMMYFUNCTION("""COMPUTED_VALUE"""),"III/c")</f>
        <v>III/c</v>
      </c>
      <c r="P262" s="7">
        <f ca="1">IFERROR(__xludf.DUMMYFUNCTION("""COMPUTED_VALUE"""),45383)</f>
        <v>45383</v>
      </c>
      <c r="Q262" s="3" t="str">
        <f ca="1">IFERROR(__xludf.DUMMYFUNCTION("""COMPUTED_VALUE"""),"502/Un.19/K.AUPK/KP.07.1/03/2024")</f>
        <v>502/Un.19/K.AUPK/KP.07.1/03/2024</v>
      </c>
      <c r="R262" s="3" t="str">
        <f ca="1">IFERROR(__xludf.DUMMYFUNCTION("""COMPUTED_VALUE"""),"Pengolah Data dan Informasi")</f>
        <v>Pengolah Data dan Informasi</v>
      </c>
      <c r="S262" s="3" t="str">
        <f ca="1">IFERROR(__xludf.DUMMYFUNCTION("""COMPUTED_VALUE"""),"Pelaksana")</f>
        <v>Pelaksana</v>
      </c>
      <c r="T262" s="7">
        <f ca="1">IFERROR(__xludf.DUMMYFUNCTION("""COMPUTED_VALUE"""),45842)</f>
        <v>45842</v>
      </c>
      <c r="U262" s="3" t="str">
        <f ca="1">IFERROR(__xludf.DUMMYFUNCTION("""COMPUTED_VALUE"""),"192023/B.II/KP.07/07/2025")</f>
        <v>192023/B.II/KP.07/07/2025</v>
      </c>
      <c r="V262" s="7">
        <f ca="1">IFERROR(__xludf.DUMMYFUNCTION("""COMPUTED_VALUE"""),45842)</f>
        <v>45842</v>
      </c>
      <c r="W262" s="3">
        <f ca="1">IFERROR(__xludf.DUMMYFUNCTION("""COMPUTED_VALUE"""),6)</f>
        <v>6</v>
      </c>
      <c r="X262" s="3"/>
      <c r="Y262" s="3" t="str">
        <f ca="1">IFERROR(__xludf.DUMMYFUNCTION("""COMPUTED_VALUE"""),"S-1")</f>
        <v>S-1</v>
      </c>
      <c r="Z262" s="3" t="str">
        <f ca="1">IFERROR(__xludf.DUMMYFUNCTION("""COMPUTED_VALUE"""),"25 Tahun 10 Bulan 27 Hari")</f>
        <v>25 Tahun 10 Bulan 27 Hari</v>
      </c>
      <c r="AA262" s="8">
        <f ca="1">IFERROR(__xludf.DUMMYFUNCTION("""COMPUTED_VALUE"""),46722)</f>
        <v>46722</v>
      </c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4"/>
      <c r="AR262" s="3"/>
      <c r="AS262" s="4"/>
      <c r="AT262" s="3"/>
      <c r="AU262" s="3"/>
    </row>
    <row r="263" spans="1:47" x14ac:dyDescent="0.2">
      <c r="A263" s="12">
        <v>262</v>
      </c>
      <c r="B263" s="3" t="str">
        <f ca="1">IFERROR(__xludf.DUMMYFUNCTION("""COMPUTED_VALUE"""),"Kusmiyatun")</f>
        <v>Kusmiyatun</v>
      </c>
      <c r="C263" s="3" t="str">
        <f ca="1">IFERROR(__xludf.DUMMYFUNCTION("""COMPUTED_VALUE"""),"Hj. Kusmiyatun, S.E., M.Si.")</f>
        <v>Hj. Kusmiyatun, S.E., M.Si.</v>
      </c>
      <c r="D263" s="3" t="str">
        <f ca="1">IFERROR(__xludf.DUMMYFUNCTION("""COMPUTED_VALUE"""),"Hj. Kusmiyatun, S.E., M.Si.")</f>
        <v>Hj. Kusmiyatun, S.E., M.Si.</v>
      </c>
      <c r="E263" s="3" t="str">
        <f ca="1">IFERROR(__xludf.DUMMYFUNCTION("""COMPUTED_VALUE"""),"197112021998032001")</f>
        <v>197112021998032001</v>
      </c>
      <c r="F263" s="3" t="str">
        <f ca="1">IFERROR(__xludf.DUMMYFUNCTION("""COMPUTED_VALUE"""),"19711202 199803 2 001")</f>
        <v>19711202 199803 2 001</v>
      </c>
      <c r="G263" s="3"/>
      <c r="H263" s="3"/>
      <c r="I263" s="3" t="str">
        <f ca="1">IFERROR(__xludf.DUMMYFUNCTION("""COMPUTED_VALUE"""),"PNS")</f>
        <v>PNS</v>
      </c>
      <c r="J263" s="3" t="str">
        <f ca="1">IFERROR(__xludf.DUMMYFUNCTION("""COMPUTED_VALUE"""),"Pegawai PNS")</f>
        <v>Pegawai PNS</v>
      </c>
      <c r="K263" s="5" t="str">
        <f ca="1">IFERROR(__xludf.DUMMYFUNCTION("""COMPUTED_VALUE"""),"P")</f>
        <v>P</v>
      </c>
      <c r="L263" s="3" t="str">
        <f ca="1">IFERROR(__xludf.DUMMYFUNCTION("""COMPUTED_VALUE"""),"Kebumen")</f>
        <v>Kebumen</v>
      </c>
      <c r="M263" s="7">
        <f ca="1">IFERROR(__xludf.DUMMYFUNCTION("""COMPUTED_VALUE"""),26269)</f>
        <v>26269</v>
      </c>
      <c r="N263" s="4" t="str">
        <f ca="1">IFERROR(__xludf.DUMMYFUNCTION("""COMPUTED_VALUE"""),"Pembina Utama Muda")</f>
        <v>Pembina Utama Muda</v>
      </c>
      <c r="O263" s="3" t="str">
        <f ca="1">IFERROR(__xludf.DUMMYFUNCTION("""COMPUTED_VALUE"""),"IV/c")</f>
        <v>IV/c</v>
      </c>
      <c r="P263" s="7">
        <f ca="1">IFERROR(__xludf.DUMMYFUNCTION("""COMPUTED_VALUE"""),45200)</f>
        <v>45200</v>
      </c>
      <c r="Q263" s="3" t="str">
        <f ca="1">IFERROR(__xludf.DUMMYFUNCTION("""COMPUTED_VALUE"""),"00112/KEP/AA/15001/23")</f>
        <v>00112/KEP/AA/15001/23</v>
      </c>
      <c r="R263" s="3" t="str">
        <f ca="1">IFERROR(__xludf.DUMMYFUNCTION("""COMPUTED_VALUE"""),"Perencana")</f>
        <v>Perencana</v>
      </c>
      <c r="S263" s="3" t="str">
        <f ca="1">IFERROR(__xludf.DUMMYFUNCTION("""COMPUTED_VALUE"""),"Ahli Madya")</f>
        <v>Ahli Madya</v>
      </c>
      <c r="T263" s="7">
        <f ca="1">IFERROR(__xludf.DUMMYFUNCTION("""COMPUTED_VALUE"""),44183)</f>
        <v>44183</v>
      </c>
      <c r="U263" s="3" t="str">
        <f ca="1">IFERROR(__xludf.DUMMYFUNCTION("""COMPUTED_VALUE"""),"043719/B.II/3/2020")</f>
        <v>043719/B.II/3/2020</v>
      </c>
      <c r="V263" s="9">
        <f ca="1">IFERROR(__xludf.DUMMYFUNCTION("""COMPUTED_VALUE"""),44183)</f>
        <v>44183</v>
      </c>
      <c r="W263" s="3">
        <f ca="1">IFERROR(__xludf.DUMMYFUNCTION("""COMPUTED_VALUE"""),12)</f>
        <v>12</v>
      </c>
      <c r="X263" s="7" t="str">
        <f ca="1">IFERROR(__xludf.DUMMYFUNCTION("""COMPUTED_VALUE"""),"Ketua Tim Kerja Perencanaan")</f>
        <v>Ketua Tim Kerja Perencanaan</v>
      </c>
      <c r="Y263" s="3" t="str">
        <f ca="1">IFERROR(__xludf.DUMMYFUNCTION("""COMPUTED_VALUE"""),"S-2")</f>
        <v>S-2</v>
      </c>
      <c r="Z263" s="3" t="str">
        <f ca="1">IFERROR(__xludf.DUMMYFUNCTION("""COMPUTED_VALUE"""),"27 Tahun 10 Bulan 27 Hari")</f>
        <v>27 Tahun 10 Bulan 27 Hari</v>
      </c>
      <c r="AA263" s="8">
        <f ca="1">IFERROR(__xludf.DUMMYFUNCTION("""COMPUTED_VALUE"""),48214)</f>
        <v>48214</v>
      </c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4"/>
      <c r="AR263" s="3"/>
      <c r="AS263" s="4"/>
      <c r="AT263" s="3"/>
      <c r="AU263" s="3"/>
    </row>
    <row r="264" spans="1:47" x14ac:dyDescent="0.2">
      <c r="A264" s="12">
        <v>263</v>
      </c>
      <c r="B264" s="3" t="str">
        <f ca="1">IFERROR(__xludf.DUMMYFUNCTION("""COMPUTED_VALUE"""),"Lukman Aminudin")</f>
        <v>Lukman Aminudin</v>
      </c>
      <c r="C264" s="3" t="str">
        <f ca="1">IFERROR(__xludf.DUMMYFUNCTION("""COMPUTED_VALUE"""),"Lukman Aminudin, S.Sos.")</f>
        <v>Lukman Aminudin, S.Sos.</v>
      </c>
      <c r="D264" s="3" t="str">
        <f ca="1">IFERROR(__xludf.DUMMYFUNCTION("""COMPUTED_VALUE"""),"Lukman Aminudin, S.Sos.")</f>
        <v>Lukman Aminudin, S.Sos.</v>
      </c>
      <c r="E264" s="3" t="str">
        <f ca="1">IFERROR(__xludf.DUMMYFUNCTION("""COMPUTED_VALUE"""),"197510092003121002")</f>
        <v>197510092003121002</v>
      </c>
      <c r="F264" s="3" t="str">
        <f ca="1">IFERROR(__xludf.DUMMYFUNCTION("""COMPUTED_VALUE"""),"19751009 200312 1 002")</f>
        <v>19751009 200312 1 002</v>
      </c>
      <c r="G264" s="3"/>
      <c r="H264" s="3"/>
      <c r="I264" s="3" t="str">
        <f ca="1">IFERROR(__xludf.DUMMYFUNCTION("""COMPUTED_VALUE"""),"PNS")</f>
        <v>PNS</v>
      </c>
      <c r="J264" s="3" t="str">
        <f ca="1">IFERROR(__xludf.DUMMYFUNCTION("""COMPUTED_VALUE"""),"Pegawai PNS")</f>
        <v>Pegawai PNS</v>
      </c>
      <c r="K264" s="5" t="str">
        <f ca="1">IFERROR(__xludf.DUMMYFUNCTION("""COMPUTED_VALUE"""),"L")</f>
        <v>L</v>
      </c>
      <c r="L264" s="3" t="str">
        <f ca="1">IFERROR(__xludf.DUMMYFUNCTION("""COMPUTED_VALUE"""),"Banyumas")</f>
        <v>Banyumas</v>
      </c>
      <c r="M264" s="7">
        <f ca="1">IFERROR(__xludf.DUMMYFUNCTION("""COMPUTED_VALUE"""),27676)</f>
        <v>27676</v>
      </c>
      <c r="N264" s="4" t="str">
        <f ca="1">IFERROR(__xludf.DUMMYFUNCTION("""COMPUTED_VALUE"""),"Penata Tk.I")</f>
        <v>Penata Tk.I</v>
      </c>
      <c r="O264" s="3" t="str">
        <f ca="1">IFERROR(__xludf.DUMMYFUNCTION("""COMPUTED_VALUE"""),"III/d")</f>
        <v>III/d</v>
      </c>
      <c r="P264" s="7">
        <f ca="1">IFERROR(__xludf.DUMMYFUNCTION("""COMPUTED_VALUE"""),45200)</f>
        <v>45200</v>
      </c>
      <c r="Q264" s="3" t="str">
        <f ca="1">IFERROR(__xludf.DUMMYFUNCTION("""COMPUTED_VALUE"""),"1107/Un.19/K.AUPK/KP.07.1/08/2023")</f>
        <v>1107/Un.19/K.AUPK/KP.07.1/08/2023</v>
      </c>
      <c r="R264" s="3" t="str">
        <f ca="1">IFERROR(__xludf.DUMMYFUNCTION("""COMPUTED_VALUE"""),"‌Penata Layanan Operasional")</f>
        <v>‌Penata Layanan Operasional</v>
      </c>
      <c r="S264" s="3" t="str">
        <f ca="1">IFERROR(__xludf.DUMMYFUNCTION("""COMPUTED_VALUE"""),"Pelaksana")</f>
        <v>Pelaksana</v>
      </c>
      <c r="T264" s="7">
        <f ca="1">IFERROR(__xludf.DUMMYFUNCTION("""COMPUTED_VALUE"""),45842)</f>
        <v>45842</v>
      </c>
      <c r="U264" s="3" t="str">
        <f ca="1">IFERROR(__xludf.DUMMYFUNCTION("""COMPUTED_VALUE"""),"192033/B.II/KP.07/07/2025")</f>
        <v>192033/B.II/KP.07/07/2025</v>
      </c>
      <c r="V264" s="7">
        <f ca="1">IFERROR(__xludf.DUMMYFUNCTION("""COMPUTED_VALUE"""),45842)</f>
        <v>45842</v>
      </c>
      <c r="W264" s="3">
        <f ca="1">IFERROR(__xludf.DUMMYFUNCTION("""COMPUTED_VALUE"""),7)</f>
        <v>7</v>
      </c>
      <c r="X264" s="3"/>
      <c r="Y264" s="3" t="str">
        <f ca="1">IFERROR(__xludf.DUMMYFUNCTION("""COMPUTED_VALUE"""),"S-1")</f>
        <v>S-1</v>
      </c>
      <c r="Z264" s="3" t="str">
        <f ca="1">IFERROR(__xludf.DUMMYFUNCTION("""COMPUTED_VALUE"""),"22 Tahun 1 Bulan 27 Hari")</f>
        <v>22 Tahun 1 Bulan 27 Hari</v>
      </c>
      <c r="AA264" s="8">
        <f ca="1">IFERROR(__xludf.DUMMYFUNCTION("""COMPUTED_VALUE"""),48884)</f>
        <v>48884</v>
      </c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4"/>
      <c r="AR264" s="3"/>
      <c r="AS264" s="4"/>
      <c r="AT264" s="3"/>
      <c r="AU264" s="3"/>
    </row>
    <row r="265" spans="1:47" x14ac:dyDescent="0.2">
      <c r="A265" s="12">
        <v>264</v>
      </c>
      <c r="B265" s="3" t="str">
        <f ca="1">IFERROR(__xludf.DUMMYFUNCTION("""COMPUTED_VALUE"""),"M. Yusuf")</f>
        <v>M. Yusuf</v>
      </c>
      <c r="C265" s="3" t="str">
        <f ca="1">IFERROR(__xludf.DUMMYFUNCTION("""COMPUTED_VALUE"""),"M. Yusuf, S.Ag., M.Pd.")</f>
        <v>M. Yusuf, S.Ag., M.Pd.</v>
      </c>
      <c r="D265" s="3" t="str">
        <f ca="1">IFERROR(__xludf.DUMMYFUNCTION("""COMPUTED_VALUE"""),"M. Yusuf, S.Ag., M.Pd.")</f>
        <v>M. Yusuf, S.Ag., M.Pd.</v>
      </c>
      <c r="E265" s="3" t="str">
        <f ca="1">IFERROR(__xludf.DUMMYFUNCTION("""COMPUTED_VALUE"""),"197108082009011004")</f>
        <v>197108082009011004</v>
      </c>
      <c r="F265" s="3" t="str">
        <f ca="1">IFERROR(__xludf.DUMMYFUNCTION("""COMPUTED_VALUE"""),"19710808 200901 1 004")</f>
        <v>19710808 200901 1 004</v>
      </c>
      <c r="G265" s="3"/>
      <c r="H265" s="3"/>
      <c r="I265" s="3" t="str">
        <f ca="1">IFERROR(__xludf.DUMMYFUNCTION("""COMPUTED_VALUE"""),"PNS")</f>
        <v>PNS</v>
      </c>
      <c r="J265" s="3" t="str">
        <f ca="1">IFERROR(__xludf.DUMMYFUNCTION("""COMPUTED_VALUE"""),"Pegawai PNS")</f>
        <v>Pegawai PNS</v>
      </c>
      <c r="K265" s="5" t="str">
        <f ca="1">IFERROR(__xludf.DUMMYFUNCTION("""COMPUTED_VALUE"""),"L")</f>
        <v>L</v>
      </c>
      <c r="L265" s="3" t="str">
        <f ca="1">IFERROR(__xludf.DUMMYFUNCTION("""COMPUTED_VALUE"""),"Boyolali")</f>
        <v>Boyolali</v>
      </c>
      <c r="M265" s="7">
        <f ca="1">IFERROR(__xludf.DUMMYFUNCTION("""COMPUTED_VALUE"""),26153)</f>
        <v>26153</v>
      </c>
      <c r="N265" s="4" t="str">
        <f ca="1">IFERROR(__xludf.DUMMYFUNCTION("""COMPUTED_VALUE"""),"Penata Tk.I")</f>
        <v>Penata Tk.I</v>
      </c>
      <c r="O265" s="3" t="str">
        <f ca="1">IFERROR(__xludf.DUMMYFUNCTION("""COMPUTED_VALUE"""),"III/d")</f>
        <v>III/d</v>
      </c>
      <c r="P265" s="7">
        <f ca="1">IFERROR(__xludf.DUMMYFUNCTION("""COMPUTED_VALUE"""),43922)</f>
        <v>43922</v>
      </c>
      <c r="Q265" s="3" t="str">
        <f ca="1">IFERROR(__xludf.DUMMYFUNCTION("""COMPUTED_VALUE"""),"10645/B.II/3/2020")</f>
        <v>10645/B.II/3/2020</v>
      </c>
      <c r="R265" s="3" t="str">
        <f ca="1">IFERROR(__xludf.DUMMYFUNCTION("""COMPUTED_VALUE"""),"Pengembang Teknologi Pembelajaran")</f>
        <v>Pengembang Teknologi Pembelajaran</v>
      </c>
      <c r="S265" s="3" t="str">
        <f ca="1">IFERROR(__xludf.DUMMYFUNCTION("""COMPUTED_VALUE"""),"Ahli Muda")</f>
        <v>Ahli Muda</v>
      </c>
      <c r="T265" s="7">
        <f ca="1">IFERROR(__xludf.DUMMYFUNCTION("""COMPUTED_VALUE"""),45293)</f>
        <v>45293</v>
      </c>
      <c r="U265" s="3" t="str">
        <f ca="1">IFERROR(__xludf.DUMMYFUNCTION("""COMPUTED_VALUE"""),"164/Un.19/K.AUPK/KP.07.6/1/2024")</f>
        <v>164/Un.19/K.AUPK/KP.07.6/1/2024</v>
      </c>
      <c r="V265" s="7">
        <f ca="1">IFERROR(__xludf.DUMMYFUNCTION("""COMPUTED_VALUE"""),45293)</f>
        <v>45293</v>
      </c>
      <c r="W265" s="3">
        <f ca="1">IFERROR(__xludf.DUMMYFUNCTION("""COMPUTED_VALUE"""),10)</f>
        <v>10</v>
      </c>
      <c r="X265" s="7" t="str">
        <f ca="1">IFERROR(__xludf.DUMMYFUNCTION("""COMPUTED_VALUE"""),"Ketua Tim Kerja AKA FUAH")</f>
        <v>Ketua Tim Kerja AKA FUAH</v>
      </c>
      <c r="Y265" s="3" t="str">
        <f ca="1">IFERROR(__xludf.DUMMYFUNCTION("""COMPUTED_VALUE"""),"S-1")</f>
        <v>S-1</v>
      </c>
      <c r="Z265" s="3" t="str">
        <f ca="1">IFERROR(__xludf.DUMMYFUNCTION("""COMPUTED_VALUE"""),"17 Tahun 0 Bulan 27 Hari")</f>
        <v>17 Tahun 0 Bulan 27 Hari</v>
      </c>
      <c r="AA265" s="8">
        <f ca="1">IFERROR(__xludf.DUMMYFUNCTION("""COMPUTED_VALUE"""),47362)</f>
        <v>47362</v>
      </c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4"/>
      <c r="AR265" s="3"/>
      <c r="AS265" s="4"/>
      <c r="AT265" s="3"/>
      <c r="AU265" s="3"/>
    </row>
    <row r="266" spans="1:47" x14ac:dyDescent="0.2">
      <c r="A266" s="12">
        <v>265</v>
      </c>
      <c r="B266" s="3" t="str">
        <f ca="1">IFERROR(__xludf.DUMMYFUNCTION("""COMPUTED_VALUE"""),"Marhazal Wafie")</f>
        <v>Marhazal Wafie</v>
      </c>
      <c r="C266" s="3" t="str">
        <f ca="1">IFERROR(__xludf.DUMMYFUNCTION("""COMPUTED_VALUE"""),"Marhazal Wafie")</f>
        <v>Marhazal Wafie</v>
      </c>
      <c r="D266" s="3" t="str">
        <f ca="1">IFERROR(__xludf.DUMMYFUNCTION("""COMPUTED_VALUE"""),"Marhazal Wafie")</f>
        <v>Marhazal Wafie</v>
      </c>
      <c r="E266" s="3" t="str">
        <f ca="1">IFERROR(__xludf.DUMMYFUNCTION("""COMPUTED_VALUE"""),"197901102007011023")</f>
        <v>197901102007011023</v>
      </c>
      <c r="F266" s="3" t="str">
        <f ca="1">IFERROR(__xludf.DUMMYFUNCTION("""COMPUTED_VALUE"""),"19790110 200701 1 023")</f>
        <v>19790110 200701 1 023</v>
      </c>
      <c r="G266" s="3"/>
      <c r="H266" s="3"/>
      <c r="I266" s="3" t="str">
        <f ca="1">IFERROR(__xludf.DUMMYFUNCTION("""COMPUTED_VALUE"""),"PNS")</f>
        <v>PNS</v>
      </c>
      <c r="J266" s="3" t="str">
        <f ca="1">IFERROR(__xludf.DUMMYFUNCTION("""COMPUTED_VALUE"""),"Pegawai PNS")</f>
        <v>Pegawai PNS</v>
      </c>
      <c r="K266" s="5" t="str">
        <f ca="1">IFERROR(__xludf.DUMMYFUNCTION("""COMPUTED_VALUE"""),"L")</f>
        <v>L</v>
      </c>
      <c r="L266" s="3" t="str">
        <f ca="1">IFERROR(__xludf.DUMMYFUNCTION("""COMPUTED_VALUE"""),"Banyumas")</f>
        <v>Banyumas</v>
      </c>
      <c r="M266" s="7">
        <f ca="1">IFERROR(__xludf.DUMMYFUNCTION("""COMPUTED_VALUE"""),28865)</f>
        <v>28865</v>
      </c>
      <c r="N266" s="4" t="str">
        <f ca="1">IFERROR(__xludf.DUMMYFUNCTION("""COMPUTED_VALUE"""),"Penata Muda")</f>
        <v>Penata Muda</v>
      </c>
      <c r="O266" s="3" t="str">
        <f ca="1">IFERROR(__xludf.DUMMYFUNCTION("""COMPUTED_VALUE"""),"III/a")</f>
        <v>III/a</v>
      </c>
      <c r="P266" s="7">
        <f ca="1">IFERROR(__xludf.DUMMYFUNCTION("""COMPUTED_VALUE"""),45444)</f>
        <v>45444</v>
      </c>
      <c r="Q266" s="3" t="str">
        <f ca="1">IFERROR(__xludf.DUMMYFUNCTION("""COMPUTED_VALUE"""),"632/Un.19/K.AUPK/KP.07.1/04/2024")</f>
        <v>632/Un.19/K.AUPK/KP.07.1/04/2024</v>
      </c>
      <c r="R266" s="3" t="str">
        <f ca="1">IFERROR(__xludf.DUMMYFUNCTION("""COMPUTED_VALUE"""),"‌Pengadministrasi Perkantoran")</f>
        <v>‌Pengadministrasi Perkantoran</v>
      </c>
      <c r="S266" s="3" t="str">
        <f ca="1">IFERROR(__xludf.DUMMYFUNCTION("""COMPUTED_VALUE"""),"Pelaksana")</f>
        <v>Pelaksana</v>
      </c>
      <c r="T266" s="7">
        <f ca="1">IFERROR(__xludf.DUMMYFUNCTION("""COMPUTED_VALUE"""),45842)</f>
        <v>45842</v>
      </c>
      <c r="U266" s="3" t="str">
        <f ca="1">IFERROR(__xludf.DUMMYFUNCTION("""COMPUTED_VALUE"""),"192039/B.II/KP.07/07/2025")</f>
        <v>192039/B.II/KP.07/07/2025</v>
      </c>
      <c r="V266" s="7">
        <f ca="1">IFERROR(__xludf.DUMMYFUNCTION("""COMPUTED_VALUE"""),45842)</f>
        <v>45842</v>
      </c>
      <c r="W266" s="3">
        <f ca="1">IFERROR(__xludf.DUMMYFUNCTION("""COMPUTED_VALUE"""),5)</f>
        <v>5</v>
      </c>
      <c r="X266" s="3"/>
      <c r="Y266" s="3" t="str">
        <f ca="1">IFERROR(__xludf.DUMMYFUNCTION("""COMPUTED_VALUE"""),"SMA")</f>
        <v>SMA</v>
      </c>
      <c r="Z266" s="3" t="str">
        <f ca="1">IFERROR(__xludf.DUMMYFUNCTION("""COMPUTED_VALUE"""),"19 Tahun 0 Bulan 27 Hari")</f>
        <v>19 Tahun 0 Bulan 27 Hari</v>
      </c>
      <c r="AA266" s="8">
        <f ca="1">IFERROR(__xludf.DUMMYFUNCTION("""COMPUTED_VALUE"""),50072)</f>
        <v>50072</v>
      </c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4"/>
      <c r="AR266" s="3"/>
      <c r="AS266" s="4"/>
      <c r="AT266" s="3"/>
      <c r="AU266" s="3"/>
    </row>
    <row r="267" spans="1:47" x14ac:dyDescent="0.2">
      <c r="A267" s="12">
        <v>266</v>
      </c>
      <c r="B267" s="3" t="str">
        <f ca="1">IFERROR(__xludf.DUMMYFUNCTION("""COMPUTED_VALUE"""),"Moch Saifudin")</f>
        <v>Moch Saifudin</v>
      </c>
      <c r="C267" s="3" t="str">
        <f ca="1">IFERROR(__xludf.DUMMYFUNCTION("""COMPUTED_VALUE"""),"Moch. Saifudin, S.E., M.M.")</f>
        <v>Moch. Saifudin, S.E., M.M.</v>
      </c>
      <c r="D267" s="3" t="str">
        <f ca="1">IFERROR(__xludf.DUMMYFUNCTION("""COMPUTED_VALUE"""),"Moch. Saifudin, S.E., M.M.")</f>
        <v>Moch. Saifudin, S.E., M.M.</v>
      </c>
      <c r="E267" s="3" t="str">
        <f ca="1">IFERROR(__xludf.DUMMYFUNCTION("""COMPUTED_VALUE"""),"197205152006041014")</f>
        <v>197205152006041014</v>
      </c>
      <c r="F267" s="3" t="str">
        <f ca="1">IFERROR(__xludf.DUMMYFUNCTION("""COMPUTED_VALUE"""),"19720515 200604 1 014")</f>
        <v>19720515 200604 1 014</v>
      </c>
      <c r="G267" s="3"/>
      <c r="H267" s="3"/>
      <c r="I267" s="3" t="str">
        <f ca="1">IFERROR(__xludf.DUMMYFUNCTION("""COMPUTED_VALUE"""),"PNS")</f>
        <v>PNS</v>
      </c>
      <c r="J267" s="3" t="str">
        <f ca="1">IFERROR(__xludf.DUMMYFUNCTION("""COMPUTED_VALUE"""),"Pegawai PNS")</f>
        <v>Pegawai PNS</v>
      </c>
      <c r="K267" s="5" t="str">
        <f ca="1">IFERROR(__xludf.DUMMYFUNCTION("""COMPUTED_VALUE"""),"L")</f>
        <v>L</v>
      </c>
      <c r="L267" s="3" t="str">
        <f ca="1">IFERROR(__xludf.DUMMYFUNCTION("""COMPUTED_VALUE"""),"Banyumas")</f>
        <v>Banyumas</v>
      </c>
      <c r="M267" s="7">
        <f ca="1">IFERROR(__xludf.DUMMYFUNCTION("""COMPUTED_VALUE"""),26434)</f>
        <v>26434</v>
      </c>
      <c r="N267" s="4" t="str">
        <f ca="1">IFERROR(__xludf.DUMMYFUNCTION("""COMPUTED_VALUE"""),"Penata")</f>
        <v>Penata</v>
      </c>
      <c r="O267" s="3" t="str">
        <f ca="1">IFERROR(__xludf.DUMMYFUNCTION("""COMPUTED_VALUE"""),"III/c")</f>
        <v>III/c</v>
      </c>
      <c r="P267" s="7">
        <f ca="1">IFERROR(__xludf.DUMMYFUNCTION("""COMPUTED_VALUE"""),44652)</f>
        <v>44652</v>
      </c>
      <c r="Q267" s="3" t="str">
        <f ca="1">IFERROR(__xludf.DUMMYFUNCTION("""COMPUTED_VALUE"""),"1092/Un.19/R/KP.07.2/04/2022")</f>
        <v>1092/Un.19/R/KP.07.2/04/2022</v>
      </c>
      <c r="R267" s="3" t="str">
        <f ca="1">IFERROR(__xludf.DUMMYFUNCTION("""COMPUTED_VALUE"""),"Penelaah Teknis Kebijakan")</f>
        <v>Penelaah Teknis Kebijakan</v>
      </c>
      <c r="S267" s="3" t="str">
        <f ca="1">IFERROR(__xludf.DUMMYFUNCTION("""COMPUTED_VALUE"""),"Pelaksana")</f>
        <v>Pelaksana</v>
      </c>
      <c r="T267" s="7">
        <f ca="1">IFERROR(__xludf.DUMMYFUNCTION("""COMPUTED_VALUE"""),45842)</f>
        <v>45842</v>
      </c>
      <c r="U267" s="3" t="str">
        <f ca="1">IFERROR(__xludf.DUMMYFUNCTION("""COMPUTED_VALUE"""),"192028/B.II/KP.07/07/2025")</f>
        <v>192028/B.II/KP.07/07/2025</v>
      </c>
      <c r="V267" s="7">
        <f ca="1">IFERROR(__xludf.DUMMYFUNCTION("""COMPUTED_VALUE"""),45842)</f>
        <v>45842</v>
      </c>
      <c r="W267" s="3">
        <f ca="1">IFERROR(__xludf.DUMMYFUNCTION("""COMPUTED_VALUE"""),7)</f>
        <v>7</v>
      </c>
      <c r="X267" s="3"/>
      <c r="Y267" s="3" t="str">
        <f ca="1">IFERROR(__xludf.DUMMYFUNCTION("""COMPUTED_VALUE"""),"S-2")</f>
        <v>S-2</v>
      </c>
      <c r="Z267" s="3" t="str">
        <f ca="1">IFERROR(__xludf.DUMMYFUNCTION("""COMPUTED_VALUE"""),"19 Tahun 9 Bulan 27 Hari")</f>
        <v>19 Tahun 9 Bulan 27 Hari</v>
      </c>
      <c r="AA267" s="8">
        <f ca="1">IFERROR(__xludf.DUMMYFUNCTION("""COMPUTED_VALUE"""),47635)</f>
        <v>47635</v>
      </c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4"/>
      <c r="AR267" s="3"/>
      <c r="AS267" s="4"/>
      <c r="AT267" s="3"/>
      <c r="AU267" s="3"/>
    </row>
    <row r="268" spans="1:47" x14ac:dyDescent="0.2">
      <c r="A268" s="12">
        <v>267</v>
      </c>
      <c r="B268" s="3" t="str">
        <f ca="1">IFERROR(__xludf.DUMMYFUNCTION("""COMPUTED_VALUE"""),"Mualimah")</f>
        <v>Mualimah</v>
      </c>
      <c r="C268" s="3" t="str">
        <f ca="1">IFERROR(__xludf.DUMMYFUNCTION("""COMPUTED_VALUE"""),"Mualimah, S.E., M.Ak.")</f>
        <v>Mualimah, S.E., M.Ak.</v>
      </c>
      <c r="D268" s="3" t="str">
        <f ca="1">IFERROR(__xludf.DUMMYFUNCTION("""COMPUTED_VALUE"""),"Mualimah, S.E., M.Ak.")</f>
        <v>Mualimah, S.E., M.Ak.</v>
      </c>
      <c r="E268" s="3" t="str">
        <f ca="1">IFERROR(__xludf.DUMMYFUNCTION("""COMPUTED_VALUE"""),"198601172009012003")</f>
        <v>198601172009012003</v>
      </c>
      <c r="F268" s="3" t="str">
        <f ca="1">IFERROR(__xludf.DUMMYFUNCTION("""COMPUTED_VALUE"""),"19860117 200901 2 003")</f>
        <v>19860117 200901 2 003</v>
      </c>
      <c r="G268" s="3"/>
      <c r="H268" s="3"/>
      <c r="I268" s="3" t="str">
        <f ca="1">IFERROR(__xludf.DUMMYFUNCTION("""COMPUTED_VALUE"""),"PNS")</f>
        <v>PNS</v>
      </c>
      <c r="J268" s="3" t="str">
        <f ca="1">IFERROR(__xludf.DUMMYFUNCTION("""COMPUTED_VALUE"""),"Pegawai PNS")</f>
        <v>Pegawai PNS</v>
      </c>
      <c r="K268" s="5" t="str">
        <f ca="1">IFERROR(__xludf.DUMMYFUNCTION("""COMPUTED_VALUE"""),"P")</f>
        <v>P</v>
      </c>
      <c r="L268" s="3" t="str">
        <f ca="1">IFERROR(__xludf.DUMMYFUNCTION("""COMPUTED_VALUE"""),"Purbalingga")</f>
        <v>Purbalingga</v>
      </c>
      <c r="M268" s="7">
        <f ca="1">IFERROR(__xludf.DUMMYFUNCTION("""COMPUTED_VALUE"""),31429)</f>
        <v>31429</v>
      </c>
      <c r="N268" s="4" t="str">
        <f ca="1">IFERROR(__xludf.DUMMYFUNCTION("""COMPUTED_VALUE"""),"Pembina")</f>
        <v>Pembina</v>
      </c>
      <c r="O268" s="3" t="str">
        <f ca="1">IFERROR(__xludf.DUMMYFUNCTION("""COMPUTED_VALUE"""),"IV/a")</f>
        <v>IV/a</v>
      </c>
      <c r="P268" s="7">
        <f ca="1">IFERROR(__xludf.DUMMYFUNCTION("""COMPUTED_VALUE"""),45992)</f>
        <v>45992</v>
      </c>
      <c r="Q268" s="3" t="str">
        <f ca="1">IFERROR(__xludf.DUMMYFUNCTION("""COMPUTED_VALUE"""),"212549/B.II/KP.07.1/11/2025")</f>
        <v>212549/B.II/KP.07.1/11/2025</v>
      </c>
      <c r="R268" s="3" t="str">
        <f ca="1">IFERROR(__xludf.DUMMYFUNCTION("""COMPUTED_VALUE"""),"Analis Pengelolaan Keuangan APBN")</f>
        <v>Analis Pengelolaan Keuangan APBN</v>
      </c>
      <c r="S268" s="3" t="str">
        <f ca="1">IFERROR(__xludf.DUMMYFUNCTION("""COMPUTED_VALUE"""),"Ahli Madya")</f>
        <v>Ahli Madya</v>
      </c>
      <c r="T268" s="7">
        <f ca="1">IFERROR(__xludf.DUMMYFUNCTION("""COMPUTED_VALUE"""),45931)</f>
        <v>45931</v>
      </c>
      <c r="U268" s="3" t="str">
        <f ca="1">IFERROR(__xludf.DUMMYFUNCTION("""COMPUTED_VALUE"""),"200339/MA/KP.07.6/09/2025")</f>
        <v>200339/MA/KP.07.6/09/2025</v>
      </c>
      <c r="V268" s="7">
        <f ca="1">IFERROR(__xludf.DUMMYFUNCTION("""COMPUTED_VALUE"""),45915)</f>
        <v>45915</v>
      </c>
      <c r="W268" s="3">
        <f ca="1">IFERROR(__xludf.DUMMYFUNCTION("""COMPUTED_VALUE"""),12)</f>
        <v>12</v>
      </c>
      <c r="X268" s="7" t="str">
        <f ca="1">IFERROR(__xludf.DUMMYFUNCTION("""COMPUTED_VALUE"""),"Ketua Tim Kerja AUK Fakultas Dakwah")</f>
        <v>Ketua Tim Kerja AUK Fakultas Dakwah</v>
      </c>
      <c r="Y268" s="3" t="str">
        <f ca="1">IFERROR(__xludf.DUMMYFUNCTION("""COMPUTED_VALUE"""),"S-2")</f>
        <v>S-2</v>
      </c>
      <c r="Z268" s="3" t="str">
        <f ca="1">IFERROR(__xludf.DUMMYFUNCTION("""COMPUTED_VALUE"""),"17 Tahun 0 Bulan 27 Hari")</f>
        <v>17 Tahun 0 Bulan 27 Hari</v>
      </c>
      <c r="AA268" s="8">
        <f ca="1">IFERROR(__xludf.DUMMYFUNCTION("""COMPUTED_VALUE"""),53359)</f>
        <v>53359</v>
      </c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4"/>
      <c r="AR268" s="3"/>
      <c r="AS268" s="4"/>
      <c r="AT268" s="3"/>
      <c r="AU268" s="3"/>
    </row>
    <row r="269" spans="1:47" x14ac:dyDescent="0.2">
      <c r="A269" s="12">
        <v>268</v>
      </c>
      <c r="B269" s="3" t="str">
        <f ca="1">IFERROR(__xludf.DUMMYFUNCTION("""COMPUTED_VALUE"""),"Muchammad Fadlan")</f>
        <v>Muchammad Fadlan</v>
      </c>
      <c r="C269" s="3" t="str">
        <f ca="1">IFERROR(__xludf.DUMMYFUNCTION("""COMPUTED_VALUE"""),"Muchammad Fadlan, S.Pd.I., S.Kom., M.Si., M.Sos.")</f>
        <v>Muchammad Fadlan, S.Pd.I., S.Kom., M.Si., M.Sos.</v>
      </c>
      <c r="D269" s="3" t="str">
        <f ca="1">IFERROR(__xludf.DUMMYFUNCTION("""COMPUTED_VALUE"""),"Muchammad Fadlan, S.Pd.I., S.Kom., M.Si., M.Sos.")</f>
        <v>Muchammad Fadlan, S.Pd.I., S.Kom., M.Si., M.Sos.</v>
      </c>
      <c r="E269" s="3" t="str">
        <f ca="1">IFERROR(__xludf.DUMMYFUNCTION("""COMPUTED_VALUE"""),"198106252007011010")</f>
        <v>198106252007011010</v>
      </c>
      <c r="F269" s="3" t="str">
        <f ca="1">IFERROR(__xludf.DUMMYFUNCTION("""COMPUTED_VALUE"""),"19810625 200701 1 010")</f>
        <v>19810625 200701 1 010</v>
      </c>
      <c r="G269" s="3"/>
      <c r="H269" s="3"/>
      <c r="I269" s="3" t="str">
        <f ca="1">IFERROR(__xludf.DUMMYFUNCTION("""COMPUTED_VALUE"""),"PNS")</f>
        <v>PNS</v>
      </c>
      <c r="J269" s="3" t="str">
        <f ca="1">IFERROR(__xludf.DUMMYFUNCTION("""COMPUTED_VALUE"""),"Pegawai PNS")</f>
        <v>Pegawai PNS</v>
      </c>
      <c r="K269" s="5" t="str">
        <f ca="1">IFERROR(__xludf.DUMMYFUNCTION("""COMPUTED_VALUE"""),"L")</f>
        <v>L</v>
      </c>
      <c r="L269" s="3" t="str">
        <f ca="1">IFERROR(__xludf.DUMMYFUNCTION("""COMPUTED_VALUE"""),"Banyumas")</f>
        <v>Banyumas</v>
      </c>
      <c r="M269" s="7">
        <f ca="1">IFERROR(__xludf.DUMMYFUNCTION("""COMPUTED_VALUE"""),29762)</f>
        <v>29762</v>
      </c>
      <c r="N269" s="4" t="str">
        <f ca="1">IFERROR(__xludf.DUMMYFUNCTION("""COMPUTED_VALUE"""),"Penata Tk.I")</f>
        <v>Penata Tk.I</v>
      </c>
      <c r="O269" s="3" t="str">
        <f ca="1">IFERROR(__xludf.DUMMYFUNCTION("""COMPUTED_VALUE"""),"III/d")</f>
        <v>III/d</v>
      </c>
      <c r="P269" s="7">
        <f ca="1">IFERROR(__xludf.DUMMYFUNCTION("""COMPUTED_VALUE"""),44835)</f>
        <v>44835</v>
      </c>
      <c r="Q269" s="3" t="str">
        <f ca="1">IFERROR(__xludf.DUMMYFUNCTION("""COMPUTED_VALUE"""),"028964/B.II/3/2022")</f>
        <v>028964/B.II/3/2022</v>
      </c>
      <c r="R269" s="3" t="str">
        <f ca="1">IFERROR(__xludf.DUMMYFUNCTION("""COMPUTED_VALUE"""),"Pranata Hubungan Masyarakat")</f>
        <v>Pranata Hubungan Masyarakat</v>
      </c>
      <c r="S269" s="3" t="str">
        <f ca="1">IFERROR(__xludf.DUMMYFUNCTION("""COMPUTED_VALUE"""),"Ahli Muda")</f>
        <v>Ahli Muda</v>
      </c>
      <c r="T269" s="7">
        <f ca="1">IFERROR(__xludf.DUMMYFUNCTION("""COMPUTED_VALUE"""),44183)</f>
        <v>44183</v>
      </c>
      <c r="U269" s="3" t="str">
        <f ca="1">IFERROR(__xludf.DUMMYFUNCTION("""COMPUTED_VALUE"""),"044418/B.II/3/2020")</f>
        <v>044418/B.II/3/2020</v>
      </c>
      <c r="V269" s="9">
        <f ca="1">IFERROR(__xludf.DUMMYFUNCTION("""COMPUTED_VALUE"""),44183)</f>
        <v>44183</v>
      </c>
      <c r="W269" s="3">
        <f ca="1">IFERROR(__xludf.DUMMYFUNCTION("""COMPUTED_VALUE"""),9)</f>
        <v>9</v>
      </c>
      <c r="X269" s="7" t="str">
        <f ca="1">IFERROR(__xludf.DUMMYFUNCTION("""COMPUTED_VALUE"""),"Kepala Unit Pelaksana Teknis TIPD")</f>
        <v>Kepala Unit Pelaksana Teknis TIPD</v>
      </c>
      <c r="Y269" s="3" t="str">
        <f ca="1">IFERROR(__xludf.DUMMYFUNCTION("""COMPUTED_VALUE"""),"S-2")</f>
        <v>S-2</v>
      </c>
      <c r="Z269" s="3" t="str">
        <f ca="1">IFERROR(__xludf.DUMMYFUNCTION("""COMPUTED_VALUE"""),"19 Tahun 0 Bulan 27 Hari")</f>
        <v>19 Tahun 0 Bulan 27 Hari</v>
      </c>
      <c r="AA269" s="8">
        <f ca="1">IFERROR(__xludf.DUMMYFUNCTION("""COMPUTED_VALUE"""),50952)</f>
        <v>50952</v>
      </c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4"/>
      <c r="AR269" s="3"/>
      <c r="AS269" s="4"/>
      <c r="AT269" s="3"/>
      <c r="AU269" s="3"/>
    </row>
    <row r="270" spans="1:47" x14ac:dyDescent="0.2">
      <c r="A270" s="12">
        <v>269</v>
      </c>
      <c r="B270" s="3" t="str">
        <f ca="1">IFERROR(__xludf.DUMMYFUNCTION("""COMPUTED_VALUE"""),"Muhamad Zaeni Isma'il")</f>
        <v>Muhamad Zaeni Isma'il</v>
      </c>
      <c r="C270" s="3" t="str">
        <f ca="1">IFERROR(__xludf.DUMMYFUNCTION("""COMPUTED_VALUE"""),"H. Muhamad Zaeni Isma'il, S.Pd.I.")</f>
        <v>H. Muhamad Zaeni Isma'il, S.Pd.I.</v>
      </c>
      <c r="D270" s="3" t="str">
        <f ca="1">IFERROR(__xludf.DUMMYFUNCTION("""COMPUTED_VALUE"""),"H. Muhamad Zaeni Isma'il, S.Pd.I.")</f>
        <v>H. Muhamad Zaeni Isma'il, S.Pd.I.</v>
      </c>
      <c r="E270" s="3" t="str">
        <f ca="1">IFERROR(__xludf.DUMMYFUNCTION("""COMPUTED_VALUE"""),"198110062011011007")</f>
        <v>198110062011011007</v>
      </c>
      <c r="F270" s="3" t="str">
        <f ca="1">IFERROR(__xludf.DUMMYFUNCTION("""COMPUTED_VALUE"""),"19811006 201101 1 007")</f>
        <v>19811006 201101 1 007</v>
      </c>
      <c r="G270" s="3"/>
      <c r="H270" s="3"/>
      <c r="I270" s="3" t="str">
        <f ca="1">IFERROR(__xludf.DUMMYFUNCTION("""COMPUTED_VALUE"""),"PNS")</f>
        <v>PNS</v>
      </c>
      <c r="J270" s="3" t="str">
        <f ca="1">IFERROR(__xludf.DUMMYFUNCTION("""COMPUTED_VALUE"""),"Pegawai PNS")</f>
        <v>Pegawai PNS</v>
      </c>
      <c r="K270" s="5" t="str">
        <f ca="1">IFERROR(__xludf.DUMMYFUNCTION("""COMPUTED_VALUE"""),"L")</f>
        <v>L</v>
      </c>
      <c r="L270" s="3" t="str">
        <f ca="1">IFERROR(__xludf.DUMMYFUNCTION("""COMPUTED_VALUE"""),"Banyumas")</f>
        <v>Banyumas</v>
      </c>
      <c r="M270" s="7">
        <f ca="1">IFERROR(__xludf.DUMMYFUNCTION("""COMPUTED_VALUE"""),29865)</f>
        <v>29865</v>
      </c>
      <c r="N270" s="4" t="str">
        <f ca="1">IFERROR(__xludf.DUMMYFUNCTION("""COMPUTED_VALUE"""),"Penata Tk.I")</f>
        <v>Penata Tk.I</v>
      </c>
      <c r="O270" s="3" t="str">
        <f ca="1">IFERROR(__xludf.DUMMYFUNCTION("""COMPUTED_VALUE"""),"III/d")</f>
        <v>III/d</v>
      </c>
      <c r="P270" s="7">
        <f ca="1">IFERROR(__xludf.DUMMYFUNCTION("""COMPUTED_VALUE"""),45017)</f>
        <v>45017</v>
      </c>
      <c r="Q270" s="3" t="str">
        <f ca="1">IFERROR(__xludf.DUMMYFUNCTION("""COMPUTED_VALUE"""),"512/Un.19/K.AUPK/KP.07.2/03/2023")</f>
        <v>512/Un.19/K.AUPK/KP.07.2/03/2023</v>
      </c>
      <c r="R270" s="3" t="str">
        <f ca="1">IFERROR(__xludf.DUMMYFUNCTION("""COMPUTED_VALUE"""),"Kepala Subbagian Tata Usaha")</f>
        <v>Kepala Subbagian Tata Usaha</v>
      </c>
      <c r="S270" s="3" t="str">
        <f ca="1">IFERROR(__xludf.DUMMYFUNCTION("""COMPUTED_VALUE"""),"Pengawas")</f>
        <v>Pengawas</v>
      </c>
      <c r="T270" s="7">
        <f ca="1">IFERROR(__xludf.DUMMYFUNCTION("""COMPUTED_VALUE"""),45481)</f>
        <v>45481</v>
      </c>
      <c r="U270" s="3" t="str">
        <f ca="1">IFERROR(__xludf.DUMMYFUNCTION("""COMPUTED_VALUE"""),"745 Tahun 2024")</f>
        <v>745 Tahun 2024</v>
      </c>
      <c r="V270" s="3"/>
      <c r="W270" s="3">
        <f ca="1">IFERROR(__xludf.DUMMYFUNCTION("""COMPUTED_VALUE"""),9)</f>
        <v>9</v>
      </c>
      <c r="X270" s="3" t="str">
        <f ca="1">IFERROR(__xludf.DUMMYFUNCTION("""COMPUTED_VALUE"""),"Ketua Tim Kerja Subbag TU Pascasarjana")</f>
        <v>Ketua Tim Kerja Subbag TU Pascasarjana</v>
      </c>
      <c r="Y270" s="3" t="str">
        <f ca="1">IFERROR(__xludf.DUMMYFUNCTION("""COMPUTED_VALUE"""),"S-1")</f>
        <v>S-1</v>
      </c>
      <c r="Z270" s="3" t="str">
        <f ca="1">IFERROR(__xludf.DUMMYFUNCTION("""COMPUTED_VALUE"""),"15 Tahun 0 Bulan 27 Hari")</f>
        <v>15 Tahun 0 Bulan 27 Hari</v>
      </c>
      <c r="AA270" s="8">
        <f ca="1">IFERROR(__xludf.DUMMYFUNCTION("""COMPUTED_VALUE"""),51075)</f>
        <v>51075</v>
      </c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4"/>
      <c r="AR270" s="3"/>
      <c r="AS270" s="4"/>
      <c r="AT270" s="3"/>
      <c r="AU270" s="3"/>
    </row>
    <row r="271" spans="1:47" x14ac:dyDescent="0.2">
      <c r="A271" s="12">
        <v>270</v>
      </c>
      <c r="B271" s="3" t="str">
        <f ca="1">IFERROR(__xludf.DUMMYFUNCTION("""COMPUTED_VALUE"""),"Mukhtar Effendi")</f>
        <v>Mukhtar Effendi</v>
      </c>
      <c r="C271" s="3" t="str">
        <f ca="1">IFERROR(__xludf.DUMMYFUNCTION("""COMPUTED_VALUE"""),"Mukhtar Effendi, S.IP.")</f>
        <v>Mukhtar Effendi, S.IP.</v>
      </c>
      <c r="D271" s="3" t="str">
        <f ca="1">IFERROR(__xludf.DUMMYFUNCTION("""COMPUTED_VALUE"""),"Mukhtar Effendi, S.IP.")</f>
        <v>Mukhtar Effendi, S.IP.</v>
      </c>
      <c r="E271" s="3" t="str">
        <f ca="1">IFERROR(__xludf.DUMMYFUNCTION("""COMPUTED_VALUE"""),"196802031999031001")</f>
        <v>196802031999031001</v>
      </c>
      <c r="F271" s="3" t="str">
        <f ca="1">IFERROR(__xludf.DUMMYFUNCTION("""COMPUTED_VALUE"""),"19680203 199903 1 001")</f>
        <v>19680203 199903 1 001</v>
      </c>
      <c r="G271" s="3">
        <f ca="1">IFERROR(__xludf.DUMMYFUNCTION("""COMPUTED_VALUE"""),2003026802)</f>
        <v>2003026802</v>
      </c>
      <c r="H271" s="3"/>
      <c r="I271" s="3" t="str">
        <f ca="1">IFERROR(__xludf.DUMMYFUNCTION("""COMPUTED_VALUE"""),"PNS")</f>
        <v>PNS</v>
      </c>
      <c r="J271" s="3" t="str">
        <f ca="1">IFERROR(__xludf.DUMMYFUNCTION("""COMPUTED_VALUE"""),"Pegawai PNS")</f>
        <v>Pegawai PNS</v>
      </c>
      <c r="K271" s="5" t="str">
        <f ca="1">IFERROR(__xludf.DUMMYFUNCTION("""COMPUTED_VALUE"""),"L")</f>
        <v>L</v>
      </c>
      <c r="L271" s="3" t="str">
        <f ca="1">IFERROR(__xludf.DUMMYFUNCTION("""COMPUTED_VALUE"""),"Kebumen")</f>
        <v>Kebumen</v>
      </c>
      <c r="M271" s="7">
        <f ca="1">IFERROR(__xludf.DUMMYFUNCTION("""COMPUTED_VALUE"""),24871)</f>
        <v>24871</v>
      </c>
      <c r="N271" s="4" t="str">
        <f ca="1">IFERROR(__xludf.DUMMYFUNCTION("""COMPUTED_VALUE"""),"Penata Tk.I")</f>
        <v>Penata Tk.I</v>
      </c>
      <c r="O271" s="3" t="str">
        <f ca="1">IFERROR(__xludf.DUMMYFUNCTION("""COMPUTED_VALUE"""),"III/d")</f>
        <v>III/d</v>
      </c>
      <c r="P271" s="7">
        <f ca="1">IFERROR(__xludf.DUMMYFUNCTION("""COMPUTED_VALUE"""),44470)</f>
        <v>44470</v>
      </c>
      <c r="Q271" s="3" t="str">
        <f ca="1">IFERROR(__xludf.DUMMYFUNCTION("""COMPUTED_VALUE"""),"15016/B.II/3/2021")</f>
        <v>15016/B.II/3/2021</v>
      </c>
      <c r="R271" s="3" t="str">
        <f ca="1">IFERROR(__xludf.DUMMYFUNCTION("""COMPUTED_VALUE"""),"‌Penata Layanan Operasional")</f>
        <v>‌Penata Layanan Operasional</v>
      </c>
      <c r="S271" s="3" t="str">
        <f ca="1">IFERROR(__xludf.DUMMYFUNCTION("""COMPUTED_VALUE"""),"Pelaksana")</f>
        <v>Pelaksana</v>
      </c>
      <c r="T271" s="7">
        <f ca="1">IFERROR(__xludf.DUMMYFUNCTION("""COMPUTED_VALUE"""),45842)</f>
        <v>45842</v>
      </c>
      <c r="U271" s="3" t="str">
        <f ca="1">IFERROR(__xludf.DUMMYFUNCTION("""COMPUTED_VALUE"""),"192018/B.II/KP.07/07/2025")</f>
        <v>192018/B.II/KP.07/07/2025</v>
      </c>
      <c r="V271" s="7">
        <f ca="1">IFERROR(__xludf.DUMMYFUNCTION("""COMPUTED_VALUE"""),45842)</f>
        <v>45842</v>
      </c>
      <c r="W271" s="3">
        <f ca="1">IFERROR(__xludf.DUMMYFUNCTION("""COMPUTED_VALUE"""),7)</f>
        <v>7</v>
      </c>
      <c r="X271" s="3"/>
      <c r="Y271" s="3" t="str">
        <f ca="1">IFERROR(__xludf.DUMMYFUNCTION("""COMPUTED_VALUE"""),"S-1")</f>
        <v>S-1</v>
      </c>
      <c r="Z271" s="3" t="str">
        <f ca="1">IFERROR(__xludf.DUMMYFUNCTION("""COMPUTED_VALUE"""),"26 Tahun 10 Bulan 27 Hari")</f>
        <v>26 Tahun 10 Bulan 27 Hari</v>
      </c>
      <c r="AA271" s="8">
        <f ca="1">IFERROR(__xludf.DUMMYFUNCTION("""COMPUTED_VALUE"""),46082)</f>
        <v>46082</v>
      </c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4"/>
      <c r="AR271" s="3"/>
      <c r="AS271" s="4"/>
      <c r="AT271" s="3"/>
      <c r="AU271" s="3"/>
    </row>
    <row r="272" spans="1:47" x14ac:dyDescent="0.2">
      <c r="A272" s="12">
        <v>271</v>
      </c>
      <c r="B272" s="3" t="str">
        <f ca="1">IFERROR(__xludf.DUMMYFUNCTION("""COMPUTED_VALUE"""),"Mukhlish")</f>
        <v>Mukhlish</v>
      </c>
      <c r="C272" s="3" t="str">
        <f ca="1">IFERROR(__xludf.DUMMYFUNCTION("""COMPUTED_VALUE"""),"Dr. Mukhlish, S.Pd.I., M.Si. ")</f>
        <v xml:space="preserve">Dr. Mukhlish, S.Pd.I., M.Si. </v>
      </c>
      <c r="D272" s="3" t="str">
        <f ca="1">IFERROR(__xludf.DUMMYFUNCTION("""COMPUTED_VALUE"""),"Dr. Mukhlish, S.Pd.I., M.Si. ")</f>
        <v xml:space="preserve">Dr. Mukhlish, S.Pd.I., M.Si. </v>
      </c>
      <c r="E272" s="3" t="str">
        <f ca="1">IFERROR(__xludf.DUMMYFUNCTION("""COMPUTED_VALUE"""),"197504052010011012")</f>
        <v>197504052010011012</v>
      </c>
      <c r="F272" s="3" t="str">
        <f ca="1">IFERROR(__xludf.DUMMYFUNCTION("""COMPUTED_VALUE"""),"19750405 201001 1 012")</f>
        <v>19750405 201001 1 012</v>
      </c>
      <c r="G272" s="3"/>
      <c r="H272" s="3"/>
      <c r="I272" s="3" t="str">
        <f ca="1">IFERROR(__xludf.DUMMYFUNCTION("""COMPUTED_VALUE"""),"PNS")</f>
        <v>PNS</v>
      </c>
      <c r="J272" s="3" t="str">
        <f ca="1">IFERROR(__xludf.DUMMYFUNCTION("""COMPUTED_VALUE"""),"Pegawai PNS")</f>
        <v>Pegawai PNS</v>
      </c>
      <c r="K272" s="5" t="str">
        <f ca="1">IFERROR(__xludf.DUMMYFUNCTION("""COMPUTED_VALUE"""),"L")</f>
        <v>L</v>
      </c>
      <c r="L272" s="3" t="str">
        <f ca="1">IFERROR(__xludf.DUMMYFUNCTION("""COMPUTED_VALUE"""),"Ciamis")</f>
        <v>Ciamis</v>
      </c>
      <c r="M272" s="7">
        <f ca="1">IFERROR(__xludf.DUMMYFUNCTION("""COMPUTED_VALUE"""),27489)</f>
        <v>27489</v>
      </c>
      <c r="N272" s="4" t="str">
        <f ca="1">IFERROR(__xludf.DUMMYFUNCTION("""COMPUTED_VALUE"""),"Penata")</f>
        <v>Penata</v>
      </c>
      <c r="O272" s="3" t="str">
        <f ca="1">IFERROR(__xludf.DUMMYFUNCTION("""COMPUTED_VALUE"""),"III/c")</f>
        <v>III/c</v>
      </c>
      <c r="P272" s="3"/>
      <c r="Q272" s="3"/>
      <c r="R272" s="3" t="str">
        <f ca="1">IFERROR(__xludf.DUMMYFUNCTION("""COMPUTED_VALUE"""),"‌Penata Layanan Operasional")</f>
        <v>‌Penata Layanan Operasional</v>
      </c>
      <c r="S272" s="3" t="str">
        <f ca="1">IFERROR(__xludf.DUMMYFUNCTION("""COMPUTED_VALUE"""),"Pelaksana")</f>
        <v>Pelaksana</v>
      </c>
      <c r="T272" s="7">
        <f ca="1">IFERROR(__xludf.DUMMYFUNCTION("""COMPUTED_VALUE"""),45839)</f>
        <v>45839</v>
      </c>
      <c r="U272" s="3" t="str">
        <f ca="1">IFERROR(__xludf.DUMMYFUNCTION("""COMPUTED_VALUE"""),"4746/Kk.11.04/1/KP.07.6/07/2025")</f>
        <v>4746/Kk.11.04/1/KP.07.6/07/2025</v>
      </c>
      <c r="V272" s="7">
        <f ca="1">IFERROR(__xludf.DUMMYFUNCTION("""COMPUTED_VALUE"""),45839)</f>
        <v>45839</v>
      </c>
      <c r="W272" s="3">
        <f ca="1">IFERROR(__xludf.DUMMYFUNCTION("""COMPUTED_VALUE"""),7)</f>
        <v>7</v>
      </c>
      <c r="X272" s="3"/>
      <c r="Y272" s="3" t="str">
        <f ca="1">IFERROR(__xludf.DUMMYFUNCTION("""COMPUTED_VALUE"""),"S-3")</f>
        <v>S-3</v>
      </c>
      <c r="Z272" s="3" t="str">
        <f ca="1">IFERROR(__xludf.DUMMYFUNCTION("""COMPUTED_VALUE"""),"126 Tahun 0 Bulan 29 Hari")</f>
        <v>126 Tahun 0 Bulan 29 Hari</v>
      </c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4"/>
      <c r="AR272" s="3"/>
      <c r="AS272" s="4"/>
      <c r="AT272" s="3"/>
      <c r="AU272" s="3"/>
    </row>
    <row r="273" spans="1:47" x14ac:dyDescent="0.2">
      <c r="A273" s="12">
        <v>272</v>
      </c>
      <c r="B273" s="3" t="str">
        <f ca="1">IFERROR(__xludf.DUMMYFUNCTION("""COMPUTED_VALUE"""),"Munajat")</f>
        <v>Munajat</v>
      </c>
      <c r="C273" s="3" t="str">
        <f ca="1">IFERROR(__xludf.DUMMYFUNCTION("""COMPUTED_VALUE"""),"Munajat")</f>
        <v>Munajat</v>
      </c>
      <c r="D273" s="3" t="str">
        <f ca="1">IFERROR(__xludf.DUMMYFUNCTION("""COMPUTED_VALUE"""),"Munajat")</f>
        <v>Munajat</v>
      </c>
      <c r="E273" s="3" t="str">
        <f ca="1">IFERROR(__xludf.DUMMYFUNCTION("""COMPUTED_VALUE"""),"197105152003121002")</f>
        <v>197105152003121002</v>
      </c>
      <c r="F273" s="3" t="str">
        <f ca="1">IFERROR(__xludf.DUMMYFUNCTION("""COMPUTED_VALUE"""),"19710515 200312 1 002")</f>
        <v>19710515 200312 1 002</v>
      </c>
      <c r="G273" s="3"/>
      <c r="H273" s="3"/>
      <c r="I273" s="3" t="str">
        <f ca="1">IFERROR(__xludf.DUMMYFUNCTION("""COMPUTED_VALUE"""),"PNS")</f>
        <v>PNS</v>
      </c>
      <c r="J273" s="3" t="str">
        <f ca="1">IFERROR(__xludf.DUMMYFUNCTION("""COMPUTED_VALUE"""),"Pegawai PNS")</f>
        <v>Pegawai PNS</v>
      </c>
      <c r="K273" s="5" t="str">
        <f ca="1">IFERROR(__xludf.DUMMYFUNCTION("""COMPUTED_VALUE"""),"L")</f>
        <v>L</v>
      </c>
      <c r="L273" s="3" t="str">
        <f ca="1">IFERROR(__xludf.DUMMYFUNCTION("""COMPUTED_VALUE"""),"Cilacap")</f>
        <v>Cilacap</v>
      </c>
      <c r="M273" s="7">
        <f ca="1">IFERROR(__xludf.DUMMYFUNCTION("""COMPUTED_VALUE"""),26068)</f>
        <v>26068</v>
      </c>
      <c r="N273" s="4" t="str">
        <f ca="1">IFERROR(__xludf.DUMMYFUNCTION("""COMPUTED_VALUE"""),"Penata Muda Tk.I")</f>
        <v>Penata Muda Tk.I</v>
      </c>
      <c r="O273" s="3" t="str">
        <f ca="1">IFERROR(__xludf.DUMMYFUNCTION("""COMPUTED_VALUE"""),"III/b")</f>
        <v>III/b</v>
      </c>
      <c r="P273" s="7">
        <f ca="1">IFERROR(__xludf.DUMMYFUNCTION("""COMPUTED_VALUE"""),45383)</f>
        <v>45383</v>
      </c>
      <c r="Q273" s="3" t="str">
        <f ca="1">IFERROR(__xludf.DUMMYFUNCTION("""COMPUTED_VALUE"""),"501/Un.19/K.AUPK/KP.07.1/03/2024")</f>
        <v>501/Un.19/K.AUPK/KP.07.1/03/2024</v>
      </c>
      <c r="R273" s="3" t="str">
        <f ca="1">IFERROR(__xludf.DUMMYFUNCTION("""COMPUTED_VALUE"""),"‌Pengadministrasi Perkantoran")</f>
        <v>‌Pengadministrasi Perkantoran</v>
      </c>
      <c r="S273" s="3" t="str">
        <f ca="1">IFERROR(__xludf.DUMMYFUNCTION("""COMPUTED_VALUE"""),"Pelaksana")</f>
        <v>Pelaksana</v>
      </c>
      <c r="T273" s="7">
        <f ca="1">IFERROR(__xludf.DUMMYFUNCTION("""COMPUTED_VALUE"""),45842)</f>
        <v>45842</v>
      </c>
      <c r="U273" s="3" t="str">
        <f ca="1">IFERROR(__xludf.DUMMYFUNCTION("""COMPUTED_VALUE"""),"192025/B.II/KP.07/07/2025")</f>
        <v>192025/B.II/KP.07/07/2025</v>
      </c>
      <c r="V273" s="7">
        <f ca="1">IFERROR(__xludf.DUMMYFUNCTION("""COMPUTED_VALUE"""),45842)</f>
        <v>45842</v>
      </c>
      <c r="W273" s="3">
        <f ca="1">IFERROR(__xludf.DUMMYFUNCTION("""COMPUTED_VALUE"""),5)</f>
        <v>5</v>
      </c>
      <c r="X273" s="3"/>
      <c r="Y273" s="3" t="str">
        <f ca="1">IFERROR(__xludf.DUMMYFUNCTION("""COMPUTED_VALUE"""),"SMA")</f>
        <v>SMA</v>
      </c>
      <c r="Z273" s="3" t="str">
        <f ca="1">IFERROR(__xludf.DUMMYFUNCTION("""COMPUTED_VALUE"""),"22 Tahun 1 Bulan 27 Hari")</f>
        <v>22 Tahun 1 Bulan 27 Hari</v>
      </c>
      <c r="AA273" s="8">
        <f ca="1">IFERROR(__xludf.DUMMYFUNCTION("""COMPUTED_VALUE"""),47270)</f>
        <v>47270</v>
      </c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4"/>
      <c r="AR273" s="3"/>
      <c r="AS273" s="4"/>
      <c r="AT273" s="3"/>
      <c r="AU273" s="3"/>
    </row>
    <row r="274" spans="1:47" x14ac:dyDescent="0.2">
      <c r="A274" s="12">
        <v>273</v>
      </c>
      <c r="B274" s="3" t="str">
        <f ca="1">IFERROR(__xludf.DUMMYFUNCTION("""COMPUTED_VALUE"""),"Munjiatun")</f>
        <v>Munjiatun</v>
      </c>
      <c r="C274" s="3" t="str">
        <f ca="1">IFERROR(__xludf.DUMMYFUNCTION("""COMPUTED_VALUE"""),"Munjiatun, S.Pd.I., M.Pd.")</f>
        <v>Munjiatun, S.Pd.I., M.Pd.</v>
      </c>
      <c r="D274" s="3" t="str">
        <f ca="1">IFERROR(__xludf.DUMMYFUNCTION("""COMPUTED_VALUE"""),"Munjiatun, S.Pd.I., M.Pd.")</f>
        <v>Munjiatun, S.Pd.I., M.Pd.</v>
      </c>
      <c r="E274" s="3" t="str">
        <f ca="1">IFERROR(__xludf.DUMMYFUNCTION("""COMPUTED_VALUE"""),"197601112002122001")</f>
        <v>197601112002122001</v>
      </c>
      <c r="F274" s="3" t="str">
        <f ca="1">IFERROR(__xludf.DUMMYFUNCTION("""COMPUTED_VALUE"""),"19760111 200212 2 001")</f>
        <v>19760111 200212 2 001</v>
      </c>
      <c r="G274" s="3"/>
      <c r="H274" s="3"/>
      <c r="I274" s="3" t="str">
        <f ca="1">IFERROR(__xludf.DUMMYFUNCTION("""COMPUTED_VALUE"""),"PNS")</f>
        <v>PNS</v>
      </c>
      <c r="J274" s="3" t="str">
        <f ca="1">IFERROR(__xludf.DUMMYFUNCTION("""COMPUTED_VALUE"""),"Pegawai PNS")</f>
        <v>Pegawai PNS</v>
      </c>
      <c r="K274" s="5" t="str">
        <f ca="1">IFERROR(__xludf.DUMMYFUNCTION("""COMPUTED_VALUE"""),"P")</f>
        <v>P</v>
      </c>
      <c r="L274" s="3" t="str">
        <f ca="1">IFERROR(__xludf.DUMMYFUNCTION("""COMPUTED_VALUE"""),"Banyumas")</f>
        <v>Banyumas</v>
      </c>
      <c r="M274" s="7">
        <f ca="1">IFERROR(__xludf.DUMMYFUNCTION("""COMPUTED_VALUE"""),27770)</f>
        <v>27770</v>
      </c>
      <c r="N274" s="4" t="str">
        <f ca="1">IFERROR(__xludf.DUMMYFUNCTION("""COMPUTED_VALUE"""),"Pembina")</f>
        <v>Pembina</v>
      </c>
      <c r="O274" s="3" t="str">
        <f ca="1">IFERROR(__xludf.DUMMYFUNCTION("""COMPUTED_VALUE"""),"IV/a")</f>
        <v>IV/a</v>
      </c>
      <c r="P274" s="7">
        <f ca="1">IFERROR(__xludf.DUMMYFUNCTION("""COMPUTED_VALUE"""),44105)</f>
        <v>44105</v>
      </c>
      <c r="Q274" s="3" t="str">
        <f ca="1">IFERROR(__xludf.DUMMYFUNCTION("""COMPUTED_VALUE"""),"027774/B.II/3/2020")</f>
        <v>027774/B.II/3/2020</v>
      </c>
      <c r="R274" s="3" t="str">
        <f ca="1">IFERROR(__xludf.DUMMYFUNCTION("""COMPUTED_VALUE"""),"Pengembang Teknologi Pembelajaran")</f>
        <v>Pengembang Teknologi Pembelajaran</v>
      </c>
      <c r="S274" s="3" t="str">
        <f ca="1">IFERROR(__xludf.DUMMYFUNCTION("""COMPUTED_VALUE"""),"Ahli Muda")</f>
        <v>Ahli Muda</v>
      </c>
      <c r="T274" s="7">
        <f ca="1">IFERROR(__xludf.DUMMYFUNCTION("""COMPUTED_VALUE"""),45293)</f>
        <v>45293</v>
      </c>
      <c r="U274" s="3" t="str">
        <f ca="1">IFERROR(__xludf.DUMMYFUNCTION("""COMPUTED_VALUE"""),"168/Un.19/K.AUPK/KP.07.6/1/2024")</f>
        <v>168/Un.19/K.AUPK/KP.07.6/1/2024</v>
      </c>
      <c r="V274" s="7">
        <f ca="1">IFERROR(__xludf.DUMMYFUNCTION("""COMPUTED_VALUE"""),45293)</f>
        <v>45293</v>
      </c>
      <c r="W274" s="3">
        <f ca="1">IFERROR(__xludf.DUMMYFUNCTION("""COMPUTED_VALUE"""),10)</f>
        <v>10</v>
      </c>
      <c r="X274" s="3"/>
      <c r="Y274" s="3" t="str">
        <f ca="1">IFERROR(__xludf.DUMMYFUNCTION("""COMPUTED_VALUE"""),"S-2")</f>
        <v>S-2</v>
      </c>
      <c r="Z274" s="3" t="str">
        <f ca="1">IFERROR(__xludf.DUMMYFUNCTION("""COMPUTED_VALUE"""),"23 Tahun 1 Bulan 27 Hari")</f>
        <v>23 Tahun 1 Bulan 27 Hari</v>
      </c>
      <c r="AA274" s="8">
        <f ca="1">IFERROR(__xludf.DUMMYFUNCTION("""COMPUTED_VALUE"""),48976)</f>
        <v>48976</v>
      </c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4"/>
      <c r="AR274" s="3"/>
      <c r="AS274" s="4"/>
      <c r="AT274" s="3"/>
      <c r="AU274" s="3"/>
    </row>
    <row r="275" spans="1:47" x14ac:dyDescent="0.2">
      <c r="A275" s="12">
        <v>274</v>
      </c>
      <c r="B275" s="3" t="str">
        <f ca="1">IFERROR(__xludf.DUMMYFUNCTION("""COMPUTED_VALUE"""),"Nasihatul Munjidah")</f>
        <v>Nasihatul Munjidah</v>
      </c>
      <c r="C275" s="3" t="str">
        <f ca="1">IFERROR(__xludf.DUMMYFUNCTION("""COMPUTED_VALUE"""),"Hj. Nasihatul Munjidah, S.E.")</f>
        <v>Hj. Nasihatul Munjidah, S.E.</v>
      </c>
      <c r="D275" s="3" t="str">
        <f ca="1">IFERROR(__xludf.DUMMYFUNCTION("""COMPUTED_VALUE"""),"Hj. Nasihatul Munjidah, S.E.")</f>
        <v>Hj. Nasihatul Munjidah, S.E.</v>
      </c>
      <c r="E275" s="3" t="str">
        <f ca="1">IFERROR(__xludf.DUMMYFUNCTION("""COMPUTED_VALUE"""),"197105202005012001")</f>
        <v>197105202005012001</v>
      </c>
      <c r="F275" s="3" t="str">
        <f ca="1">IFERROR(__xludf.DUMMYFUNCTION("""COMPUTED_VALUE"""),"19710520 200501 2 001")</f>
        <v>19710520 200501 2 001</v>
      </c>
      <c r="G275" s="3"/>
      <c r="H275" s="3"/>
      <c r="I275" s="3" t="str">
        <f ca="1">IFERROR(__xludf.DUMMYFUNCTION("""COMPUTED_VALUE"""),"PNS")</f>
        <v>PNS</v>
      </c>
      <c r="J275" s="3" t="str">
        <f ca="1">IFERROR(__xludf.DUMMYFUNCTION("""COMPUTED_VALUE"""),"Pegawai PNS")</f>
        <v>Pegawai PNS</v>
      </c>
      <c r="K275" s="5" t="str">
        <f ca="1">IFERROR(__xludf.DUMMYFUNCTION("""COMPUTED_VALUE"""),"P")</f>
        <v>P</v>
      </c>
      <c r="L275" s="3" t="str">
        <f ca="1">IFERROR(__xludf.DUMMYFUNCTION("""COMPUTED_VALUE"""),"Brebes")</f>
        <v>Brebes</v>
      </c>
      <c r="M275" s="7">
        <f ca="1">IFERROR(__xludf.DUMMYFUNCTION("""COMPUTED_VALUE"""),26073)</f>
        <v>26073</v>
      </c>
      <c r="N275" s="4" t="str">
        <f ca="1">IFERROR(__xludf.DUMMYFUNCTION("""COMPUTED_VALUE"""),"Penata Tk.I")</f>
        <v>Penata Tk.I</v>
      </c>
      <c r="O275" s="3" t="str">
        <f ca="1">IFERROR(__xludf.DUMMYFUNCTION("""COMPUTED_VALUE"""),"III/d")</f>
        <v>III/d</v>
      </c>
      <c r="P275" s="7">
        <f ca="1">IFERROR(__xludf.DUMMYFUNCTION("""COMPUTED_VALUE"""),42826)</f>
        <v>42826</v>
      </c>
      <c r="Q275" s="3" t="str">
        <f ca="1">IFERROR(__xludf.DUMMYFUNCTION("""COMPUTED_VALUE"""),"B.II/3/06850")</f>
        <v>B.II/3/06850</v>
      </c>
      <c r="R275" s="3" t="str">
        <f ca="1">IFERROR(__xludf.DUMMYFUNCTION("""COMPUTED_VALUE"""),"Analis Pengelolaan Keuangan APBN")</f>
        <v>Analis Pengelolaan Keuangan APBN</v>
      </c>
      <c r="S275" s="3" t="str">
        <f ca="1">IFERROR(__xludf.DUMMYFUNCTION("""COMPUTED_VALUE"""),"Ahli Muda")</f>
        <v>Ahli Muda</v>
      </c>
      <c r="T275" s="7">
        <f ca="1">IFERROR(__xludf.DUMMYFUNCTION("""COMPUTED_VALUE"""),44160)</f>
        <v>44160</v>
      </c>
      <c r="U275" s="3" t="str">
        <f ca="1">IFERROR(__xludf.DUMMYFUNCTION("""COMPUTED_VALUE"""),"044051/B.II/3/2020")</f>
        <v>044051/B.II/3/2020</v>
      </c>
      <c r="V275" s="7">
        <f ca="1">IFERROR(__xludf.DUMMYFUNCTION("""COMPUTED_VALUE"""),44160)</f>
        <v>44160</v>
      </c>
      <c r="W275" s="3">
        <f ca="1">IFERROR(__xludf.DUMMYFUNCTION("""COMPUTED_VALUE"""),10)</f>
        <v>10</v>
      </c>
      <c r="X275" s="7" t="str">
        <f ca="1">IFERROR(__xludf.DUMMYFUNCTION("""COMPUTED_VALUE"""),"Ketua Tim Kerja AUK FEBI")</f>
        <v>Ketua Tim Kerja AUK FEBI</v>
      </c>
      <c r="Y275" s="3" t="str">
        <f ca="1">IFERROR(__xludf.DUMMYFUNCTION("""COMPUTED_VALUE"""),"S-1")</f>
        <v>S-1</v>
      </c>
      <c r="Z275" s="3" t="str">
        <f ca="1">IFERROR(__xludf.DUMMYFUNCTION("""COMPUTED_VALUE"""),"21 Tahun 0 Bulan 27 Hari")</f>
        <v>21 Tahun 0 Bulan 27 Hari</v>
      </c>
      <c r="AA275" s="8">
        <f ca="1">IFERROR(__xludf.DUMMYFUNCTION("""COMPUTED_VALUE"""),47270)</f>
        <v>47270</v>
      </c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4"/>
      <c r="AR275" s="3"/>
      <c r="AS275" s="4"/>
      <c r="AT275" s="3"/>
      <c r="AU275" s="3"/>
    </row>
    <row r="276" spans="1:47" x14ac:dyDescent="0.2">
      <c r="A276" s="12">
        <v>275</v>
      </c>
      <c r="B276" s="3" t="str">
        <f ca="1">IFERROR(__xludf.DUMMYFUNCTION("""COMPUTED_VALUE"""),"Nia Ryana Novelia")</f>
        <v>Nia Ryana Novelia</v>
      </c>
      <c r="C276" s="3" t="str">
        <f ca="1">IFERROR(__xludf.DUMMYFUNCTION("""COMPUTED_VALUE"""),"Nia Ryana Novelia, S.Sos.")</f>
        <v>Nia Ryana Novelia, S.Sos.</v>
      </c>
      <c r="D276" s="3" t="str">
        <f ca="1">IFERROR(__xludf.DUMMYFUNCTION("""COMPUTED_VALUE"""),"Nia Ryana Novelia, S.Sos.")</f>
        <v>Nia Ryana Novelia, S.Sos.</v>
      </c>
      <c r="E276" s="3" t="str">
        <f ca="1">IFERROR(__xludf.DUMMYFUNCTION("""COMPUTED_VALUE"""),"198911262020122008")</f>
        <v>198911262020122008</v>
      </c>
      <c r="F276" s="3" t="str">
        <f ca="1">IFERROR(__xludf.DUMMYFUNCTION("""COMPUTED_VALUE"""),"‌19891126 202012 2 008")</f>
        <v>‌19891126 202012 2 008</v>
      </c>
      <c r="G276" s="3"/>
      <c r="H276" s="3"/>
      <c r="I276" s="3" t="str">
        <f ca="1">IFERROR(__xludf.DUMMYFUNCTION("""COMPUTED_VALUE"""),"PNS")</f>
        <v>PNS</v>
      </c>
      <c r="J276" s="3" t="str">
        <f ca="1">IFERROR(__xludf.DUMMYFUNCTION("""COMPUTED_VALUE"""),"Pegawai PNS")</f>
        <v>Pegawai PNS</v>
      </c>
      <c r="K276" s="5" t="str">
        <f ca="1">IFERROR(__xludf.DUMMYFUNCTION("""COMPUTED_VALUE"""),"P")</f>
        <v>P</v>
      </c>
      <c r="L276" s="3" t="str">
        <f ca="1">IFERROR(__xludf.DUMMYFUNCTION("""COMPUTED_VALUE"""),"Banyumas")</f>
        <v>Banyumas</v>
      </c>
      <c r="M276" s="9">
        <f ca="1">IFERROR(__xludf.DUMMYFUNCTION("""COMPUTED_VALUE"""),32838)</f>
        <v>32838</v>
      </c>
      <c r="N276" s="4" t="str">
        <f ca="1">IFERROR(__xludf.DUMMYFUNCTION("""COMPUTED_VALUE"""),"Penata Muda Tk.I")</f>
        <v>Penata Muda Tk.I</v>
      </c>
      <c r="O276" s="3" t="str">
        <f ca="1">IFERROR(__xludf.DUMMYFUNCTION("""COMPUTED_VALUE"""),"III/b")</f>
        <v>III/b</v>
      </c>
      <c r="P276" s="7">
        <f ca="1">IFERROR(__xludf.DUMMYFUNCTION("""COMPUTED_VALUE"""),45689)</f>
        <v>45689</v>
      </c>
      <c r="Q276" s="3" t="str">
        <f ca="1">IFERROR(__xludf.DUMMYFUNCTION("""COMPUTED_VALUE"""),"224/Un.19/K.AUPK/KP.11.1/01/2025")</f>
        <v>224/Un.19/K.AUPK/KP.11.1/01/2025</v>
      </c>
      <c r="R276" s="3" t="str">
        <f ca="1">IFERROR(__xludf.DUMMYFUNCTION("""COMPUTED_VALUE"""),"Arsiparis")</f>
        <v>Arsiparis</v>
      </c>
      <c r="S276" s="3" t="str">
        <f ca="1">IFERROR(__xludf.DUMMYFUNCTION("""COMPUTED_VALUE"""),"Ahli Pertama")</f>
        <v>Ahli Pertama</v>
      </c>
      <c r="T276" s="7">
        <f ca="1">IFERROR(__xludf.DUMMYFUNCTION("""COMPUTED_VALUE"""),44743)</f>
        <v>44743</v>
      </c>
      <c r="U276" s="3" t="str">
        <f ca="1">IFERROR(__xludf.DUMMYFUNCTION("""COMPUTED_VALUE"""),"021770/B.II/3/2022")</f>
        <v>021770/B.II/3/2022</v>
      </c>
      <c r="V276" s="7">
        <f ca="1">IFERROR(__xludf.DUMMYFUNCTION("""COMPUTED_VALUE"""),44743)</f>
        <v>44743</v>
      </c>
      <c r="W276" s="3">
        <f ca="1">IFERROR(__xludf.DUMMYFUNCTION("""COMPUTED_VALUE"""),8)</f>
        <v>8</v>
      </c>
      <c r="X276" s="3"/>
      <c r="Y276" s="3" t="str">
        <f ca="1">IFERROR(__xludf.DUMMYFUNCTION("""COMPUTED_VALUE"""),"S-1")</f>
        <v>S-1</v>
      </c>
      <c r="Z276" s="3" t="str">
        <f ca="1">IFERROR(__xludf.DUMMYFUNCTION("""COMPUTED_VALUE"""),"5 Tahun 1 Bulan 27 Hari")</f>
        <v>5 Tahun 1 Bulan 27 Hari</v>
      </c>
      <c r="AA276" s="8">
        <f ca="1">IFERROR(__xludf.DUMMYFUNCTION("""COMPUTED_VALUE"""),54027)</f>
        <v>54027</v>
      </c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4"/>
      <c r="AR276" s="3"/>
      <c r="AS276" s="4"/>
      <c r="AT276" s="3"/>
      <c r="AU276" s="3"/>
    </row>
    <row r="277" spans="1:47" x14ac:dyDescent="0.2">
      <c r="A277" s="12">
        <v>276</v>
      </c>
      <c r="B277" s="3" t="str">
        <f ca="1">IFERROR(__xludf.DUMMYFUNCTION("""COMPUTED_VALUE"""),"Nida Umi Farhah")</f>
        <v>Nida Umi Farhah</v>
      </c>
      <c r="C277" s="3" t="str">
        <f ca="1">IFERROR(__xludf.DUMMYFUNCTION("""COMPUTED_VALUE"""),"Hj. Nida Umi Farhah, S.E., M.Si.")</f>
        <v>Hj. Nida Umi Farhah, S.E., M.Si.</v>
      </c>
      <c r="D277" s="3" t="str">
        <f ca="1">IFERROR(__xludf.DUMMYFUNCTION("""COMPUTED_VALUE"""),"Hj. Nida Umi Farhah, S.E., M.Si.")</f>
        <v>Hj. Nida Umi Farhah, S.E., M.Si.</v>
      </c>
      <c r="E277" s="3" t="str">
        <f ca="1">IFERROR(__xludf.DUMMYFUNCTION("""COMPUTED_VALUE"""),"197905112003122001")</f>
        <v>197905112003122001</v>
      </c>
      <c r="F277" s="3" t="str">
        <f ca="1">IFERROR(__xludf.DUMMYFUNCTION("""COMPUTED_VALUE"""),"19790511 200312 2 001")</f>
        <v>19790511 200312 2 001</v>
      </c>
      <c r="G277" s="3"/>
      <c r="H277" s="3"/>
      <c r="I277" s="3" t="str">
        <f ca="1">IFERROR(__xludf.DUMMYFUNCTION("""COMPUTED_VALUE"""),"PNS")</f>
        <v>PNS</v>
      </c>
      <c r="J277" s="3" t="str">
        <f ca="1">IFERROR(__xludf.DUMMYFUNCTION("""COMPUTED_VALUE"""),"Pegawai PNS")</f>
        <v>Pegawai PNS</v>
      </c>
      <c r="K277" s="5" t="str">
        <f ca="1">IFERROR(__xludf.DUMMYFUNCTION("""COMPUTED_VALUE"""),"P")</f>
        <v>P</v>
      </c>
      <c r="L277" s="3" t="str">
        <f ca="1">IFERROR(__xludf.DUMMYFUNCTION("""COMPUTED_VALUE"""),"Banyumas")</f>
        <v>Banyumas</v>
      </c>
      <c r="M277" s="7">
        <f ca="1">IFERROR(__xludf.DUMMYFUNCTION("""COMPUTED_VALUE"""),28986)</f>
        <v>28986</v>
      </c>
      <c r="N277" s="4" t="str">
        <f ca="1">IFERROR(__xludf.DUMMYFUNCTION("""COMPUTED_VALUE"""),"Pembina Tk.I")</f>
        <v>Pembina Tk.I</v>
      </c>
      <c r="O277" s="3" t="str">
        <f ca="1">IFERROR(__xludf.DUMMYFUNCTION("""COMPUTED_VALUE"""),"IV/b")</f>
        <v>IV/b</v>
      </c>
      <c r="P277" s="7">
        <f ca="1">IFERROR(__xludf.DUMMYFUNCTION("""COMPUTED_VALUE"""),45383)</f>
        <v>45383</v>
      </c>
      <c r="Q277" s="3" t="str">
        <f ca="1">IFERROR(__xludf.DUMMYFUNCTION("""COMPUTED_VALUE"""),"012600/B.II/3/2024")</f>
        <v>012600/B.II/3/2024</v>
      </c>
      <c r="R277" s="3" t="str">
        <f ca="1">IFERROR(__xludf.DUMMYFUNCTION("""COMPUTED_VALUE"""),"Kepala Bagian Tata Usaha")</f>
        <v>Kepala Bagian Tata Usaha</v>
      </c>
      <c r="S277" s="3" t="str">
        <f ca="1">IFERROR(__xludf.DUMMYFUNCTION("""COMPUTED_VALUE"""),"Administrator")</f>
        <v>Administrator</v>
      </c>
      <c r="T277" s="7">
        <f ca="1">IFERROR(__xludf.DUMMYFUNCTION("""COMPUTED_VALUE"""),45481)</f>
        <v>45481</v>
      </c>
      <c r="U277" s="3" t="str">
        <f ca="1">IFERROR(__xludf.DUMMYFUNCTION("""COMPUTED_VALUE"""),"028658/B.II/3/2024")</f>
        <v>028658/B.II/3/2024</v>
      </c>
      <c r="V277" s="7">
        <f ca="1">IFERROR(__xludf.DUMMYFUNCTION("""COMPUTED_VALUE"""),44635)</f>
        <v>44635</v>
      </c>
      <c r="W277" s="3">
        <f ca="1">IFERROR(__xludf.DUMMYFUNCTION("""COMPUTED_VALUE"""),11)</f>
        <v>11</v>
      </c>
      <c r="X277" s="7" t="str">
        <f ca="1">IFERROR(__xludf.DUMMYFUNCTION("""COMPUTED_VALUE"""),"Kepala Bagian Tata Usaha Fakultas Tarbiyah dan Ilmu Keguruan")</f>
        <v>Kepala Bagian Tata Usaha Fakultas Tarbiyah dan Ilmu Keguruan</v>
      </c>
      <c r="Y277" s="3" t="str">
        <f ca="1">IFERROR(__xludf.DUMMYFUNCTION("""COMPUTED_VALUE"""),"S-2")</f>
        <v>S-2</v>
      </c>
      <c r="Z277" s="3" t="str">
        <f ca="1">IFERROR(__xludf.DUMMYFUNCTION("""COMPUTED_VALUE"""),"22 Tahun 1 Bulan 27 Hari")</f>
        <v>22 Tahun 1 Bulan 27 Hari</v>
      </c>
      <c r="AA277" s="8">
        <f ca="1">IFERROR(__xludf.DUMMYFUNCTION("""COMPUTED_VALUE"""),50192)</f>
        <v>50192</v>
      </c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4"/>
      <c r="AR277" s="3"/>
      <c r="AS277" s="4"/>
      <c r="AT277" s="3"/>
      <c r="AU277" s="3"/>
    </row>
    <row r="278" spans="1:47" x14ac:dyDescent="0.2">
      <c r="A278" s="12">
        <v>277</v>
      </c>
      <c r="B278" s="3" t="str">
        <f ca="1">IFERROR(__xludf.DUMMYFUNCTION("""COMPUTED_VALUE"""),"Nugraha Stiawan")</f>
        <v>Nugraha Stiawan</v>
      </c>
      <c r="C278" s="3" t="str">
        <f ca="1">IFERROR(__xludf.DUMMYFUNCTION("""COMPUTED_VALUE"""),"H. Nugraha Stiawan, S.Sos.I., M.Ak., CGCAE.")</f>
        <v>H. Nugraha Stiawan, S.Sos.I., M.Ak., CGCAE.</v>
      </c>
      <c r="D278" s="3" t="str">
        <f ca="1">IFERROR(__xludf.DUMMYFUNCTION("""COMPUTED_VALUE"""),"H. Nugraha Stiawan, S.Sos.I., M.Ak., CGCAE.")</f>
        <v>H. Nugraha Stiawan, S.Sos.I., M.Ak., CGCAE.</v>
      </c>
      <c r="E278" s="3" t="str">
        <f ca="1">IFERROR(__xludf.DUMMYFUNCTION("""COMPUTED_VALUE"""),"198002082003121003")</f>
        <v>198002082003121003</v>
      </c>
      <c r="F278" s="3" t="str">
        <f ca="1">IFERROR(__xludf.DUMMYFUNCTION("""COMPUTED_VALUE"""),"19800208 200312 1 003")</f>
        <v>19800208 200312 1 003</v>
      </c>
      <c r="G278" s="3"/>
      <c r="H278" s="3"/>
      <c r="I278" s="3" t="str">
        <f ca="1">IFERROR(__xludf.DUMMYFUNCTION("""COMPUTED_VALUE"""),"PNS")</f>
        <v>PNS</v>
      </c>
      <c r="J278" s="3" t="str">
        <f ca="1">IFERROR(__xludf.DUMMYFUNCTION("""COMPUTED_VALUE"""),"Pegawai PNS")</f>
        <v>Pegawai PNS</v>
      </c>
      <c r="K278" s="5" t="str">
        <f ca="1">IFERROR(__xludf.DUMMYFUNCTION("""COMPUTED_VALUE"""),"L")</f>
        <v>L</v>
      </c>
      <c r="L278" s="3" t="str">
        <f ca="1">IFERROR(__xludf.DUMMYFUNCTION("""COMPUTED_VALUE"""),"Jakarta")</f>
        <v>Jakarta</v>
      </c>
      <c r="M278" s="7">
        <f ca="1">IFERROR(__xludf.DUMMYFUNCTION("""COMPUTED_VALUE"""),29259)</f>
        <v>29259</v>
      </c>
      <c r="N278" s="4" t="str">
        <f ca="1">IFERROR(__xludf.DUMMYFUNCTION("""COMPUTED_VALUE"""),"Pembina Utama Muda")</f>
        <v>Pembina Utama Muda</v>
      </c>
      <c r="O278" s="3" t="str">
        <f ca="1">IFERROR(__xludf.DUMMYFUNCTION("""COMPUTED_VALUE"""),"IV/c")</f>
        <v>IV/c</v>
      </c>
      <c r="P278" s="7">
        <f ca="1">IFERROR(__xludf.DUMMYFUNCTION("""COMPUTED_VALUE"""),45748)</f>
        <v>45748</v>
      </c>
      <c r="Q278" s="3"/>
      <c r="R278" s="3" t="str">
        <f ca="1">IFERROR(__xludf.DUMMYFUNCTION("""COMPUTED_VALUE"""),"Kepala Biro AUPK")</f>
        <v>Kepala Biro AUPK</v>
      </c>
      <c r="S278" s="3" t="str">
        <f ca="1">IFERROR(__xludf.DUMMYFUNCTION("""COMPUTED_VALUE"""),"JPT Pratama")</f>
        <v>JPT Pratama</v>
      </c>
      <c r="T278" s="7">
        <f ca="1">IFERROR(__xludf.DUMMYFUNCTION("""COMPUTED_VALUE"""),46021)</f>
        <v>46021</v>
      </c>
      <c r="U278" s="3" t="str">
        <f ca="1">IFERROR(__xludf.DUMMYFUNCTION("""COMPUTED_VALUE"""),"222273/MA.KP.07/12/2025")</f>
        <v>222273/MA.KP.07/12/2025</v>
      </c>
      <c r="V278" s="7">
        <f ca="1">IFERROR(__xludf.DUMMYFUNCTION("""COMPUTED_VALUE"""),46020)</f>
        <v>46020</v>
      </c>
      <c r="W278" s="3">
        <f ca="1">IFERROR(__xludf.DUMMYFUNCTION("""COMPUTED_VALUE"""),14)</f>
        <v>14</v>
      </c>
      <c r="X278" s="3" t="str">
        <f ca="1">IFERROR(__xludf.DUMMYFUNCTION("""COMPUTED_VALUE"""),"Kepala Biro AUPK")</f>
        <v>Kepala Biro AUPK</v>
      </c>
      <c r="Y278" s="3" t="str">
        <f ca="1">IFERROR(__xludf.DUMMYFUNCTION("""COMPUTED_VALUE"""),"S-2")</f>
        <v>S-2</v>
      </c>
      <c r="Z278" s="3" t="str">
        <f ca="1">IFERROR(__xludf.DUMMYFUNCTION("""COMPUTED_VALUE"""),"22 Tahun 1 Bulan 27 Hari")</f>
        <v>22 Tahun 1 Bulan 27 Hari</v>
      </c>
      <c r="AA278" s="8">
        <f ca="1">IFERROR(__xludf.DUMMYFUNCTION("""COMPUTED_VALUE"""),51196)</f>
        <v>51196</v>
      </c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4"/>
      <c r="AR278" s="3"/>
      <c r="AS278" s="4"/>
      <c r="AT278" s="3"/>
      <c r="AU278" s="3"/>
    </row>
    <row r="279" spans="1:47" x14ac:dyDescent="0.2">
      <c r="A279" s="12">
        <v>278</v>
      </c>
      <c r="B279" s="3" t="str">
        <f ca="1">IFERROR(__xludf.DUMMYFUNCTION("""COMPUTED_VALUE"""),"Nur Afifatul Maulidah")</f>
        <v>Nur Afifatul Maulidah</v>
      </c>
      <c r="C279" s="3" t="str">
        <f ca="1">IFERROR(__xludf.DUMMYFUNCTION("""COMPUTED_VALUE"""),"Nur Afifatul Maulidah, S.E.")</f>
        <v>Nur Afifatul Maulidah, S.E.</v>
      </c>
      <c r="D279" s="3" t="str">
        <f ca="1">IFERROR(__xludf.DUMMYFUNCTION("""COMPUTED_VALUE"""),"Nur Afifatul Maulidah, S.E.")</f>
        <v>Nur Afifatul Maulidah, S.E.</v>
      </c>
      <c r="E279" s="3" t="str">
        <f ca="1">IFERROR(__xludf.DUMMYFUNCTION("""COMPUTED_VALUE"""),"198401042009012011")</f>
        <v>198401042009012011</v>
      </c>
      <c r="F279" s="3" t="str">
        <f ca="1">IFERROR(__xludf.DUMMYFUNCTION("""COMPUTED_VALUE"""),"19840104 200901 2 011")</f>
        <v>19840104 200901 2 011</v>
      </c>
      <c r="G279" s="3"/>
      <c r="H279" s="3"/>
      <c r="I279" s="3" t="str">
        <f ca="1">IFERROR(__xludf.DUMMYFUNCTION("""COMPUTED_VALUE"""),"PNS")</f>
        <v>PNS</v>
      </c>
      <c r="J279" s="3" t="str">
        <f ca="1">IFERROR(__xludf.DUMMYFUNCTION("""COMPUTED_VALUE"""),"Pegawai PNS")</f>
        <v>Pegawai PNS</v>
      </c>
      <c r="K279" s="5" t="str">
        <f ca="1">IFERROR(__xludf.DUMMYFUNCTION("""COMPUTED_VALUE"""),"P")</f>
        <v>P</v>
      </c>
      <c r="L279" s="3" t="str">
        <f ca="1">IFERROR(__xludf.DUMMYFUNCTION("""COMPUTED_VALUE"""),"Tegal")</f>
        <v>Tegal</v>
      </c>
      <c r="M279" s="7">
        <f ca="1">IFERROR(__xludf.DUMMYFUNCTION("""COMPUTED_VALUE"""),30685)</f>
        <v>30685</v>
      </c>
      <c r="N279" s="4" t="str">
        <f ca="1">IFERROR(__xludf.DUMMYFUNCTION("""COMPUTED_VALUE"""),"Penata Tk.I")</f>
        <v>Penata Tk.I</v>
      </c>
      <c r="O279" s="3" t="str">
        <f ca="1">IFERROR(__xludf.DUMMYFUNCTION("""COMPUTED_VALUE"""),"III/d")</f>
        <v>III/d</v>
      </c>
      <c r="P279" s="7">
        <f ca="1">IFERROR(__xludf.DUMMYFUNCTION("""COMPUTED_VALUE"""),43922)</f>
        <v>43922</v>
      </c>
      <c r="Q279" s="3" t="str">
        <f ca="1">IFERROR(__xludf.DUMMYFUNCTION("""COMPUTED_VALUE"""),"117732/B.II/3/2020")</f>
        <v>117732/B.II/3/2020</v>
      </c>
      <c r="R279" s="3" t="str">
        <f ca="1">IFERROR(__xludf.DUMMYFUNCTION("""COMPUTED_VALUE"""),"Analis Pengelolaan Keuangan APBN")</f>
        <v>Analis Pengelolaan Keuangan APBN</v>
      </c>
      <c r="S279" s="3" t="str">
        <f ca="1">IFERROR(__xludf.DUMMYFUNCTION("""COMPUTED_VALUE"""),"Ahli Muda")</f>
        <v>Ahli Muda</v>
      </c>
      <c r="T279" s="3"/>
      <c r="U279" s="3"/>
      <c r="V279" s="3"/>
      <c r="W279" s="3">
        <f ca="1">IFERROR(__xludf.DUMMYFUNCTION("""COMPUTED_VALUE"""),10)</f>
        <v>10</v>
      </c>
      <c r="X279" s="7" t="str">
        <f ca="1">IFERROR(__xludf.DUMMYFUNCTION("""COMPUTED_VALUE"""),"Ketua Tim Kerja AUK Fakultas Syariah")</f>
        <v>Ketua Tim Kerja AUK Fakultas Syariah</v>
      </c>
      <c r="Y279" s="3" t="str">
        <f ca="1">IFERROR(__xludf.DUMMYFUNCTION("""COMPUTED_VALUE"""),"S-1")</f>
        <v>S-1</v>
      </c>
      <c r="Z279" s="3" t="str">
        <f ca="1">IFERROR(__xludf.DUMMYFUNCTION("""COMPUTED_VALUE"""),"17 Tahun 0 Bulan 27 Hari")</f>
        <v>17 Tahun 0 Bulan 27 Hari</v>
      </c>
      <c r="AA279" s="8">
        <f ca="1">IFERROR(__xludf.DUMMYFUNCTION("""COMPUTED_VALUE"""),51898)</f>
        <v>51898</v>
      </c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4"/>
      <c r="AR279" s="3"/>
      <c r="AS279" s="4"/>
      <c r="AT279" s="3"/>
      <c r="AU279" s="3"/>
    </row>
    <row r="280" spans="1:47" x14ac:dyDescent="0.2">
      <c r="A280" s="12">
        <v>279</v>
      </c>
      <c r="B280" s="3" t="str">
        <f ca="1">IFERROR(__xludf.DUMMYFUNCTION("""COMPUTED_VALUE"""),"Nur Yulianti")</f>
        <v>Nur Yulianti</v>
      </c>
      <c r="C280" s="3" t="str">
        <f ca="1">IFERROR(__xludf.DUMMYFUNCTION("""COMPUTED_VALUE"""),"Nur Yulianti")</f>
        <v>Nur Yulianti</v>
      </c>
      <c r="D280" s="3" t="str">
        <f ca="1">IFERROR(__xludf.DUMMYFUNCTION("""COMPUTED_VALUE"""),"Nur Yulianti")</f>
        <v>Nur Yulianti</v>
      </c>
      <c r="E280" s="3" t="str">
        <f ca="1">IFERROR(__xludf.DUMMYFUNCTION("""COMPUTED_VALUE"""),"196907121993032001")</f>
        <v>196907121993032001</v>
      </c>
      <c r="F280" s="3" t="str">
        <f ca="1">IFERROR(__xludf.DUMMYFUNCTION("""COMPUTED_VALUE"""),"19770522 200003 2 001")</f>
        <v>19770522 200003 2 001</v>
      </c>
      <c r="G280" s="3"/>
      <c r="H280" s="3"/>
      <c r="I280" s="3" t="str">
        <f ca="1">IFERROR(__xludf.DUMMYFUNCTION("""COMPUTED_VALUE"""),"PNS")</f>
        <v>PNS</v>
      </c>
      <c r="J280" s="3" t="str">
        <f ca="1">IFERROR(__xludf.DUMMYFUNCTION("""COMPUTED_VALUE"""),"Pegawai PNS")</f>
        <v>Pegawai PNS</v>
      </c>
      <c r="K280" s="5" t="str">
        <f ca="1">IFERROR(__xludf.DUMMYFUNCTION("""COMPUTED_VALUE"""),"P")</f>
        <v>P</v>
      </c>
      <c r="L280" s="3" t="str">
        <f ca="1">IFERROR(__xludf.DUMMYFUNCTION("""COMPUTED_VALUE"""),"Surabaya")</f>
        <v>Surabaya</v>
      </c>
      <c r="M280" s="7">
        <f ca="1">IFERROR(__xludf.DUMMYFUNCTION("""COMPUTED_VALUE"""),25396)</f>
        <v>25396</v>
      </c>
      <c r="N280" s="4" t="str">
        <f ca="1">IFERROR(__xludf.DUMMYFUNCTION("""COMPUTED_VALUE"""),"Penata Muda Tk.I")</f>
        <v>Penata Muda Tk.I</v>
      </c>
      <c r="O280" s="3" t="str">
        <f ca="1">IFERROR(__xludf.DUMMYFUNCTION("""COMPUTED_VALUE"""),"III/b")</f>
        <v>III/b</v>
      </c>
      <c r="P280" s="7">
        <f ca="1">IFERROR(__xludf.DUMMYFUNCTION("""COMPUTED_VALUE"""),41548)</f>
        <v>41548</v>
      </c>
      <c r="Q280" s="3" t="str">
        <f ca="1">IFERROR(__xludf.DUMMYFUNCTION("""COMPUTED_VALUE"""),"Sti.23/K/Kp.07.1/028/2013")</f>
        <v>Sti.23/K/Kp.07.1/028/2013</v>
      </c>
      <c r="R280" s="3" t="str">
        <f ca="1">IFERROR(__xludf.DUMMYFUNCTION("""COMPUTED_VALUE"""),"Pengelola Layanan Operasional")</f>
        <v>Pengelola Layanan Operasional</v>
      </c>
      <c r="S280" s="3" t="str">
        <f ca="1">IFERROR(__xludf.DUMMYFUNCTION("""COMPUTED_VALUE"""),"Pelaksana")</f>
        <v>Pelaksana</v>
      </c>
      <c r="T280" s="7">
        <f ca="1">IFERROR(__xludf.DUMMYFUNCTION("""COMPUTED_VALUE"""),45842)</f>
        <v>45842</v>
      </c>
      <c r="U280" s="3" t="str">
        <f ca="1">IFERROR(__xludf.DUMMYFUNCTION("""COMPUTED_VALUE"""),"192022/B.II/KP.07/07/2025")</f>
        <v>192022/B.II/KP.07/07/2025</v>
      </c>
      <c r="V280" s="7">
        <f ca="1">IFERROR(__xludf.DUMMYFUNCTION("""COMPUTED_VALUE"""),45842)</f>
        <v>45842</v>
      </c>
      <c r="W280" s="3">
        <f ca="1">IFERROR(__xludf.DUMMYFUNCTION("""COMPUTED_VALUE"""),6)</f>
        <v>6</v>
      </c>
      <c r="X280" s="3"/>
      <c r="Y280" s="3" t="str">
        <f ca="1">IFERROR(__xludf.DUMMYFUNCTION("""COMPUTED_VALUE"""),"SMA")</f>
        <v>SMA</v>
      </c>
      <c r="Z280" s="3" t="str">
        <f ca="1">IFERROR(__xludf.DUMMYFUNCTION("""COMPUTED_VALUE"""),"32 Tahun 10 Bulan 27 Hari")</f>
        <v>32 Tahun 10 Bulan 27 Hari</v>
      </c>
      <c r="AA280" s="8">
        <f ca="1">IFERROR(__xludf.DUMMYFUNCTION("""COMPUTED_VALUE"""),46600)</f>
        <v>46600</v>
      </c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4"/>
      <c r="AR280" s="3"/>
      <c r="AS280" s="4"/>
      <c r="AT280" s="3"/>
      <c r="AU280" s="3"/>
    </row>
    <row r="281" spans="1:47" x14ac:dyDescent="0.2">
      <c r="A281" s="12">
        <v>280</v>
      </c>
      <c r="B281" s="3" t="str">
        <f ca="1">IFERROR(__xludf.DUMMYFUNCTION("""COMPUTED_VALUE"""),"Nurkhikmah")</f>
        <v>Nurkhikmah</v>
      </c>
      <c r="C281" s="3" t="str">
        <f ca="1">IFERROR(__xludf.DUMMYFUNCTION("""COMPUTED_VALUE"""),"Nurkhikmah, S.Ag., M.Si.")</f>
        <v>Nurkhikmah, S.Ag., M.Si.</v>
      </c>
      <c r="D281" s="3" t="str">
        <f ca="1">IFERROR(__xludf.DUMMYFUNCTION("""COMPUTED_VALUE"""),"Nurkhikmah, S.Ag., M.Si.")</f>
        <v>Nurkhikmah, S.Ag., M.Si.</v>
      </c>
      <c r="E281" s="3" t="str">
        <f ca="1">IFERROR(__xludf.DUMMYFUNCTION("""COMPUTED_VALUE"""),"197705222000032001")</f>
        <v>197705222000032001</v>
      </c>
      <c r="F281" s="3" t="str">
        <f ca="1">IFERROR(__xludf.DUMMYFUNCTION("""COMPUTED_VALUE"""),"19770522 200003 2 001")</f>
        <v>19770522 200003 2 001</v>
      </c>
      <c r="G281" s="3"/>
      <c r="H281" s="3"/>
      <c r="I281" s="3" t="str">
        <f ca="1">IFERROR(__xludf.DUMMYFUNCTION("""COMPUTED_VALUE"""),"PNS")</f>
        <v>PNS</v>
      </c>
      <c r="J281" s="3" t="str">
        <f ca="1">IFERROR(__xludf.DUMMYFUNCTION("""COMPUTED_VALUE"""),"Pegawai PNS")</f>
        <v>Pegawai PNS</v>
      </c>
      <c r="K281" s="5" t="str">
        <f ca="1">IFERROR(__xludf.DUMMYFUNCTION("""COMPUTED_VALUE"""),"P")</f>
        <v>P</v>
      </c>
      <c r="L281" s="3" t="str">
        <f ca="1">IFERROR(__xludf.DUMMYFUNCTION("""COMPUTED_VALUE"""),"Kebumen")</f>
        <v>Kebumen</v>
      </c>
      <c r="M281" s="7">
        <f ca="1">IFERROR(__xludf.DUMMYFUNCTION("""COMPUTED_VALUE"""),28267)</f>
        <v>28267</v>
      </c>
      <c r="N281" s="4" t="str">
        <f ca="1">IFERROR(__xludf.DUMMYFUNCTION("""COMPUTED_VALUE"""),"Pembina Tk.I")</f>
        <v>Pembina Tk.I</v>
      </c>
      <c r="O281" s="3" t="str">
        <f ca="1">IFERROR(__xludf.DUMMYFUNCTION("""COMPUTED_VALUE"""),"IV/b")</f>
        <v>IV/b</v>
      </c>
      <c r="P281" s="7">
        <f ca="1">IFERROR(__xludf.DUMMYFUNCTION("""COMPUTED_VALUE"""),43922)</f>
        <v>43922</v>
      </c>
      <c r="Q281" s="3" t="str">
        <f ca="1">IFERROR(__xludf.DUMMYFUNCTION("""COMPUTED_VALUE"""),"11784/B.II/3/2020")</f>
        <v>11784/B.II/3/2020</v>
      </c>
      <c r="R281" s="3" t="str">
        <f ca="1">IFERROR(__xludf.DUMMYFUNCTION("""COMPUTED_VALUE"""),"Kepala Bagian Umum dan Akademik")</f>
        <v>Kepala Bagian Umum dan Akademik</v>
      </c>
      <c r="S281" s="3" t="str">
        <f ca="1">IFERROR(__xludf.DUMMYFUNCTION("""COMPUTED_VALUE"""),"Administrator")</f>
        <v>Administrator</v>
      </c>
      <c r="T281" s="7">
        <f ca="1">IFERROR(__xludf.DUMMYFUNCTION("""COMPUTED_VALUE"""),45481)</f>
        <v>45481</v>
      </c>
      <c r="U281" s="3" t="str">
        <f ca="1">IFERROR(__xludf.DUMMYFUNCTION("""COMPUTED_VALUE"""),"028657/B.II/3/2024")</f>
        <v>028657/B.II/3/2024</v>
      </c>
      <c r="V281" s="7">
        <f ca="1">IFERROR(__xludf.DUMMYFUNCTION("""COMPUTED_VALUE"""),45475)</f>
        <v>45475</v>
      </c>
      <c r="W281" s="3">
        <f ca="1">IFERROR(__xludf.DUMMYFUNCTION("""COMPUTED_VALUE"""),11)</f>
        <v>11</v>
      </c>
      <c r="X281" s="3" t="str">
        <f ca="1">IFERROR(__xludf.DUMMYFUNCTION("""COMPUTED_VALUE"""),"Kepala Bagian Umum dan Akademik")</f>
        <v>Kepala Bagian Umum dan Akademik</v>
      </c>
      <c r="Y281" s="3" t="str">
        <f ca="1">IFERROR(__xludf.DUMMYFUNCTION("""COMPUTED_VALUE"""),"S-2")</f>
        <v>S-2</v>
      </c>
      <c r="Z281" s="3" t="str">
        <f ca="1">IFERROR(__xludf.DUMMYFUNCTION("""COMPUTED_VALUE"""),"25 Tahun 10 Bulan 27 Hari")</f>
        <v>25 Tahun 10 Bulan 27 Hari</v>
      </c>
      <c r="AA281" s="8">
        <f ca="1">IFERROR(__xludf.DUMMYFUNCTION("""COMPUTED_VALUE"""),49461)</f>
        <v>49461</v>
      </c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4"/>
      <c r="AR281" s="3"/>
      <c r="AS281" s="4"/>
      <c r="AT281" s="3"/>
      <c r="AU281" s="3"/>
    </row>
    <row r="282" spans="1:47" x14ac:dyDescent="0.2">
      <c r="A282" s="12">
        <v>281</v>
      </c>
      <c r="B282" s="3" t="str">
        <f ca="1">IFERROR(__xludf.DUMMYFUNCTION("""COMPUTED_VALUE"""),"Pujiati")</f>
        <v>Pujiati</v>
      </c>
      <c r="C282" s="3" t="str">
        <f ca="1">IFERROR(__xludf.DUMMYFUNCTION("""COMPUTED_VALUE"""),"Pujiati, S.E., M.E.")</f>
        <v>Pujiati, S.E., M.E.</v>
      </c>
      <c r="D282" s="3" t="str">
        <f ca="1">IFERROR(__xludf.DUMMYFUNCTION("""COMPUTED_VALUE"""),"Pujiati, S.E., M.E.")</f>
        <v>Pujiati, S.E., M.E.</v>
      </c>
      <c r="E282" s="3" t="str">
        <f ca="1">IFERROR(__xludf.DUMMYFUNCTION("""COMPUTED_VALUE"""),"198504202011012016")</f>
        <v>198504202011012016</v>
      </c>
      <c r="F282" s="3" t="str">
        <f ca="1">IFERROR(__xludf.DUMMYFUNCTION("""COMPUTED_VALUE"""),"19850420 201101 2 016")</f>
        <v>19850420 201101 2 016</v>
      </c>
      <c r="G282" s="3"/>
      <c r="H282" s="3"/>
      <c r="I282" s="3" t="str">
        <f ca="1">IFERROR(__xludf.DUMMYFUNCTION("""COMPUTED_VALUE"""),"PNS")</f>
        <v>PNS</v>
      </c>
      <c r="J282" s="3" t="str">
        <f ca="1">IFERROR(__xludf.DUMMYFUNCTION("""COMPUTED_VALUE"""),"Pegawai PNS")</f>
        <v>Pegawai PNS</v>
      </c>
      <c r="K282" s="5" t="str">
        <f ca="1">IFERROR(__xludf.DUMMYFUNCTION("""COMPUTED_VALUE"""),"P")</f>
        <v>P</v>
      </c>
      <c r="L282" s="3" t="str">
        <f ca="1">IFERROR(__xludf.DUMMYFUNCTION("""COMPUTED_VALUE"""),"Banyumas")</f>
        <v>Banyumas</v>
      </c>
      <c r="M282" s="7">
        <f ca="1">IFERROR(__xludf.DUMMYFUNCTION("""COMPUTED_VALUE"""),31157)</f>
        <v>31157</v>
      </c>
      <c r="N282" s="4" t="str">
        <f ca="1">IFERROR(__xludf.DUMMYFUNCTION("""COMPUTED_VALUE"""),"Penata Tk.I")</f>
        <v>Penata Tk.I</v>
      </c>
      <c r="O282" s="3" t="str">
        <f ca="1">IFERROR(__xludf.DUMMYFUNCTION("""COMPUTED_VALUE"""),"III/d")</f>
        <v>III/d</v>
      </c>
      <c r="P282" s="7">
        <f ca="1">IFERROR(__xludf.DUMMYFUNCTION("""COMPUTED_VALUE"""),45017)</f>
        <v>45017</v>
      </c>
      <c r="Q282" s="3" t="str">
        <f ca="1">IFERROR(__xludf.DUMMYFUNCTION("""COMPUTED_VALUE"""),"513/Un.19/K.AUPK/KP.07.2/03/2023")</f>
        <v>513/Un.19/K.AUPK/KP.07.2/03/2023</v>
      </c>
      <c r="R282" s="3" t="str">
        <f ca="1">IFERROR(__xludf.DUMMYFUNCTION("""COMPUTED_VALUE"""),"Analis Pengelolaan Keuangan APBN")</f>
        <v>Analis Pengelolaan Keuangan APBN</v>
      </c>
      <c r="S282" s="3" t="str">
        <f ca="1">IFERROR(__xludf.DUMMYFUNCTION("""COMPUTED_VALUE"""),"Ahli Pertama")</f>
        <v>Ahli Pertama</v>
      </c>
      <c r="T282" s="7">
        <f ca="1">IFERROR(__xludf.DUMMYFUNCTION("""COMPUTED_VALUE"""),45536)</f>
        <v>45536</v>
      </c>
      <c r="U282" s="3" t="str">
        <f ca="1">IFERROR(__xludf.DUMMYFUNCTION("""COMPUTED_VALUE"""),"035740/B.II/KP.07.6/08/2024")</f>
        <v>035740/B.II/KP.07.6/08/2024</v>
      </c>
      <c r="V282" s="7">
        <f ca="1">IFERROR(__xludf.DUMMYFUNCTION("""COMPUTED_VALUE"""),45536)</f>
        <v>45536</v>
      </c>
      <c r="W282" s="3">
        <f ca="1">IFERROR(__xludf.DUMMYFUNCTION("""COMPUTED_VALUE"""),8)</f>
        <v>8</v>
      </c>
      <c r="X282" s="3"/>
      <c r="Y282" s="3" t="str">
        <f ca="1">IFERROR(__xludf.DUMMYFUNCTION("""COMPUTED_VALUE"""),"S-2")</f>
        <v>S-2</v>
      </c>
      <c r="Z282" s="3" t="str">
        <f ca="1">IFERROR(__xludf.DUMMYFUNCTION("""COMPUTED_VALUE"""),"15 Tahun 0 Bulan 27 Hari")</f>
        <v>15 Tahun 0 Bulan 27 Hari</v>
      </c>
      <c r="AA282" s="8">
        <f ca="1">IFERROR(__xludf.DUMMYFUNCTION("""COMPUTED_VALUE"""),52352)</f>
        <v>52352</v>
      </c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4"/>
      <c r="AR282" s="3"/>
      <c r="AS282" s="4"/>
      <c r="AT282" s="3"/>
      <c r="AU282" s="3"/>
    </row>
    <row r="283" spans="1:47" x14ac:dyDescent="0.2">
      <c r="A283" s="12">
        <v>282</v>
      </c>
      <c r="B283" s="3" t="str">
        <f ca="1">IFERROR(__xludf.DUMMYFUNCTION("""COMPUTED_VALUE"""),"Rabi'atul Adawiyah")</f>
        <v>Rabi'atul Adawiyah</v>
      </c>
      <c r="C283" s="3" t="str">
        <f ca="1">IFERROR(__xludf.DUMMYFUNCTION("""COMPUTED_VALUE"""),"Rabi'atul Adawiyah, S.E., M.E.")</f>
        <v>Rabi'atul Adawiyah, S.E., M.E.</v>
      </c>
      <c r="D283" s="3" t="str">
        <f ca="1">IFERROR(__xludf.DUMMYFUNCTION("""COMPUTED_VALUE"""),"Rabi'atul Adawiyah, S.E., M.E.")</f>
        <v>Rabi'atul Adawiyah, S.E., M.E.</v>
      </c>
      <c r="E283" s="3" t="str">
        <f ca="1">IFERROR(__xludf.DUMMYFUNCTION("""COMPUTED_VALUE"""),"198512112011012020")</f>
        <v>198512112011012020</v>
      </c>
      <c r="F283" s="3" t="str">
        <f ca="1">IFERROR(__xludf.DUMMYFUNCTION("""COMPUTED_VALUE"""),"19851211 201101 2 020")</f>
        <v>19851211 201101 2 020</v>
      </c>
      <c r="G283" s="3"/>
      <c r="H283" s="3"/>
      <c r="I283" s="3" t="str">
        <f ca="1">IFERROR(__xludf.DUMMYFUNCTION("""COMPUTED_VALUE"""),"PNS")</f>
        <v>PNS</v>
      </c>
      <c r="J283" s="3" t="str">
        <f ca="1">IFERROR(__xludf.DUMMYFUNCTION("""COMPUTED_VALUE"""),"Pegawai PNS")</f>
        <v>Pegawai PNS</v>
      </c>
      <c r="K283" s="5" t="str">
        <f ca="1">IFERROR(__xludf.DUMMYFUNCTION("""COMPUTED_VALUE"""),"P")</f>
        <v>P</v>
      </c>
      <c r="L283" s="3" t="str">
        <f ca="1">IFERROR(__xludf.DUMMYFUNCTION("""COMPUTED_VALUE"""),"Kapuas")</f>
        <v>Kapuas</v>
      </c>
      <c r="M283" s="9">
        <f ca="1">IFERROR(__xludf.DUMMYFUNCTION("""COMPUTED_VALUE"""),31392)</f>
        <v>31392</v>
      </c>
      <c r="N283" s="4" t="str">
        <f ca="1">IFERROR(__xludf.DUMMYFUNCTION("""COMPUTED_VALUE"""),"Penata Tk.I")</f>
        <v>Penata Tk.I</v>
      </c>
      <c r="O283" s="3" t="str">
        <f ca="1">IFERROR(__xludf.DUMMYFUNCTION("""COMPUTED_VALUE"""),"III/d")</f>
        <v>III/d</v>
      </c>
      <c r="P283" s="7">
        <f ca="1">IFERROR(__xludf.DUMMYFUNCTION("""COMPUTED_VALUE"""),45017)</f>
        <v>45017</v>
      </c>
      <c r="Q283" s="3" t="str">
        <f ca="1">IFERROR(__xludf.DUMMYFUNCTION("""COMPUTED_VALUE"""),"514/Un.19/K.AUPK/KP.07.2/03/2023")</f>
        <v>514/Un.19/K.AUPK/KP.07.2/03/2023</v>
      </c>
      <c r="R283" s="3" t="str">
        <f ca="1">IFERROR(__xludf.DUMMYFUNCTION("""COMPUTED_VALUE"""),"Penelaah Teknis Kebijakan")</f>
        <v>Penelaah Teknis Kebijakan</v>
      </c>
      <c r="S283" s="3" t="str">
        <f ca="1">IFERROR(__xludf.DUMMYFUNCTION("""COMPUTED_VALUE"""),"Pelaksana")</f>
        <v>Pelaksana</v>
      </c>
      <c r="T283" s="7">
        <f ca="1">IFERROR(__xludf.DUMMYFUNCTION("""COMPUTED_VALUE"""),45842)</f>
        <v>45842</v>
      </c>
      <c r="U283" s="3" t="str">
        <f ca="1">IFERROR(__xludf.DUMMYFUNCTION("""COMPUTED_VALUE"""),"192045/B.II/KP.07/07/2025")</f>
        <v>192045/B.II/KP.07/07/2025</v>
      </c>
      <c r="V283" s="7">
        <f ca="1">IFERROR(__xludf.DUMMYFUNCTION("""COMPUTED_VALUE"""),45842)</f>
        <v>45842</v>
      </c>
      <c r="W283" s="3">
        <f ca="1">IFERROR(__xludf.DUMMYFUNCTION("""COMPUTED_VALUE"""),7)</f>
        <v>7</v>
      </c>
      <c r="X283" s="3"/>
      <c r="Y283" s="3" t="str">
        <f ca="1">IFERROR(__xludf.DUMMYFUNCTION("""COMPUTED_VALUE"""),"S-2")</f>
        <v>S-2</v>
      </c>
      <c r="Z283" s="3" t="str">
        <f ca="1">IFERROR(__xludf.DUMMYFUNCTION("""COMPUTED_VALUE"""),"15 Tahun 0 Bulan 27 Hari")</f>
        <v>15 Tahun 0 Bulan 27 Hari</v>
      </c>
      <c r="AA283" s="8">
        <f ca="1">IFERROR(__xludf.DUMMYFUNCTION("""COMPUTED_VALUE"""),52597)</f>
        <v>52597</v>
      </c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4"/>
      <c r="AR283" s="3"/>
      <c r="AS283" s="4"/>
      <c r="AT283" s="3"/>
      <c r="AU283" s="3"/>
    </row>
    <row r="284" spans="1:47" x14ac:dyDescent="0.2">
      <c r="A284" s="12">
        <v>283</v>
      </c>
      <c r="B284" s="3" t="str">
        <f ca="1">IFERROR(__xludf.DUMMYFUNCTION("""COMPUTED_VALUE"""),"Rakhmawati Nur Widyayani")</f>
        <v>Rakhmawati Nur Widyayani</v>
      </c>
      <c r="C284" s="3" t="str">
        <f ca="1">IFERROR(__xludf.DUMMYFUNCTION("""COMPUTED_VALUE"""),"Rakhmawati Nur Widyayani, S.E.")</f>
        <v>Rakhmawati Nur Widyayani, S.E.</v>
      </c>
      <c r="D284" s="3" t="str">
        <f ca="1">IFERROR(__xludf.DUMMYFUNCTION("""COMPUTED_VALUE"""),"Rakhmawati Nur Widyayani, S.E.")</f>
        <v>Rakhmawati Nur Widyayani, S.E.</v>
      </c>
      <c r="E284" s="3" t="str">
        <f ca="1">IFERROR(__xludf.DUMMYFUNCTION("""COMPUTED_VALUE"""),"198110262009012006")</f>
        <v>198110262009012006</v>
      </c>
      <c r="F284" s="3" t="str">
        <f ca="1">IFERROR(__xludf.DUMMYFUNCTION("""COMPUTED_VALUE"""),"19811026 200901 2 006")</f>
        <v>19811026 200901 2 006</v>
      </c>
      <c r="G284" s="3"/>
      <c r="H284" s="3"/>
      <c r="I284" s="3" t="str">
        <f ca="1">IFERROR(__xludf.DUMMYFUNCTION("""COMPUTED_VALUE"""),"PNS")</f>
        <v>PNS</v>
      </c>
      <c r="J284" s="3" t="str">
        <f ca="1">IFERROR(__xludf.DUMMYFUNCTION("""COMPUTED_VALUE"""),"Pegawai PNS")</f>
        <v>Pegawai PNS</v>
      </c>
      <c r="K284" s="5" t="str">
        <f ca="1">IFERROR(__xludf.DUMMYFUNCTION("""COMPUTED_VALUE"""),"P")</f>
        <v>P</v>
      </c>
      <c r="L284" s="3" t="str">
        <f ca="1">IFERROR(__xludf.DUMMYFUNCTION("""COMPUTED_VALUE"""),"Cilacap")</f>
        <v>Cilacap</v>
      </c>
      <c r="M284" s="9">
        <f ca="1">IFERROR(__xludf.DUMMYFUNCTION("""COMPUTED_VALUE"""),29885)</f>
        <v>29885</v>
      </c>
      <c r="N284" s="4" t="str">
        <f ca="1">IFERROR(__xludf.DUMMYFUNCTION("""COMPUTED_VALUE"""),"Pembina")</f>
        <v>Pembina</v>
      </c>
      <c r="O284" s="3" t="str">
        <f ca="1">IFERROR(__xludf.DUMMYFUNCTION("""COMPUTED_VALUE"""),"IV/a")</f>
        <v>IV/a</v>
      </c>
      <c r="P284" s="7">
        <f ca="1">IFERROR(__xludf.DUMMYFUNCTION("""COMPUTED_VALUE"""),45992)</f>
        <v>45992</v>
      </c>
      <c r="Q284" s="3" t="str">
        <f ca="1">IFERROR(__xludf.DUMMYFUNCTION("""COMPUTED_VALUE"""),"212550/B.II/KP.07.1/11/2025")</f>
        <v>212550/B.II/KP.07.1/11/2025</v>
      </c>
      <c r="R284" s="3" t="str">
        <f ca="1">IFERROR(__xludf.DUMMYFUNCTION("""COMPUTED_VALUE"""),"Analis Pengelolaan Keuangan APBN")</f>
        <v>Analis Pengelolaan Keuangan APBN</v>
      </c>
      <c r="S284" s="3" t="str">
        <f ca="1">IFERROR(__xludf.DUMMYFUNCTION("""COMPUTED_VALUE"""),"Ahli Madya")</f>
        <v>Ahli Madya</v>
      </c>
      <c r="T284" s="7">
        <f ca="1">IFERROR(__xludf.DUMMYFUNCTION("""COMPUTED_VALUE"""),45931)</f>
        <v>45931</v>
      </c>
      <c r="U284" s="3" t="str">
        <f ca="1">IFERROR(__xludf.DUMMYFUNCTION("""COMPUTED_VALUE"""),"200339/MA/KP.07.6/09/2025")</f>
        <v>200339/MA/KP.07.6/09/2025</v>
      </c>
      <c r="V284" s="7">
        <f ca="1">IFERROR(__xludf.DUMMYFUNCTION("""COMPUTED_VALUE"""),45915)</f>
        <v>45915</v>
      </c>
      <c r="W284" s="3">
        <f ca="1">IFERROR(__xludf.DUMMYFUNCTION("""COMPUTED_VALUE"""),12)</f>
        <v>12</v>
      </c>
      <c r="X284" s="7" t="str">
        <f ca="1">IFERROR(__xludf.DUMMYFUNCTION("""COMPUTED_VALUE"""),"Ketua Tim Kerja Keuangan")</f>
        <v>Ketua Tim Kerja Keuangan</v>
      </c>
      <c r="Y284" s="3" t="str">
        <f ca="1">IFERROR(__xludf.DUMMYFUNCTION("""COMPUTED_VALUE"""),"S-1")</f>
        <v>S-1</v>
      </c>
      <c r="Z284" s="3" t="str">
        <f ca="1">IFERROR(__xludf.DUMMYFUNCTION("""COMPUTED_VALUE"""),"17 Tahun 0 Bulan 27 Hari")</f>
        <v>17 Tahun 0 Bulan 27 Hari</v>
      </c>
      <c r="AA284" s="8">
        <f ca="1">IFERROR(__xludf.DUMMYFUNCTION("""COMPUTED_VALUE"""),51806)</f>
        <v>51806</v>
      </c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4"/>
      <c r="AR284" s="3"/>
      <c r="AS284" s="4"/>
      <c r="AT284" s="3"/>
      <c r="AU284" s="3"/>
    </row>
    <row r="285" spans="1:47" x14ac:dyDescent="0.2">
      <c r="A285" s="12">
        <v>284</v>
      </c>
      <c r="B285" s="3" t="str">
        <f ca="1">IFERROR(__xludf.DUMMYFUNCTION("""COMPUTED_VALUE"""),"Rasum")</f>
        <v>Rasum</v>
      </c>
      <c r="C285" s="3" t="str">
        <f ca="1">IFERROR(__xludf.DUMMYFUNCTION("""COMPUTED_VALUE"""),"Rasum")</f>
        <v>Rasum</v>
      </c>
      <c r="D285" s="3" t="str">
        <f ca="1">IFERROR(__xludf.DUMMYFUNCTION("""COMPUTED_VALUE"""),"Rasum")</f>
        <v>Rasum</v>
      </c>
      <c r="E285" s="3" t="str">
        <f ca="1">IFERROR(__xludf.DUMMYFUNCTION("""COMPUTED_VALUE"""),"197403122007011029")</f>
        <v>197403122007011029</v>
      </c>
      <c r="F285" s="3" t="str">
        <f ca="1">IFERROR(__xludf.DUMMYFUNCTION("""COMPUTED_VALUE"""),"19740312 200701 1 029")</f>
        <v>19740312 200701 1 029</v>
      </c>
      <c r="G285" s="3"/>
      <c r="H285" s="3"/>
      <c r="I285" s="3" t="str">
        <f ca="1">IFERROR(__xludf.DUMMYFUNCTION("""COMPUTED_VALUE"""),"PNS")</f>
        <v>PNS</v>
      </c>
      <c r="J285" s="3" t="str">
        <f ca="1">IFERROR(__xludf.DUMMYFUNCTION("""COMPUTED_VALUE"""),"Pegawai PNS")</f>
        <v>Pegawai PNS</v>
      </c>
      <c r="K285" s="5" t="str">
        <f ca="1">IFERROR(__xludf.DUMMYFUNCTION("""COMPUTED_VALUE"""),"L")</f>
        <v>L</v>
      </c>
      <c r="L285" s="3" t="str">
        <f ca="1">IFERROR(__xludf.DUMMYFUNCTION("""COMPUTED_VALUE"""),"Banyumas")</f>
        <v>Banyumas</v>
      </c>
      <c r="M285" s="7">
        <f ca="1">IFERROR(__xludf.DUMMYFUNCTION("""COMPUTED_VALUE"""),27100)</f>
        <v>27100</v>
      </c>
      <c r="N285" s="4" t="str">
        <f ca="1">IFERROR(__xludf.DUMMYFUNCTION("""COMPUTED_VALUE"""),"Pengatur Muda")</f>
        <v>Pengatur Muda</v>
      </c>
      <c r="O285" s="3" t="str">
        <f ca="1">IFERROR(__xludf.DUMMYFUNCTION("""COMPUTED_VALUE"""),"II/a")</f>
        <v>II/a</v>
      </c>
      <c r="P285" s="7">
        <f ca="1">IFERROR(__xludf.DUMMYFUNCTION("""COMPUTED_VALUE"""),45017)</f>
        <v>45017</v>
      </c>
      <c r="Q285" s="3" t="str">
        <f ca="1">IFERROR(__xludf.DUMMYFUNCTION("""COMPUTED_VALUE"""),"516/Un.19/K.AUPK/KP.07.2/03/2023")</f>
        <v>516/Un.19/K.AUPK/KP.07.2/03/2023</v>
      </c>
      <c r="R285" s="3" t="str">
        <f ca="1">IFERROR(__xludf.DUMMYFUNCTION("""COMPUTED_VALUE"""),"Operator Layanan Operasional")</f>
        <v>Operator Layanan Operasional</v>
      </c>
      <c r="S285" s="3" t="str">
        <f ca="1">IFERROR(__xludf.DUMMYFUNCTION("""COMPUTED_VALUE"""),"Pelaksana")</f>
        <v>Pelaksana</v>
      </c>
      <c r="T285" s="7">
        <f ca="1">IFERROR(__xludf.DUMMYFUNCTION("""COMPUTED_VALUE"""),45842)</f>
        <v>45842</v>
      </c>
      <c r="U285" s="3" t="str">
        <f ca="1">IFERROR(__xludf.DUMMYFUNCTION("""COMPUTED_VALUE"""),"192032/B.II/KP.07/07/2025")</f>
        <v>192032/B.II/KP.07/07/2025</v>
      </c>
      <c r="V285" s="7">
        <f ca="1">IFERROR(__xludf.DUMMYFUNCTION("""COMPUTED_VALUE"""),45842)</f>
        <v>45842</v>
      </c>
      <c r="W285" s="3">
        <f ca="1">IFERROR(__xludf.DUMMYFUNCTION("""COMPUTED_VALUE"""),5)</f>
        <v>5</v>
      </c>
      <c r="X285" s="3"/>
      <c r="Y285" s="3" t="str">
        <f ca="1">IFERROR(__xludf.DUMMYFUNCTION("""COMPUTED_VALUE"""),"SMP")</f>
        <v>SMP</v>
      </c>
      <c r="Z285" s="3" t="str">
        <f ca="1">IFERROR(__xludf.DUMMYFUNCTION("""COMPUTED_VALUE"""),"19 Tahun 0 Bulan 27 Hari")</f>
        <v>19 Tahun 0 Bulan 27 Hari</v>
      </c>
      <c r="AA285" s="8">
        <f ca="1">IFERROR(__xludf.DUMMYFUNCTION("""COMPUTED_VALUE"""),48305)</f>
        <v>48305</v>
      </c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4"/>
      <c r="AR285" s="3"/>
      <c r="AS285" s="4"/>
      <c r="AT285" s="3"/>
      <c r="AU285" s="3"/>
    </row>
    <row r="286" spans="1:47" x14ac:dyDescent="0.2">
      <c r="A286" s="12">
        <v>285</v>
      </c>
      <c r="B286" s="3" t="str">
        <f ca="1">IFERROR(__xludf.DUMMYFUNCTION("""COMPUTED_VALUE"""),"Resti Susari")</f>
        <v>Resti Susari</v>
      </c>
      <c r="C286" s="3" t="str">
        <f ca="1">IFERROR(__xludf.DUMMYFUNCTION("""COMPUTED_VALUE"""),"Resti Susari, S.E.")</f>
        <v>Resti Susari, S.E.</v>
      </c>
      <c r="D286" s="3" t="str">
        <f ca="1">IFERROR(__xludf.DUMMYFUNCTION("""COMPUTED_VALUE"""),"Resti Susari, S.E.")</f>
        <v>Resti Susari, S.E.</v>
      </c>
      <c r="E286" s="3" t="str">
        <f ca="1">IFERROR(__xludf.DUMMYFUNCTION("""COMPUTED_VALUE"""),"197706172003122003")</f>
        <v>197706172003122003</v>
      </c>
      <c r="F286" s="3" t="str">
        <f ca="1">IFERROR(__xludf.DUMMYFUNCTION("""COMPUTED_VALUE"""),"19770617 200312 2 003")</f>
        <v>19770617 200312 2 003</v>
      </c>
      <c r="G286" s="3"/>
      <c r="H286" s="3"/>
      <c r="I286" s="3" t="str">
        <f ca="1">IFERROR(__xludf.DUMMYFUNCTION("""COMPUTED_VALUE"""),"PNS")</f>
        <v>PNS</v>
      </c>
      <c r="J286" s="3" t="str">
        <f ca="1">IFERROR(__xludf.DUMMYFUNCTION("""COMPUTED_VALUE"""),"Pegawai PNS")</f>
        <v>Pegawai PNS</v>
      </c>
      <c r="K286" s="5" t="str">
        <f ca="1">IFERROR(__xludf.DUMMYFUNCTION("""COMPUTED_VALUE"""),"P")</f>
        <v>P</v>
      </c>
      <c r="L286" s="3" t="str">
        <f ca="1">IFERROR(__xludf.DUMMYFUNCTION("""COMPUTED_VALUE"""),"Banyumas")</f>
        <v>Banyumas</v>
      </c>
      <c r="M286" s="7">
        <f ca="1">IFERROR(__xludf.DUMMYFUNCTION("""COMPUTED_VALUE"""),28293)</f>
        <v>28293</v>
      </c>
      <c r="N286" s="4" t="str">
        <f ca="1">IFERROR(__xludf.DUMMYFUNCTION("""COMPUTED_VALUE"""),"Penata Tk.I")</f>
        <v>Penata Tk.I</v>
      </c>
      <c r="O286" s="3" t="str">
        <f ca="1">IFERROR(__xludf.DUMMYFUNCTION("""COMPUTED_VALUE"""),"III/d")</f>
        <v>III/d</v>
      </c>
      <c r="P286" s="7">
        <f ca="1">IFERROR(__xludf.DUMMYFUNCTION("""COMPUTED_VALUE"""),42461)</f>
        <v>42461</v>
      </c>
      <c r="Q286" s="3"/>
      <c r="R286" s="3" t="str">
        <f ca="1">IFERROR(__xludf.DUMMYFUNCTION("""COMPUTED_VALUE"""),"Analis Pengelolaan Keuangan APBN")</f>
        <v>Analis Pengelolaan Keuangan APBN</v>
      </c>
      <c r="S286" s="3" t="str">
        <f ca="1">IFERROR(__xludf.DUMMYFUNCTION("""COMPUTED_VALUE"""),"Ahli Muda")</f>
        <v>Ahli Muda</v>
      </c>
      <c r="T286" s="7">
        <f ca="1">IFERROR(__xludf.DUMMYFUNCTION("""COMPUTED_VALUE"""),44183)</f>
        <v>44183</v>
      </c>
      <c r="U286" s="3" t="str">
        <f ca="1">IFERROR(__xludf.DUMMYFUNCTION("""COMPUTED_VALUE"""),"044049/B.II/3/2020")</f>
        <v>044049/B.II/3/2020</v>
      </c>
      <c r="V286" s="7">
        <f ca="1">IFERROR(__xludf.DUMMYFUNCTION("""COMPUTED_VALUE"""),44160)</f>
        <v>44160</v>
      </c>
      <c r="W286" s="3">
        <f ca="1">IFERROR(__xludf.DUMMYFUNCTION("""COMPUTED_VALUE"""),10)</f>
        <v>10</v>
      </c>
      <c r="X286" s="7" t="str">
        <f ca="1">IFERROR(__xludf.DUMMYFUNCTION("""COMPUTED_VALUE"""),"Ketua Tim Kerja AUK FUAH")</f>
        <v>Ketua Tim Kerja AUK FUAH</v>
      </c>
      <c r="Y286" s="3" t="str">
        <f ca="1">IFERROR(__xludf.DUMMYFUNCTION("""COMPUTED_VALUE"""),"S-1")</f>
        <v>S-1</v>
      </c>
      <c r="Z286" s="3" t="str">
        <f ca="1">IFERROR(__xludf.DUMMYFUNCTION("""COMPUTED_VALUE"""),"22 Tahun 1 Bulan 27 Hari")</f>
        <v>22 Tahun 1 Bulan 27 Hari</v>
      </c>
      <c r="AA286" s="8">
        <f ca="1">IFERROR(__xludf.DUMMYFUNCTION("""COMPUTED_VALUE"""),49491)</f>
        <v>49491</v>
      </c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4"/>
      <c r="AR286" s="3"/>
      <c r="AS286" s="4"/>
      <c r="AT286" s="3"/>
      <c r="AU286" s="3"/>
    </row>
    <row r="287" spans="1:47" x14ac:dyDescent="0.2">
      <c r="A287" s="12">
        <v>286</v>
      </c>
      <c r="B287" s="3" t="str">
        <f ca="1">IFERROR(__xludf.DUMMYFUNCTION("""COMPUTED_VALUE"""),"Restiti Winarni")</f>
        <v>Restiti Winarni</v>
      </c>
      <c r="C287" s="3" t="str">
        <f ca="1">IFERROR(__xludf.DUMMYFUNCTION("""COMPUTED_VALUE"""),"Restiti Winarni, A.Md.")</f>
        <v>Restiti Winarni, A.Md.</v>
      </c>
      <c r="D287" s="3" t="str">
        <f ca="1">IFERROR(__xludf.DUMMYFUNCTION("""COMPUTED_VALUE"""),"Restiti Winarni, A.Md.")</f>
        <v>Restiti Winarni, A.Md.</v>
      </c>
      <c r="E287" s="3" t="str">
        <f ca="1">IFERROR(__xludf.DUMMYFUNCTION("""COMPUTED_VALUE"""),"197611112005012003")</f>
        <v>197611112005012003</v>
      </c>
      <c r="F287" s="3" t="str">
        <f ca="1">IFERROR(__xludf.DUMMYFUNCTION("""COMPUTED_VALUE"""),"19761111 200501 2 003")</f>
        <v>19761111 200501 2 003</v>
      </c>
      <c r="G287" s="3"/>
      <c r="H287" s="3"/>
      <c r="I287" s="3" t="str">
        <f ca="1">IFERROR(__xludf.DUMMYFUNCTION("""COMPUTED_VALUE"""),"PNS")</f>
        <v>PNS</v>
      </c>
      <c r="J287" s="3" t="str">
        <f ca="1">IFERROR(__xludf.DUMMYFUNCTION("""COMPUTED_VALUE"""),"Pegawai PNS")</f>
        <v>Pegawai PNS</v>
      </c>
      <c r="K287" s="5" t="str">
        <f ca="1">IFERROR(__xludf.DUMMYFUNCTION("""COMPUTED_VALUE"""),"P")</f>
        <v>P</v>
      </c>
      <c r="L287" s="3" t="str">
        <f ca="1">IFERROR(__xludf.DUMMYFUNCTION("""COMPUTED_VALUE"""),"Banyumas")</f>
        <v>Banyumas</v>
      </c>
      <c r="M287" s="9">
        <f ca="1">IFERROR(__xludf.DUMMYFUNCTION("""COMPUTED_VALUE"""),28075)</f>
        <v>28075</v>
      </c>
      <c r="N287" s="4" t="str">
        <f ca="1">IFERROR(__xludf.DUMMYFUNCTION("""COMPUTED_VALUE"""),"Penata")</f>
        <v>Penata</v>
      </c>
      <c r="O287" s="3" t="str">
        <f ca="1">IFERROR(__xludf.DUMMYFUNCTION("""COMPUTED_VALUE"""),"III/c")</f>
        <v>III/c</v>
      </c>
      <c r="P287" s="7">
        <f ca="1">IFERROR(__xludf.DUMMYFUNCTION("""COMPUTED_VALUE"""),44652)</f>
        <v>44652</v>
      </c>
      <c r="Q287" s="3" t="str">
        <f ca="1">IFERROR(__xludf.DUMMYFUNCTION("""COMPUTED_VALUE"""),"1093/Un.19/R/KP.07.2/04/2022")</f>
        <v>1093/Un.19/R/KP.07.2/04/2022</v>
      </c>
      <c r="R287" s="3" t="str">
        <f ca="1">IFERROR(__xludf.DUMMYFUNCTION("""COMPUTED_VALUE"""),"Arsiparis")</f>
        <v>Arsiparis</v>
      </c>
      <c r="S287" s="3" t="str">
        <f ca="1">IFERROR(__xludf.DUMMYFUNCTION("""COMPUTED_VALUE"""),"Terampil")</f>
        <v>Terampil</v>
      </c>
      <c r="T287" s="7">
        <f ca="1">IFERROR(__xludf.DUMMYFUNCTION("""COMPUTED_VALUE"""),45078)</f>
        <v>45078</v>
      </c>
      <c r="U287" s="3" t="str">
        <f ca="1">IFERROR(__xludf.DUMMYFUNCTION("""COMPUTED_VALUE"""),"012250/B.II/3/2023")</f>
        <v>012250/B.II/3/2023</v>
      </c>
      <c r="V287" s="7">
        <f ca="1">IFERROR(__xludf.DUMMYFUNCTION("""COMPUTED_VALUE"""),45077)</f>
        <v>45077</v>
      </c>
      <c r="W287" s="3">
        <f ca="1">IFERROR(__xludf.DUMMYFUNCTION("""COMPUTED_VALUE"""),6)</f>
        <v>6</v>
      </c>
      <c r="X287" s="3"/>
      <c r="Y287" s="3" t="str">
        <f ca="1">IFERROR(__xludf.DUMMYFUNCTION("""COMPUTED_VALUE"""),"D-3")</f>
        <v>D-3</v>
      </c>
      <c r="Z287" s="3" t="str">
        <f ca="1">IFERROR(__xludf.DUMMYFUNCTION("""COMPUTED_VALUE"""),"21 Tahun 0 Bulan 27 Hari")</f>
        <v>21 Tahun 0 Bulan 27 Hari</v>
      </c>
      <c r="AA287" s="8">
        <f ca="1">IFERROR(__xludf.DUMMYFUNCTION("""COMPUTED_VALUE"""),50010)</f>
        <v>50010</v>
      </c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4"/>
      <c r="AR287" s="3"/>
      <c r="AS287" s="4"/>
      <c r="AT287" s="3"/>
      <c r="AU287" s="3"/>
    </row>
    <row r="288" spans="1:47" x14ac:dyDescent="0.2">
      <c r="A288" s="12">
        <v>287</v>
      </c>
      <c r="B288" s="3" t="str">
        <f ca="1">IFERROR(__xludf.DUMMYFUNCTION("""COMPUTED_VALUE"""),"Riesa Putri Arumndati")</f>
        <v>Riesa Putri Arumndati</v>
      </c>
      <c r="C288" s="3" t="str">
        <f ca="1">IFERROR(__xludf.DUMMYFUNCTION("""COMPUTED_VALUE"""),"Riesa Putri Arumndati, S.E.I.")</f>
        <v>Riesa Putri Arumndati, S.E.I.</v>
      </c>
      <c r="D288" s="3" t="str">
        <f ca="1">IFERROR(__xludf.DUMMYFUNCTION("""COMPUTED_VALUE"""),"Riesa Putri Arumndati, S.E.I.")</f>
        <v>Riesa Putri Arumndati, S.E.I.</v>
      </c>
      <c r="E288" s="3" t="str">
        <f ca="1">IFERROR(__xludf.DUMMYFUNCTION("""COMPUTED_VALUE"""),"198510132011012010")</f>
        <v>198510132011012010</v>
      </c>
      <c r="F288" s="3" t="str">
        <f ca="1">IFERROR(__xludf.DUMMYFUNCTION("""COMPUTED_VALUE"""),"19851013 201101 2 010")</f>
        <v>19851013 201101 2 010</v>
      </c>
      <c r="G288" s="3"/>
      <c r="H288" s="3"/>
      <c r="I288" s="3" t="str">
        <f ca="1">IFERROR(__xludf.DUMMYFUNCTION("""COMPUTED_VALUE"""),"PNS")</f>
        <v>PNS</v>
      </c>
      <c r="J288" s="3" t="str">
        <f ca="1">IFERROR(__xludf.DUMMYFUNCTION("""COMPUTED_VALUE"""),"Pegawai PNS")</f>
        <v>Pegawai PNS</v>
      </c>
      <c r="K288" s="5" t="str">
        <f ca="1">IFERROR(__xludf.DUMMYFUNCTION("""COMPUTED_VALUE"""),"P")</f>
        <v>P</v>
      </c>
      <c r="L288" s="3" t="str">
        <f ca="1">IFERROR(__xludf.DUMMYFUNCTION("""COMPUTED_VALUE"""),"Purwokerto")</f>
        <v>Purwokerto</v>
      </c>
      <c r="M288" s="9">
        <f ca="1">IFERROR(__xludf.DUMMYFUNCTION("""COMPUTED_VALUE"""),31333)</f>
        <v>31333</v>
      </c>
      <c r="N288" s="4" t="str">
        <f ca="1">IFERROR(__xludf.DUMMYFUNCTION("""COMPUTED_VALUE"""),"Penata Tk.I")</f>
        <v>Penata Tk.I</v>
      </c>
      <c r="O288" s="3" t="str">
        <f ca="1">IFERROR(__xludf.DUMMYFUNCTION("""COMPUTED_VALUE"""),"III/d")</f>
        <v>III/d</v>
      </c>
      <c r="P288" s="7">
        <f ca="1">IFERROR(__xludf.DUMMYFUNCTION("""COMPUTED_VALUE"""),45017)</f>
        <v>45017</v>
      </c>
      <c r="Q288" s="3" t="str">
        <f ca="1">IFERROR(__xludf.DUMMYFUNCTION("""COMPUTED_VALUE"""),"8232/Kw.11.1/3/KP.07.1/02/2023")</f>
        <v>8232/Kw.11.1/3/KP.07.1/02/2023</v>
      </c>
      <c r="R288" s="3" t="str">
        <f ca="1">IFERROR(__xludf.DUMMYFUNCTION("""COMPUTED_VALUE"""),"Pengelola Layanan Operasional")</f>
        <v>Pengelola Layanan Operasional</v>
      </c>
      <c r="S288" s="3" t="str">
        <f ca="1">IFERROR(__xludf.DUMMYFUNCTION("""COMPUTED_VALUE"""),"Pelaksana")</f>
        <v>Pelaksana</v>
      </c>
      <c r="T288" s="3"/>
      <c r="U288" s="3"/>
      <c r="V288" s="3"/>
      <c r="W288" s="3">
        <f ca="1">IFERROR(__xludf.DUMMYFUNCTION("""COMPUTED_VALUE"""),6)</f>
        <v>6</v>
      </c>
      <c r="X288" s="3"/>
      <c r="Y288" s="3" t="str">
        <f ca="1">IFERROR(__xludf.DUMMYFUNCTION("""COMPUTED_VALUE"""),"S-1")</f>
        <v>S-1</v>
      </c>
      <c r="Z288" s="3" t="str">
        <f ca="1">IFERROR(__xludf.DUMMYFUNCTION("""COMPUTED_VALUE"""),"15 Tahun 0 Bulan 27 Hari")</f>
        <v>15 Tahun 0 Bulan 27 Hari</v>
      </c>
      <c r="AA288" s="8">
        <f ca="1">IFERROR(__xludf.DUMMYFUNCTION("""COMPUTED_VALUE"""),52536)</f>
        <v>52536</v>
      </c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4"/>
      <c r="AR288" s="3"/>
      <c r="AS288" s="4"/>
      <c r="AT288" s="3"/>
      <c r="AU288" s="3"/>
    </row>
    <row r="289" spans="1:47" x14ac:dyDescent="0.2">
      <c r="A289" s="12">
        <v>288</v>
      </c>
      <c r="B289" s="3" t="str">
        <f ca="1">IFERROR(__xludf.DUMMYFUNCTION("""COMPUTED_VALUE"""),"Rofina Dienasari")</f>
        <v>Rofina Dienasari</v>
      </c>
      <c r="C289" s="3" t="str">
        <f ca="1">IFERROR(__xludf.DUMMYFUNCTION("""COMPUTED_VALUE"""),"Rofina Dienasari, S.H.I., M.H.")</f>
        <v>Rofina Dienasari, S.H.I., M.H.</v>
      </c>
      <c r="D289" s="3" t="str">
        <f ca="1">IFERROR(__xludf.DUMMYFUNCTION("""COMPUTED_VALUE"""),"Rofina Dienasari, S.H.I., M.H.")</f>
        <v>Rofina Dienasari, S.H.I., M.H.</v>
      </c>
      <c r="E289" s="3" t="str">
        <f ca="1">IFERROR(__xludf.DUMMYFUNCTION("""COMPUTED_VALUE"""),"198411272011012014")</f>
        <v>198411272011012014</v>
      </c>
      <c r="F289" s="3" t="str">
        <f ca="1">IFERROR(__xludf.DUMMYFUNCTION("""COMPUTED_VALUE"""),"19841127 201101 2 014")</f>
        <v>19841127 201101 2 014</v>
      </c>
      <c r="G289" s="3"/>
      <c r="H289" s="3"/>
      <c r="I289" s="3" t="str">
        <f ca="1">IFERROR(__xludf.DUMMYFUNCTION("""COMPUTED_VALUE"""),"PNS")</f>
        <v>PNS</v>
      </c>
      <c r="J289" s="3" t="str">
        <f ca="1">IFERROR(__xludf.DUMMYFUNCTION("""COMPUTED_VALUE"""),"Pegawai PNS")</f>
        <v>Pegawai PNS</v>
      </c>
      <c r="K289" s="5" t="str">
        <f ca="1">IFERROR(__xludf.DUMMYFUNCTION("""COMPUTED_VALUE"""),"P")</f>
        <v>P</v>
      </c>
      <c r="L289" s="3" t="str">
        <f ca="1">IFERROR(__xludf.DUMMYFUNCTION("""COMPUTED_VALUE"""),"Banyumas")</f>
        <v>Banyumas</v>
      </c>
      <c r="M289" s="9">
        <f ca="1">IFERROR(__xludf.DUMMYFUNCTION("""COMPUTED_VALUE"""),31013)</f>
        <v>31013</v>
      </c>
      <c r="N289" s="4" t="str">
        <f ca="1">IFERROR(__xludf.DUMMYFUNCTION("""COMPUTED_VALUE"""),"Penata Tk.I")</f>
        <v>Penata Tk.I</v>
      </c>
      <c r="O289" s="3" t="str">
        <f ca="1">IFERROR(__xludf.DUMMYFUNCTION("""COMPUTED_VALUE"""),"III/d")</f>
        <v>III/d</v>
      </c>
      <c r="P289" s="7">
        <f ca="1">IFERROR(__xludf.DUMMYFUNCTION("""COMPUTED_VALUE"""),45200)</f>
        <v>45200</v>
      </c>
      <c r="Q289" s="3" t="str">
        <f ca="1">IFERROR(__xludf.DUMMYFUNCTION("""COMPUTED_VALUE"""),"115379/B.II/3/2023")</f>
        <v>115379/B.II/3/2023</v>
      </c>
      <c r="R289" s="3" t="str">
        <f ca="1">IFERROR(__xludf.DUMMYFUNCTION("""COMPUTED_VALUE"""),"Arsiparis")</f>
        <v>Arsiparis</v>
      </c>
      <c r="S289" s="3" t="str">
        <f ca="1">IFERROR(__xludf.DUMMYFUNCTION("""COMPUTED_VALUE"""),"Ahli Muda")</f>
        <v>Ahli Muda</v>
      </c>
      <c r="T289" s="7">
        <f ca="1">IFERROR(__xludf.DUMMYFUNCTION("""COMPUTED_VALUE"""),45293)</f>
        <v>45293</v>
      </c>
      <c r="U289" s="3" t="str">
        <f ca="1">IFERROR(__xludf.DUMMYFUNCTION("""COMPUTED_VALUE"""),"167/Un.19/K.AUPK/KP.07.6/1/2024")</f>
        <v>167/Un.19/K.AUPK/KP.07.6/1/2024</v>
      </c>
      <c r="V289" s="7">
        <f ca="1">IFERROR(__xludf.DUMMYFUNCTION("""COMPUTED_VALUE"""),45293)</f>
        <v>45293</v>
      </c>
      <c r="W289" s="3">
        <f ca="1">IFERROR(__xludf.DUMMYFUNCTION("""COMPUTED_VALUE"""),9)</f>
        <v>9</v>
      </c>
      <c r="X289" s="7" t="str">
        <f ca="1">IFERROR(__xludf.DUMMYFUNCTION("""COMPUTED_VALUE"""),"Ketua Tim Kerja Pengelolaan Barang Milik Negara")</f>
        <v>Ketua Tim Kerja Pengelolaan Barang Milik Negara</v>
      </c>
      <c r="Y289" s="3" t="str">
        <f ca="1">IFERROR(__xludf.DUMMYFUNCTION("""COMPUTED_VALUE"""),"S-2")</f>
        <v>S-2</v>
      </c>
      <c r="Z289" s="3" t="str">
        <f ca="1">IFERROR(__xludf.DUMMYFUNCTION("""COMPUTED_VALUE"""),"15 Tahun 0 Bulan 27 Hari")</f>
        <v>15 Tahun 0 Bulan 27 Hari</v>
      </c>
      <c r="AA289" s="8">
        <f ca="1">IFERROR(__xludf.DUMMYFUNCTION("""COMPUTED_VALUE"""),52201)</f>
        <v>52201</v>
      </c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4"/>
      <c r="AR289" s="3"/>
      <c r="AS289" s="4"/>
      <c r="AT289" s="3"/>
      <c r="AU289" s="3"/>
    </row>
    <row r="290" spans="1:47" x14ac:dyDescent="0.2">
      <c r="A290" s="12">
        <v>289</v>
      </c>
      <c r="B290" s="3" t="str">
        <f ca="1">IFERROR(__xludf.DUMMYFUNCTION("""COMPUTED_VALUE"""),"Rusmin Priyono")</f>
        <v>Rusmin Priyono</v>
      </c>
      <c r="C290" s="3" t="str">
        <f ca="1">IFERROR(__xludf.DUMMYFUNCTION("""COMPUTED_VALUE"""),"Rusmin Priyono")</f>
        <v>Rusmin Priyono</v>
      </c>
      <c r="D290" s="3" t="str">
        <f ca="1">IFERROR(__xludf.DUMMYFUNCTION("""COMPUTED_VALUE"""),"Rusmin Priyono")</f>
        <v>Rusmin Priyono</v>
      </c>
      <c r="E290" s="3" t="str">
        <f ca="1">IFERROR(__xludf.DUMMYFUNCTION("""COMPUTED_VALUE"""),"196901062000031003")</f>
        <v>196901062000031003</v>
      </c>
      <c r="F290" s="3" t="str">
        <f ca="1">IFERROR(__xludf.DUMMYFUNCTION("""COMPUTED_VALUE"""),"19690106 200003 1 003")</f>
        <v>19690106 200003 1 003</v>
      </c>
      <c r="G290" s="3"/>
      <c r="H290" s="3"/>
      <c r="I290" s="3" t="str">
        <f ca="1">IFERROR(__xludf.DUMMYFUNCTION("""COMPUTED_VALUE"""),"PNS")</f>
        <v>PNS</v>
      </c>
      <c r="J290" s="3" t="str">
        <f ca="1">IFERROR(__xludf.DUMMYFUNCTION("""COMPUTED_VALUE"""),"Pegawai PNS")</f>
        <v>Pegawai PNS</v>
      </c>
      <c r="K290" s="5" t="str">
        <f ca="1">IFERROR(__xludf.DUMMYFUNCTION("""COMPUTED_VALUE"""),"L")</f>
        <v>L</v>
      </c>
      <c r="L290" s="3" t="str">
        <f ca="1">IFERROR(__xludf.DUMMYFUNCTION("""COMPUTED_VALUE"""),"Banyumas")</f>
        <v>Banyumas</v>
      </c>
      <c r="M290" s="7">
        <f ca="1">IFERROR(__xludf.DUMMYFUNCTION("""COMPUTED_VALUE"""),25209)</f>
        <v>25209</v>
      </c>
      <c r="N290" s="4" t="str">
        <f ca="1">IFERROR(__xludf.DUMMYFUNCTION("""COMPUTED_VALUE"""),"Penata Muda Tk.I")</f>
        <v>Penata Muda Tk.I</v>
      </c>
      <c r="O290" s="3" t="str">
        <f ca="1">IFERROR(__xludf.DUMMYFUNCTION("""COMPUTED_VALUE"""),"III/b")</f>
        <v>III/b</v>
      </c>
      <c r="P290" s="7">
        <f ca="1">IFERROR(__xludf.DUMMYFUNCTION("""COMPUTED_VALUE"""),43922)</f>
        <v>43922</v>
      </c>
      <c r="Q290" s="3" t="str">
        <f ca="1">IFERROR(__xludf.DUMMYFUNCTION("""COMPUTED_VALUE"""),"553/In.17/R/KP.07.1/3/2020")</f>
        <v>553/In.17/R/KP.07.1/3/2020</v>
      </c>
      <c r="R290" s="3" t="str">
        <f ca="1">IFERROR(__xludf.DUMMYFUNCTION("""COMPUTED_VALUE"""),"‌Pengadministrasi Perkantoran")</f>
        <v>‌Pengadministrasi Perkantoran</v>
      </c>
      <c r="S290" s="3" t="str">
        <f ca="1">IFERROR(__xludf.DUMMYFUNCTION("""COMPUTED_VALUE"""),"Pelaksana")</f>
        <v>Pelaksana</v>
      </c>
      <c r="T290" s="7">
        <f ca="1">IFERROR(__xludf.DUMMYFUNCTION("""COMPUTED_VALUE"""),45842)</f>
        <v>45842</v>
      </c>
      <c r="U290" s="3" t="str">
        <f ca="1">IFERROR(__xludf.DUMMYFUNCTION("""COMPUTED_VALUE"""),"192020/B.II/KP.07/07/2025")</f>
        <v>192020/B.II/KP.07/07/2025</v>
      </c>
      <c r="V290" s="7">
        <f ca="1">IFERROR(__xludf.DUMMYFUNCTION("""COMPUTED_VALUE"""),45842)</f>
        <v>45842</v>
      </c>
      <c r="W290" s="3">
        <f ca="1">IFERROR(__xludf.DUMMYFUNCTION("""COMPUTED_VALUE"""),5)</f>
        <v>5</v>
      </c>
      <c r="X290" s="3"/>
      <c r="Y290" s="3" t="str">
        <f ca="1">IFERROR(__xludf.DUMMYFUNCTION("""COMPUTED_VALUE"""),"PGA")</f>
        <v>PGA</v>
      </c>
      <c r="Z290" s="3" t="str">
        <f ca="1">IFERROR(__xludf.DUMMYFUNCTION("""COMPUTED_VALUE"""),"25 Tahun 10 Bulan 27 Hari")</f>
        <v>25 Tahun 10 Bulan 27 Hari</v>
      </c>
      <c r="AA290" s="8">
        <f ca="1">IFERROR(__xludf.DUMMYFUNCTION("""COMPUTED_VALUE"""),46419)</f>
        <v>46419</v>
      </c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4"/>
      <c r="AR290" s="3"/>
      <c r="AS290" s="4"/>
      <c r="AT290" s="3"/>
      <c r="AU290" s="3"/>
    </row>
    <row r="291" spans="1:47" x14ac:dyDescent="0.2">
      <c r="A291" s="12">
        <v>290</v>
      </c>
      <c r="B291" s="3" t="str">
        <f ca="1">IFERROR(__xludf.DUMMYFUNCTION("""COMPUTED_VALUE"""),"Safrudin Aziz")</f>
        <v>Safrudin Aziz</v>
      </c>
      <c r="C291" s="3" t="str">
        <f ca="1">IFERROR(__xludf.DUMMYFUNCTION("""COMPUTED_VALUE"""),"Safrudin Aziz, S.IPI., M.Pd.I.")</f>
        <v>Safrudin Aziz, S.IPI., M.Pd.I.</v>
      </c>
      <c r="D291" s="3" t="str">
        <f ca="1">IFERROR(__xludf.DUMMYFUNCTION("""COMPUTED_VALUE"""),"Safrudin Aziz, S.IPI., M.Pd.I.")</f>
        <v>Safrudin Aziz, S.IPI., M.Pd.I.</v>
      </c>
      <c r="E291" s="3" t="str">
        <f ca="1">IFERROR(__xludf.DUMMYFUNCTION("""COMPUTED_VALUE"""),"198402262005011001")</f>
        <v>198402262005011001</v>
      </c>
      <c r="F291" s="3" t="str">
        <f ca="1">IFERROR(__xludf.DUMMYFUNCTION("""COMPUTED_VALUE"""),"19840226 200501 1 001")</f>
        <v>19840226 200501 1 001</v>
      </c>
      <c r="G291" s="3"/>
      <c r="H291" s="3"/>
      <c r="I291" s="3" t="str">
        <f ca="1">IFERROR(__xludf.DUMMYFUNCTION("""COMPUTED_VALUE"""),"PNS")</f>
        <v>PNS</v>
      </c>
      <c r="J291" s="3" t="str">
        <f ca="1">IFERROR(__xludf.DUMMYFUNCTION("""COMPUTED_VALUE"""),"Pegawai PNS")</f>
        <v>Pegawai PNS</v>
      </c>
      <c r="K291" s="5" t="str">
        <f ca="1">IFERROR(__xludf.DUMMYFUNCTION("""COMPUTED_VALUE"""),"L")</f>
        <v>L</v>
      </c>
      <c r="L291" s="3" t="str">
        <f ca="1">IFERROR(__xludf.DUMMYFUNCTION("""COMPUTED_VALUE"""),"Cilacap")</f>
        <v>Cilacap</v>
      </c>
      <c r="M291" s="7">
        <f ca="1">IFERROR(__xludf.DUMMYFUNCTION("""COMPUTED_VALUE"""),30738)</f>
        <v>30738</v>
      </c>
      <c r="N291" s="4" t="str">
        <f ca="1">IFERROR(__xludf.DUMMYFUNCTION("""COMPUTED_VALUE"""),"Penata Tk.I")</f>
        <v>Penata Tk.I</v>
      </c>
      <c r="O291" s="3" t="str">
        <f ca="1">IFERROR(__xludf.DUMMYFUNCTION("""COMPUTED_VALUE"""),"III/d")</f>
        <v>III/d</v>
      </c>
      <c r="P291" s="7">
        <f ca="1">IFERROR(__xludf.DUMMYFUNCTION("""COMPUTED_VALUE"""),43922)</f>
        <v>43922</v>
      </c>
      <c r="Q291" s="3" t="str">
        <f ca="1">IFERROR(__xludf.DUMMYFUNCTION("""COMPUTED_VALUE"""),"11733/B.II/3/2020")</f>
        <v>11733/B.II/3/2020</v>
      </c>
      <c r="R291" s="3" t="str">
        <f ca="1">IFERROR(__xludf.DUMMYFUNCTION("""COMPUTED_VALUE"""),"Pengembang Teknologi Pembelajaran")</f>
        <v>Pengembang Teknologi Pembelajaran</v>
      </c>
      <c r="S291" s="3" t="str">
        <f ca="1">IFERROR(__xludf.DUMMYFUNCTION("""COMPUTED_VALUE"""),"Ahli Muda")</f>
        <v>Ahli Muda</v>
      </c>
      <c r="T291" s="7">
        <f ca="1">IFERROR(__xludf.DUMMYFUNCTION("""COMPUTED_VALUE"""),45293)</f>
        <v>45293</v>
      </c>
      <c r="U291" s="3" t="str">
        <f ca="1">IFERROR(__xludf.DUMMYFUNCTION("""COMPUTED_VALUE"""),"166/Un.19/K.AUPK/KP.07.6/1/2024")</f>
        <v>166/Un.19/K.AUPK/KP.07.6/1/2024</v>
      </c>
      <c r="V291" s="7">
        <f ca="1">IFERROR(__xludf.DUMMYFUNCTION("""COMPUTED_VALUE"""),45293)</f>
        <v>45293</v>
      </c>
      <c r="W291" s="3">
        <f ca="1">IFERROR(__xludf.DUMMYFUNCTION("""COMPUTED_VALUE"""),10)</f>
        <v>10</v>
      </c>
      <c r="X291" s="7" t="str">
        <f ca="1">IFERROR(__xludf.DUMMYFUNCTION("""COMPUTED_VALUE"""),"Ketua Tim Kerja Hubungan Masyarakat")</f>
        <v>Ketua Tim Kerja Hubungan Masyarakat</v>
      </c>
      <c r="Y291" s="3" t="str">
        <f ca="1">IFERROR(__xludf.DUMMYFUNCTION("""COMPUTED_VALUE"""),"S-2")</f>
        <v>S-2</v>
      </c>
      <c r="Z291" s="3" t="str">
        <f ca="1">IFERROR(__xludf.DUMMYFUNCTION("""COMPUTED_VALUE"""),"21 Tahun 0 Bulan 27 Hari")</f>
        <v>21 Tahun 0 Bulan 27 Hari</v>
      </c>
      <c r="AA291" s="8">
        <f ca="1">IFERROR(__xludf.DUMMYFUNCTION("""COMPUTED_VALUE"""),51926)</f>
        <v>51926</v>
      </c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4"/>
      <c r="AR291" s="3"/>
      <c r="AS291" s="4"/>
      <c r="AT291" s="3"/>
      <c r="AU291" s="3"/>
    </row>
    <row r="292" spans="1:47" x14ac:dyDescent="0.2">
      <c r="A292" s="12">
        <v>291</v>
      </c>
      <c r="B292" s="3" t="str">
        <f ca="1">IFERROR(__xludf.DUMMYFUNCTION("""COMPUTED_VALUE"""),"Sapuan")</f>
        <v>Sapuan</v>
      </c>
      <c r="C292" s="3" t="str">
        <f ca="1">IFERROR(__xludf.DUMMYFUNCTION("""COMPUTED_VALUE"""),"H. Sapuan, S.Ag., M.H.")</f>
        <v>H. Sapuan, S.Ag., M.H.</v>
      </c>
      <c r="D292" s="3" t="str">
        <f ca="1">IFERROR(__xludf.DUMMYFUNCTION("""COMPUTED_VALUE"""),"H. Sapuan, S.Ag., M.H.")</f>
        <v>H. Sapuan, S.Ag., M.H.</v>
      </c>
      <c r="E292" s="3" t="str">
        <f ca="1">IFERROR(__xludf.DUMMYFUNCTION("""COMPUTED_VALUE"""),"197109282003121001")</f>
        <v>197109282003121001</v>
      </c>
      <c r="F292" s="3" t="str">
        <f ca="1">IFERROR(__xludf.DUMMYFUNCTION("""COMPUTED_VALUE"""),"19710928 200312 1 001")</f>
        <v>19710928 200312 1 001</v>
      </c>
      <c r="G292" s="3"/>
      <c r="H292" s="3"/>
      <c r="I292" s="3" t="str">
        <f ca="1">IFERROR(__xludf.DUMMYFUNCTION("""COMPUTED_VALUE"""),"PNS")</f>
        <v>PNS</v>
      </c>
      <c r="J292" s="3" t="str">
        <f ca="1">IFERROR(__xludf.DUMMYFUNCTION("""COMPUTED_VALUE"""),"Pegawai PNS")</f>
        <v>Pegawai PNS</v>
      </c>
      <c r="K292" s="5" t="str">
        <f ca="1">IFERROR(__xludf.DUMMYFUNCTION("""COMPUTED_VALUE"""),"L")</f>
        <v>L</v>
      </c>
      <c r="L292" s="3" t="str">
        <f ca="1">IFERROR(__xludf.DUMMYFUNCTION("""COMPUTED_VALUE"""),"Demak")</f>
        <v>Demak</v>
      </c>
      <c r="M292" s="7">
        <f ca="1">IFERROR(__xludf.DUMMYFUNCTION("""COMPUTED_VALUE"""),26204)</f>
        <v>26204</v>
      </c>
      <c r="N292" s="4" t="str">
        <f ca="1">IFERROR(__xludf.DUMMYFUNCTION("""COMPUTED_VALUE"""),"Pembina Tk.I")</f>
        <v>Pembina Tk.I</v>
      </c>
      <c r="O292" s="3" t="str">
        <f ca="1">IFERROR(__xludf.DUMMYFUNCTION("""COMPUTED_VALUE"""),"IV/b")</f>
        <v>IV/b</v>
      </c>
      <c r="P292" s="7">
        <f ca="1">IFERROR(__xludf.DUMMYFUNCTION("""COMPUTED_VALUE"""),45383)</f>
        <v>45383</v>
      </c>
      <c r="Q292" s="3" t="str">
        <f ca="1">IFERROR(__xludf.DUMMYFUNCTION("""COMPUTED_VALUE"""),"012601/B.II/3/2024")</f>
        <v>012601/B.II/3/2024</v>
      </c>
      <c r="R292" s="3" t="str">
        <f ca="1">IFERROR(__xludf.DUMMYFUNCTION("""COMPUTED_VALUE"""),"Kepala Bagian Tata Usaha")</f>
        <v>Kepala Bagian Tata Usaha</v>
      </c>
      <c r="S292" s="3" t="str">
        <f ca="1">IFERROR(__xludf.DUMMYFUNCTION("""COMPUTED_VALUE"""),"Administrator")</f>
        <v>Administrator</v>
      </c>
      <c r="T292" s="7">
        <f ca="1">IFERROR(__xludf.DUMMYFUNCTION("""COMPUTED_VALUE"""),45481)</f>
        <v>45481</v>
      </c>
      <c r="U292" s="3" t="str">
        <f ca="1">IFERROR(__xludf.DUMMYFUNCTION("""COMPUTED_VALUE"""),"028660/B.II/3/2024")</f>
        <v>028660/B.II/3/2024</v>
      </c>
      <c r="V292" s="7">
        <f ca="1">IFERROR(__xludf.DUMMYFUNCTION("""COMPUTED_VALUE"""),45475)</f>
        <v>45475</v>
      </c>
      <c r="W292" s="3">
        <f ca="1">IFERROR(__xludf.DUMMYFUNCTION("""COMPUTED_VALUE"""),11)</f>
        <v>11</v>
      </c>
      <c r="X292" s="7" t="str">
        <f ca="1">IFERROR(__xludf.DUMMYFUNCTION("""COMPUTED_VALUE"""),"Kepala Bagian Tata Usaha Fakultas Dakwah")</f>
        <v>Kepala Bagian Tata Usaha Fakultas Dakwah</v>
      </c>
      <c r="Y292" s="3" t="str">
        <f ca="1">IFERROR(__xludf.DUMMYFUNCTION("""COMPUTED_VALUE"""),"S-2")</f>
        <v>S-2</v>
      </c>
      <c r="Z292" s="3" t="str">
        <f ca="1">IFERROR(__xludf.DUMMYFUNCTION("""COMPUTED_VALUE"""),"22 Tahun 1 Bulan 27 Hari")</f>
        <v>22 Tahun 1 Bulan 27 Hari</v>
      </c>
      <c r="AA292" s="8">
        <f ca="1">IFERROR(__xludf.DUMMYFUNCTION("""COMPUTED_VALUE"""),47392)</f>
        <v>47392</v>
      </c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4"/>
      <c r="AR292" s="3"/>
      <c r="AS292" s="4"/>
      <c r="AT292" s="3"/>
      <c r="AU292" s="3"/>
    </row>
    <row r="293" spans="1:47" x14ac:dyDescent="0.2">
      <c r="A293" s="12">
        <v>292</v>
      </c>
      <c r="B293" s="3" t="str">
        <f ca="1">IFERROR(__xludf.DUMMYFUNCTION("""COMPUTED_VALUE"""),"Silahul Muthmainnah")</f>
        <v>Silahul Muthmainnah</v>
      </c>
      <c r="C293" s="3" t="str">
        <f ca="1">IFERROR(__xludf.DUMMYFUNCTION("""COMPUTED_VALUE"""),"Silahul Muthmainnah, S.E.Sy.")</f>
        <v>Silahul Muthmainnah, S.E.Sy.</v>
      </c>
      <c r="D293" s="3" t="str">
        <f ca="1">IFERROR(__xludf.DUMMYFUNCTION("""COMPUTED_VALUE"""),"Silahul Muthmainnah, S.E.Sy.")</f>
        <v>Silahul Muthmainnah, S.E.Sy.</v>
      </c>
      <c r="E293" s="3" t="str">
        <f ca="1">IFERROR(__xludf.DUMMYFUNCTION("""COMPUTED_VALUE"""),"199211202020122009")</f>
        <v>199211202020122009</v>
      </c>
      <c r="F293" s="3" t="str">
        <f ca="1">IFERROR(__xludf.DUMMYFUNCTION("""COMPUTED_VALUE"""),"‌19921120 202012 2 009")</f>
        <v>‌19921120 202012 2 009</v>
      </c>
      <c r="G293" s="3"/>
      <c r="H293" s="3"/>
      <c r="I293" s="3" t="str">
        <f ca="1">IFERROR(__xludf.DUMMYFUNCTION("""COMPUTED_VALUE"""),"PNS")</f>
        <v>PNS</v>
      </c>
      <c r="J293" s="3" t="str">
        <f ca="1">IFERROR(__xludf.DUMMYFUNCTION("""COMPUTED_VALUE"""),"Pegawai PNS")</f>
        <v>Pegawai PNS</v>
      </c>
      <c r="K293" s="5" t="str">
        <f ca="1">IFERROR(__xludf.DUMMYFUNCTION("""COMPUTED_VALUE"""),"P")</f>
        <v>P</v>
      </c>
      <c r="L293" s="3" t="str">
        <f ca="1">IFERROR(__xludf.DUMMYFUNCTION("""COMPUTED_VALUE"""),"Cilacap")</f>
        <v>Cilacap</v>
      </c>
      <c r="M293" s="9">
        <f ca="1">IFERROR(__xludf.DUMMYFUNCTION("""COMPUTED_VALUE"""),33928)</f>
        <v>33928</v>
      </c>
      <c r="N293" s="4" t="str">
        <f ca="1">IFERROR(__xludf.DUMMYFUNCTION("""COMPUTED_VALUE"""),"Penata Muda Tk.I")</f>
        <v>Penata Muda Tk.I</v>
      </c>
      <c r="O293" s="3" t="str">
        <f ca="1">IFERROR(__xludf.DUMMYFUNCTION("""COMPUTED_VALUE"""),"III/b")</f>
        <v>III/b</v>
      </c>
      <c r="P293" s="7">
        <f ca="1">IFERROR(__xludf.DUMMYFUNCTION("""COMPUTED_VALUE"""),45748)</f>
        <v>45748</v>
      </c>
      <c r="Q293" s="3" t="str">
        <f ca="1">IFERROR(__xludf.DUMMYFUNCTION("""COMPUTED_VALUE"""),"276/Un.19/K.AUPK/KP.11.1/02/2025")</f>
        <v>276/Un.19/K.AUPK/KP.11.1/02/2025</v>
      </c>
      <c r="R293" s="3" t="str">
        <f ca="1">IFERROR(__xludf.DUMMYFUNCTION("""COMPUTED_VALUE"""),"Analis Sumber Daya Manusia Aparatur")</f>
        <v>Analis Sumber Daya Manusia Aparatur</v>
      </c>
      <c r="S293" s="3" t="str">
        <f ca="1">IFERROR(__xludf.DUMMYFUNCTION("""COMPUTED_VALUE"""),"Ahli Pertama")</f>
        <v>Ahli Pertama</v>
      </c>
      <c r="T293" s="7">
        <f ca="1">IFERROR(__xludf.DUMMYFUNCTION("""COMPUTED_VALUE"""),44593)</f>
        <v>44593</v>
      </c>
      <c r="U293" s="3" t="str">
        <f ca="1">IFERROR(__xludf.DUMMYFUNCTION("""COMPUTED_VALUE"""),"002233/B.II/3/2022")</f>
        <v>002233/B.II/3/2022</v>
      </c>
      <c r="V293" s="7">
        <f ca="1">IFERROR(__xludf.DUMMYFUNCTION("""COMPUTED_VALUE"""),44593)</f>
        <v>44593</v>
      </c>
      <c r="W293" s="3">
        <f ca="1">IFERROR(__xludf.DUMMYFUNCTION("""COMPUTED_VALUE"""),8)</f>
        <v>8</v>
      </c>
      <c r="X293" s="3"/>
      <c r="Y293" s="3" t="str">
        <f ca="1">IFERROR(__xludf.DUMMYFUNCTION("""COMPUTED_VALUE"""),"S-1")</f>
        <v>S-1</v>
      </c>
      <c r="Z293" s="3" t="str">
        <f ca="1">IFERROR(__xludf.DUMMYFUNCTION("""COMPUTED_VALUE"""),"5 Tahun 1 Bulan 27 Hari")</f>
        <v>5 Tahun 1 Bulan 27 Hari</v>
      </c>
      <c r="AA293" s="8">
        <f ca="1">IFERROR(__xludf.DUMMYFUNCTION("""COMPUTED_VALUE"""),55123)</f>
        <v>55123</v>
      </c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4"/>
      <c r="AR293" s="3"/>
      <c r="AS293" s="4"/>
      <c r="AT293" s="3"/>
      <c r="AU293" s="3"/>
    </row>
    <row r="294" spans="1:47" x14ac:dyDescent="0.2">
      <c r="A294" s="12">
        <v>293</v>
      </c>
      <c r="B294" s="3" t="str">
        <f ca="1">IFERROR(__xludf.DUMMYFUNCTION("""COMPUTED_VALUE"""),"Siti Farida")</f>
        <v>Siti Farida</v>
      </c>
      <c r="C294" s="3" t="str">
        <f ca="1">IFERROR(__xludf.DUMMYFUNCTION("""COMPUTED_VALUE"""),"Hj. Siti Farida, S.E., M.E.")</f>
        <v>Hj. Siti Farida, S.E., M.E.</v>
      </c>
      <c r="D294" s="3" t="str">
        <f ca="1">IFERROR(__xludf.DUMMYFUNCTION("""COMPUTED_VALUE"""),"Hj. Siti Farida, S.E., M.E.")</f>
        <v>Hj. Siti Farida, S.E., M.E.</v>
      </c>
      <c r="E294" s="3" t="str">
        <f ca="1">IFERROR(__xludf.DUMMYFUNCTION("""COMPUTED_VALUE"""),"197712102008012015")</f>
        <v>197712102008012015</v>
      </c>
      <c r="F294" s="3" t="str">
        <f ca="1">IFERROR(__xludf.DUMMYFUNCTION("""COMPUTED_VALUE"""),"19771210 200801 2 015")</f>
        <v>19771210 200801 2 015</v>
      </c>
      <c r="G294" s="3"/>
      <c r="H294" s="3"/>
      <c r="I294" s="3" t="str">
        <f ca="1">IFERROR(__xludf.DUMMYFUNCTION("""COMPUTED_VALUE"""),"PNS")</f>
        <v>PNS</v>
      </c>
      <c r="J294" s="3" t="str">
        <f ca="1">IFERROR(__xludf.DUMMYFUNCTION("""COMPUTED_VALUE"""),"Pegawai PNS")</f>
        <v>Pegawai PNS</v>
      </c>
      <c r="K294" s="5" t="str">
        <f ca="1">IFERROR(__xludf.DUMMYFUNCTION("""COMPUTED_VALUE"""),"P")</f>
        <v>P</v>
      </c>
      <c r="L294" s="3" t="str">
        <f ca="1">IFERROR(__xludf.DUMMYFUNCTION("""COMPUTED_VALUE"""),"Purwokerto")</f>
        <v>Purwokerto</v>
      </c>
      <c r="M294" s="9">
        <f ca="1">IFERROR(__xludf.DUMMYFUNCTION("""COMPUTED_VALUE"""),28469)</f>
        <v>28469</v>
      </c>
      <c r="N294" s="4" t="str">
        <f ca="1">IFERROR(__xludf.DUMMYFUNCTION("""COMPUTED_VALUE"""),"Pembina")</f>
        <v>Pembina</v>
      </c>
      <c r="O294" s="3" t="str">
        <f ca="1">IFERROR(__xludf.DUMMYFUNCTION("""COMPUTED_VALUE"""),"IV/a")</f>
        <v>IV/a</v>
      </c>
      <c r="P294" s="7">
        <f ca="1">IFERROR(__xludf.DUMMYFUNCTION("""COMPUTED_VALUE"""),45444)</f>
        <v>45444</v>
      </c>
      <c r="Q294" s="3" t="str">
        <f ca="1">IFERROR(__xludf.DUMMYFUNCTION("""COMPUTED_VALUE"""),"631/Un.19/K.AUPK/KP.07.1/04/2024")</f>
        <v>631/Un.19/K.AUPK/KP.07.1/04/2024</v>
      </c>
      <c r="R294" s="3" t="str">
        <f ca="1">IFERROR(__xludf.DUMMYFUNCTION("""COMPUTED_VALUE"""),"Penelaah Teknis Kebijakan")</f>
        <v>Penelaah Teknis Kebijakan</v>
      </c>
      <c r="S294" s="3" t="str">
        <f ca="1">IFERROR(__xludf.DUMMYFUNCTION("""COMPUTED_VALUE"""),"Pelaksana")</f>
        <v>Pelaksana</v>
      </c>
      <c r="T294" s="7">
        <f ca="1">IFERROR(__xludf.DUMMYFUNCTION("""COMPUTED_VALUE"""),45842)</f>
        <v>45842</v>
      </c>
      <c r="U294" s="3" t="str">
        <f ca="1">IFERROR(__xludf.DUMMYFUNCTION("""COMPUTED_VALUE"""),"192037/B.II/KP.07/07/2025")</f>
        <v>192037/B.II/KP.07/07/2025</v>
      </c>
      <c r="V294" s="7">
        <f ca="1">IFERROR(__xludf.DUMMYFUNCTION("""COMPUTED_VALUE"""),45842)</f>
        <v>45842</v>
      </c>
      <c r="W294" s="3">
        <f ca="1">IFERROR(__xludf.DUMMYFUNCTION("""COMPUTED_VALUE"""),7)</f>
        <v>7</v>
      </c>
      <c r="X294" s="7" t="str">
        <f ca="1">IFERROR(__xludf.DUMMYFUNCTION("""COMPUTED_VALUE"""),"Sekretaris pada Satuan Pengawasan Internal")</f>
        <v>Sekretaris pada Satuan Pengawasan Internal</v>
      </c>
      <c r="Y294" s="3" t="str">
        <f ca="1">IFERROR(__xludf.DUMMYFUNCTION("""COMPUTED_VALUE"""),"S-2")</f>
        <v>S-2</v>
      </c>
      <c r="Z294" s="3" t="str">
        <f ca="1">IFERROR(__xludf.DUMMYFUNCTION("""COMPUTED_VALUE"""),"18 Tahun 0 Bulan 27 Hari")</f>
        <v>18 Tahun 0 Bulan 27 Hari</v>
      </c>
      <c r="AA294" s="8">
        <f ca="1">IFERROR(__xludf.DUMMYFUNCTION("""COMPUTED_VALUE"""),49675)</f>
        <v>49675</v>
      </c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4"/>
      <c r="AR294" s="3"/>
      <c r="AS294" s="4"/>
      <c r="AT294" s="3"/>
      <c r="AU294" s="3"/>
    </row>
    <row r="295" spans="1:47" x14ac:dyDescent="0.2">
      <c r="A295" s="12">
        <v>294</v>
      </c>
      <c r="B295" s="3" t="str">
        <f ca="1">IFERROR(__xludf.DUMMYFUNCTION("""COMPUTED_VALUE"""),"Siti Rohmatun")</f>
        <v>Siti Rohmatun</v>
      </c>
      <c r="C295" s="3" t="str">
        <f ca="1">IFERROR(__xludf.DUMMYFUNCTION("""COMPUTED_VALUE"""),"Siti Rohmatun, S.A.P.")</f>
        <v>Siti Rohmatun, S.A.P.</v>
      </c>
      <c r="D295" s="3" t="str">
        <f ca="1">IFERROR(__xludf.DUMMYFUNCTION("""COMPUTED_VALUE"""),"Siti Rohmatun, S.A.P.")</f>
        <v>Siti Rohmatun, S.A.P.</v>
      </c>
      <c r="E295" s="3" t="str">
        <f ca="1">IFERROR(__xludf.DUMMYFUNCTION("""COMPUTED_VALUE"""),"199112242020122015")</f>
        <v>199112242020122015</v>
      </c>
      <c r="F295" s="3" t="str">
        <f ca="1">IFERROR(__xludf.DUMMYFUNCTION("""COMPUTED_VALUE"""),"‌19911224 202012 2 015")</f>
        <v>‌19911224 202012 2 015</v>
      </c>
      <c r="G295" s="3"/>
      <c r="H295" s="3"/>
      <c r="I295" s="3" t="str">
        <f ca="1">IFERROR(__xludf.DUMMYFUNCTION("""COMPUTED_VALUE"""),"PNS")</f>
        <v>PNS</v>
      </c>
      <c r="J295" s="3" t="str">
        <f ca="1">IFERROR(__xludf.DUMMYFUNCTION("""COMPUTED_VALUE"""),"Pegawai PNS")</f>
        <v>Pegawai PNS</v>
      </c>
      <c r="K295" s="5" t="str">
        <f ca="1">IFERROR(__xludf.DUMMYFUNCTION("""COMPUTED_VALUE"""),"P")</f>
        <v>P</v>
      </c>
      <c r="L295" s="3" t="str">
        <f ca="1">IFERROR(__xludf.DUMMYFUNCTION("""COMPUTED_VALUE"""),"Kebumen")</f>
        <v>Kebumen</v>
      </c>
      <c r="M295" s="9">
        <f ca="1">IFERROR(__xludf.DUMMYFUNCTION("""COMPUTED_VALUE"""),33596)</f>
        <v>33596</v>
      </c>
      <c r="N295" s="4" t="str">
        <f ca="1">IFERROR(__xludf.DUMMYFUNCTION("""COMPUTED_VALUE"""),"Penata Muda Tk.I")</f>
        <v>Penata Muda Tk.I</v>
      </c>
      <c r="O295" s="3" t="str">
        <f ca="1">IFERROR(__xludf.DUMMYFUNCTION("""COMPUTED_VALUE"""),"III/b")</f>
        <v>III/b</v>
      </c>
      <c r="P295" s="7">
        <f ca="1">IFERROR(__xludf.DUMMYFUNCTION("""COMPUTED_VALUE"""),45689)</f>
        <v>45689</v>
      </c>
      <c r="Q295" s="3" t="str">
        <f ca="1">IFERROR(__xludf.DUMMYFUNCTION("""COMPUTED_VALUE"""),"223/Un.19/K.AUPK/KP.11.1/01/2025")</f>
        <v>223/Un.19/K.AUPK/KP.11.1/01/2025</v>
      </c>
      <c r="R295" s="3" t="str">
        <f ca="1">IFERROR(__xludf.DUMMYFUNCTION("""COMPUTED_VALUE"""),"Arsiparis")</f>
        <v>Arsiparis</v>
      </c>
      <c r="S295" s="3" t="str">
        <f ca="1">IFERROR(__xludf.DUMMYFUNCTION("""COMPUTED_VALUE"""),"Ahli Pertama")</f>
        <v>Ahli Pertama</v>
      </c>
      <c r="T295" s="7">
        <f ca="1">IFERROR(__xludf.DUMMYFUNCTION("""COMPUTED_VALUE"""),44743)</f>
        <v>44743</v>
      </c>
      <c r="U295" s="3" t="str">
        <f ca="1">IFERROR(__xludf.DUMMYFUNCTION("""COMPUTED_VALUE"""),"021769/B.II/3/2022")</f>
        <v>021769/B.II/3/2022</v>
      </c>
      <c r="V295" s="7">
        <f ca="1">IFERROR(__xludf.DUMMYFUNCTION("""COMPUTED_VALUE"""),44743)</f>
        <v>44743</v>
      </c>
      <c r="W295" s="3">
        <f ca="1">IFERROR(__xludf.DUMMYFUNCTION("""COMPUTED_VALUE"""),8)</f>
        <v>8</v>
      </c>
      <c r="X295" s="3"/>
      <c r="Y295" s="3" t="str">
        <f ca="1">IFERROR(__xludf.DUMMYFUNCTION("""COMPUTED_VALUE"""),"S-1")</f>
        <v>S-1</v>
      </c>
      <c r="Z295" s="3" t="str">
        <f ca="1">IFERROR(__xludf.DUMMYFUNCTION("""COMPUTED_VALUE"""),"5 Tahun 1 Bulan 27 Hari")</f>
        <v>5 Tahun 1 Bulan 27 Hari</v>
      </c>
      <c r="AA295" s="8">
        <f ca="1">IFERROR(__xludf.DUMMYFUNCTION("""COMPUTED_VALUE"""),54789)</f>
        <v>54789</v>
      </c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4"/>
      <c r="AR295" s="3"/>
      <c r="AS295" s="4"/>
      <c r="AT295" s="3"/>
      <c r="AU295" s="3"/>
    </row>
    <row r="296" spans="1:47" x14ac:dyDescent="0.2">
      <c r="A296" s="12">
        <v>295</v>
      </c>
      <c r="B296" s="3" t="str">
        <f ca="1">IFERROR(__xludf.DUMMYFUNCTION("""COMPUTED_VALUE"""),"Slamet Suparyanto")</f>
        <v>Slamet Suparyanto</v>
      </c>
      <c r="C296" s="3" t="str">
        <f ca="1">IFERROR(__xludf.DUMMYFUNCTION("""COMPUTED_VALUE"""),"Slamet Suparyanto")</f>
        <v>Slamet Suparyanto</v>
      </c>
      <c r="D296" s="3" t="str">
        <f ca="1">IFERROR(__xludf.DUMMYFUNCTION("""COMPUTED_VALUE"""),"Slamet Suparyanto")</f>
        <v>Slamet Suparyanto</v>
      </c>
      <c r="E296" s="3" t="str">
        <f ca="1">IFERROR(__xludf.DUMMYFUNCTION("""COMPUTED_VALUE"""),"196904241993031001")</f>
        <v>196904241993031001</v>
      </c>
      <c r="F296" s="3" t="str">
        <f ca="1">IFERROR(__xludf.DUMMYFUNCTION("""COMPUTED_VALUE"""),"19690424 199303 1 001")</f>
        <v>19690424 199303 1 001</v>
      </c>
      <c r="G296" s="3"/>
      <c r="H296" s="3"/>
      <c r="I296" s="3" t="str">
        <f ca="1">IFERROR(__xludf.DUMMYFUNCTION("""COMPUTED_VALUE"""),"PNS")</f>
        <v>PNS</v>
      </c>
      <c r="J296" s="3" t="str">
        <f ca="1">IFERROR(__xludf.DUMMYFUNCTION("""COMPUTED_VALUE"""),"Pegawai PNS")</f>
        <v>Pegawai PNS</v>
      </c>
      <c r="K296" s="5" t="str">
        <f ca="1">IFERROR(__xludf.DUMMYFUNCTION("""COMPUTED_VALUE"""),"L")</f>
        <v>L</v>
      </c>
      <c r="L296" s="3" t="str">
        <f ca="1">IFERROR(__xludf.DUMMYFUNCTION("""COMPUTED_VALUE"""),"Jakarta")</f>
        <v>Jakarta</v>
      </c>
      <c r="M296" s="7">
        <f ca="1">IFERROR(__xludf.DUMMYFUNCTION("""COMPUTED_VALUE"""),25317)</f>
        <v>25317</v>
      </c>
      <c r="N296" s="4" t="str">
        <f ca="1">IFERROR(__xludf.DUMMYFUNCTION("""COMPUTED_VALUE"""),"Penata Muda Tk.I")</f>
        <v>Penata Muda Tk.I</v>
      </c>
      <c r="O296" s="3" t="str">
        <f ca="1">IFERROR(__xludf.DUMMYFUNCTION("""COMPUTED_VALUE"""),"III/b")</f>
        <v>III/b</v>
      </c>
      <c r="P296" s="7">
        <f ca="1">IFERROR(__xludf.DUMMYFUNCTION("""COMPUTED_VALUE"""),41548)</f>
        <v>41548</v>
      </c>
      <c r="Q296" s="3" t="str">
        <f ca="1">IFERROR(__xludf.DUMMYFUNCTION("""COMPUTED_VALUE"""),"Sti.23/K/Kp.07.1/029/2013")</f>
        <v>Sti.23/K/Kp.07.1/029/2013</v>
      </c>
      <c r="R296" s="3" t="str">
        <f ca="1">IFERROR(__xludf.DUMMYFUNCTION("""COMPUTED_VALUE"""),"Pengelola Layanan Operasional")</f>
        <v>Pengelola Layanan Operasional</v>
      </c>
      <c r="S296" s="3" t="str">
        <f ca="1">IFERROR(__xludf.DUMMYFUNCTION("""COMPUTED_VALUE"""),"Pelaksana")</f>
        <v>Pelaksana</v>
      </c>
      <c r="T296" s="7">
        <f ca="1">IFERROR(__xludf.DUMMYFUNCTION("""COMPUTED_VALUE"""),45842)</f>
        <v>45842</v>
      </c>
      <c r="U296" s="3" t="str">
        <f ca="1">IFERROR(__xludf.DUMMYFUNCTION("""COMPUTED_VALUE"""),"192021/B.II/KP.07/07/2025")</f>
        <v>192021/B.II/KP.07/07/2025</v>
      </c>
      <c r="V296" s="7">
        <f ca="1">IFERROR(__xludf.DUMMYFUNCTION("""COMPUTED_VALUE"""),45842)</f>
        <v>45842</v>
      </c>
      <c r="W296" s="3">
        <f ca="1">IFERROR(__xludf.DUMMYFUNCTION("""COMPUTED_VALUE"""),6)</f>
        <v>6</v>
      </c>
      <c r="X296" s="3"/>
      <c r="Y296" s="3" t="str">
        <f ca="1">IFERROR(__xludf.DUMMYFUNCTION("""COMPUTED_VALUE"""),"SMA")</f>
        <v>SMA</v>
      </c>
      <c r="Z296" s="3" t="str">
        <f ca="1">IFERROR(__xludf.DUMMYFUNCTION("""COMPUTED_VALUE"""),"32 Tahun 10 Bulan 27 Hari")</f>
        <v>32 Tahun 10 Bulan 27 Hari</v>
      </c>
      <c r="AA296" s="8">
        <f ca="1">IFERROR(__xludf.DUMMYFUNCTION("""COMPUTED_VALUE"""),46508)</f>
        <v>46508</v>
      </c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4"/>
      <c r="AR296" s="3"/>
      <c r="AS296" s="4"/>
      <c r="AT296" s="3"/>
      <c r="AU296" s="3"/>
    </row>
    <row r="297" spans="1:47" x14ac:dyDescent="0.2">
      <c r="A297" s="12">
        <v>296</v>
      </c>
      <c r="B297" s="3" t="str">
        <f ca="1">IFERROR(__xludf.DUMMYFUNCTION("""COMPUTED_VALUE"""),"Suyatno")</f>
        <v>Suyatno</v>
      </c>
      <c r="C297" s="3" t="str">
        <f ca="1">IFERROR(__xludf.DUMMYFUNCTION("""COMPUTED_VALUE"""),"Suyatno")</f>
        <v>Suyatno</v>
      </c>
      <c r="D297" s="3" t="str">
        <f ca="1">IFERROR(__xludf.DUMMYFUNCTION("""COMPUTED_VALUE"""),"Suyatno")</f>
        <v>Suyatno</v>
      </c>
      <c r="E297" s="3" t="str">
        <f ca="1">IFERROR(__xludf.DUMMYFUNCTION("""COMPUTED_VALUE"""),"197003272014111003")</f>
        <v>197003272014111003</v>
      </c>
      <c r="F297" s="3" t="str">
        <f ca="1">IFERROR(__xludf.DUMMYFUNCTION("""COMPUTED_VALUE"""),"19700327 201411 1 003")</f>
        <v>19700327 201411 1 003</v>
      </c>
      <c r="G297" s="3"/>
      <c r="H297" s="3"/>
      <c r="I297" s="3" t="str">
        <f ca="1">IFERROR(__xludf.DUMMYFUNCTION("""COMPUTED_VALUE"""),"PNS")</f>
        <v>PNS</v>
      </c>
      <c r="J297" s="3" t="str">
        <f ca="1">IFERROR(__xludf.DUMMYFUNCTION("""COMPUTED_VALUE"""),"Pegawai PNS")</f>
        <v>Pegawai PNS</v>
      </c>
      <c r="K297" s="5" t="str">
        <f ca="1">IFERROR(__xludf.DUMMYFUNCTION("""COMPUTED_VALUE"""),"L")</f>
        <v>L</v>
      </c>
      <c r="L297" s="3" t="str">
        <f ca="1">IFERROR(__xludf.DUMMYFUNCTION("""COMPUTED_VALUE"""),"Banyumas")</f>
        <v>Banyumas</v>
      </c>
      <c r="M297" s="7">
        <f ca="1">IFERROR(__xludf.DUMMYFUNCTION("""COMPUTED_VALUE"""),25654)</f>
        <v>25654</v>
      </c>
      <c r="N297" s="4" t="str">
        <f ca="1">IFERROR(__xludf.DUMMYFUNCTION("""COMPUTED_VALUE"""),"Pengatur")</f>
        <v>Pengatur</v>
      </c>
      <c r="O297" s="3" t="str">
        <f ca="1">IFERROR(__xludf.DUMMYFUNCTION("""COMPUTED_VALUE"""),"II/c")</f>
        <v>II/c</v>
      </c>
      <c r="P297" s="7">
        <f ca="1">IFERROR(__xludf.DUMMYFUNCTION("""COMPUTED_VALUE"""),45017)</f>
        <v>45017</v>
      </c>
      <c r="Q297" s="3" t="str">
        <f ca="1">IFERROR(__xludf.DUMMYFUNCTION("""COMPUTED_VALUE"""),"518/Un.19/K.AUPK/KP.07.2/03/2023")</f>
        <v>518/Un.19/K.AUPK/KP.07.2/03/2023</v>
      </c>
      <c r="R297" s="3" t="str">
        <f ca="1">IFERROR(__xludf.DUMMYFUNCTION("""COMPUTED_VALUE"""),"Operator Layanan Operasional")</f>
        <v>Operator Layanan Operasional</v>
      </c>
      <c r="S297" s="3" t="str">
        <f ca="1">IFERROR(__xludf.DUMMYFUNCTION("""COMPUTED_VALUE"""),"Pelaksana")</f>
        <v>Pelaksana</v>
      </c>
      <c r="T297" s="7">
        <f ca="1">IFERROR(__xludf.DUMMYFUNCTION("""COMPUTED_VALUE"""),45842)</f>
        <v>45842</v>
      </c>
      <c r="U297" s="3" t="str">
        <f ca="1">IFERROR(__xludf.DUMMYFUNCTION("""COMPUTED_VALUE"""),"192024/B.II/KP.07/07/2025")</f>
        <v>192024/B.II/KP.07/07/2025</v>
      </c>
      <c r="V297" s="7">
        <f ca="1">IFERROR(__xludf.DUMMYFUNCTION("""COMPUTED_VALUE"""),45842)</f>
        <v>45842</v>
      </c>
      <c r="W297" s="3">
        <f ca="1">IFERROR(__xludf.DUMMYFUNCTION("""COMPUTED_VALUE"""),5)</f>
        <v>5</v>
      </c>
      <c r="X297" s="3"/>
      <c r="Y297" s="3" t="str">
        <f ca="1">IFERROR(__xludf.DUMMYFUNCTION("""COMPUTED_VALUE"""),"SMK")</f>
        <v>SMK</v>
      </c>
      <c r="Z297" s="3" t="str">
        <f ca="1">IFERROR(__xludf.DUMMYFUNCTION("""COMPUTED_VALUE"""),"11 Tahun 2 Bulan 27 Hari")</f>
        <v>11 Tahun 2 Bulan 27 Hari</v>
      </c>
      <c r="AA297" s="8">
        <f ca="1">IFERROR(__xludf.DUMMYFUNCTION("""COMPUTED_VALUE"""),46844)</f>
        <v>46844</v>
      </c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4"/>
      <c r="AR297" s="3"/>
      <c r="AS297" s="4"/>
      <c r="AT297" s="3"/>
      <c r="AU297" s="3"/>
    </row>
    <row r="298" spans="1:47" x14ac:dyDescent="0.2">
      <c r="A298" s="12">
        <v>297</v>
      </c>
      <c r="B298" s="3" t="str">
        <f ca="1">IFERROR(__xludf.DUMMYFUNCTION("""COMPUTED_VALUE"""),"Taufiqurrohman")</f>
        <v>Taufiqurrohman</v>
      </c>
      <c r="C298" s="3" t="str">
        <f ca="1">IFERROR(__xludf.DUMMYFUNCTION("""COMPUTED_VALUE"""),"Taufiqurrohman, S.E.")</f>
        <v>Taufiqurrohman, S.E.</v>
      </c>
      <c r="D298" s="3" t="str">
        <f ca="1">IFERROR(__xludf.DUMMYFUNCTION("""COMPUTED_VALUE"""),"Taufiqurrohman, S.E.")</f>
        <v>Taufiqurrohman, S.E.</v>
      </c>
      <c r="E298" s="3" t="str">
        <f ca="1">IFERROR(__xludf.DUMMYFUNCTION("""COMPUTED_VALUE"""),"197805012009101002")</f>
        <v>197805012009101002</v>
      </c>
      <c r="F298" s="3" t="str">
        <f ca="1">IFERROR(__xludf.DUMMYFUNCTION("""COMPUTED_VALUE"""),"19780501 200910 1 002")</f>
        <v>19780501 200910 1 002</v>
      </c>
      <c r="G298" s="3"/>
      <c r="H298" s="3"/>
      <c r="I298" s="3" t="str">
        <f ca="1">IFERROR(__xludf.DUMMYFUNCTION("""COMPUTED_VALUE"""),"PNS")</f>
        <v>PNS</v>
      </c>
      <c r="J298" s="3" t="str">
        <f ca="1">IFERROR(__xludf.DUMMYFUNCTION("""COMPUTED_VALUE"""),"Pegawai PNS")</f>
        <v>Pegawai PNS</v>
      </c>
      <c r="K298" s="5" t="str">
        <f ca="1">IFERROR(__xludf.DUMMYFUNCTION("""COMPUTED_VALUE"""),"L")</f>
        <v>L</v>
      </c>
      <c r="L298" s="3" t="str">
        <f ca="1">IFERROR(__xludf.DUMMYFUNCTION("""COMPUTED_VALUE"""),"Banyumas")</f>
        <v>Banyumas</v>
      </c>
      <c r="M298" s="7">
        <f ca="1">IFERROR(__xludf.DUMMYFUNCTION("""COMPUTED_VALUE"""),28611)</f>
        <v>28611</v>
      </c>
      <c r="N298" s="4" t="str">
        <f ca="1">IFERROR(__xludf.DUMMYFUNCTION("""COMPUTED_VALUE"""),"Penata")</f>
        <v>Penata</v>
      </c>
      <c r="O298" s="3" t="str">
        <f ca="1">IFERROR(__xludf.DUMMYFUNCTION("""COMPUTED_VALUE"""),"III/c")</f>
        <v>III/c</v>
      </c>
      <c r="P298" s="7">
        <f ca="1">IFERROR(__xludf.DUMMYFUNCTION("""COMPUTED_VALUE"""),45200)</f>
        <v>45200</v>
      </c>
      <c r="Q298" s="3" t="str">
        <f ca="1">IFERROR(__xludf.DUMMYFUNCTION("""COMPUTED_VALUE"""),"1091/Un.19/K.AUPK/KP.07.1/08/2023")</f>
        <v>1091/Un.19/K.AUPK/KP.07.1/08/2023</v>
      </c>
      <c r="R298" s="3" t="str">
        <f ca="1">IFERROR(__xludf.DUMMYFUNCTION("""COMPUTED_VALUE"""),"Pengelola Layanan Operasional")</f>
        <v>Pengelola Layanan Operasional</v>
      </c>
      <c r="S298" s="3" t="str">
        <f ca="1">IFERROR(__xludf.DUMMYFUNCTION("""COMPUTED_VALUE"""),"Pelaksana")</f>
        <v>Pelaksana</v>
      </c>
      <c r="T298" s="7">
        <f ca="1">IFERROR(__xludf.DUMMYFUNCTION("""COMPUTED_VALUE"""),45842)</f>
        <v>45842</v>
      </c>
      <c r="U298" s="3" t="str">
        <f ca="1">IFERROR(__xludf.DUMMYFUNCTION("""COMPUTED_VALUE"""),"192038/B.II/KP.07/07/2025")</f>
        <v>192038/B.II/KP.07/07/2025</v>
      </c>
      <c r="V298" s="7">
        <f ca="1">IFERROR(__xludf.DUMMYFUNCTION("""COMPUTED_VALUE"""),45842)</f>
        <v>45842</v>
      </c>
      <c r="W298" s="3">
        <f ca="1">IFERROR(__xludf.DUMMYFUNCTION("""COMPUTED_VALUE"""),6)</f>
        <v>6</v>
      </c>
      <c r="X298" s="3"/>
      <c r="Y298" s="3" t="str">
        <f ca="1">IFERROR(__xludf.DUMMYFUNCTION("""COMPUTED_VALUE"""),"S-1")</f>
        <v>S-1</v>
      </c>
      <c r="Z298" s="3" t="str">
        <f ca="1">IFERROR(__xludf.DUMMYFUNCTION("""COMPUTED_VALUE"""),"16 Tahun 3 Bulan 27 Hari")</f>
        <v>16 Tahun 3 Bulan 27 Hari</v>
      </c>
      <c r="AA298" s="8">
        <f ca="1">IFERROR(__xludf.DUMMYFUNCTION("""COMPUTED_VALUE"""),49827)</f>
        <v>49827</v>
      </c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4"/>
      <c r="AR298" s="3"/>
      <c r="AS298" s="4"/>
      <c r="AT298" s="3"/>
      <c r="AU298" s="3"/>
    </row>
    <row r="299" spans="1:47" x14ac:dyDescent="0.2">
      <c r="A299" s="12">
        <v>298</v>
      </c>
      <c r="B299" s="3" t="str">
        <f ca="1">IFERROR(__xludf.DUMMYFUNCTION("""COMPUTED_VALUE"""),"Tri Mulatsih Pudjileksani")</f>
        <v>Tri Mulatsih Pudjileksani</v>
      </c>
      <c r="C299" s="3" t="str">
        <f ca="1">IFERROR(__xludf.DUMMYFUNCTION("""COMPUTED_VALUE"""),"Tri Mulatsih Pudjileksani, S.H.")</f>
        <v>Tri Mulatsih Pudjileksani, S.H.</v>
      </c>
      <c r="D299" s="3" t="str">
        <f ca="1">IFERROR(__xludf.DUMMYFUNCTION("""COMPUTED_VALUE"""),"Tri Mulatsih Pudjileksani, S.H.")</f>
        <v>Tri Mulatsih Pudjileksani, S.H.</v>
      </c>
      <c r="E299" s="3" t="str">
        <f ca="1">IFERROR(__xludf.DUMMYFUNCTION("""COMPUTED_VALUE"""),"197009152003122001")</f>
        <v>197009152003122001</v>
      </c>
      <c r="F299" s="3" t="str">
        <f ca="1">IFERROR(__xludf.DUMMYFUNCTION("""COMPUTED_VALUE"""),"19700915 200312 2 001")</f>
        <v>19700915 200312 2 001</v>
      </c>
      <c r="G299" s="3"/>
      <c r="H299" s="3"/>
      <c r="I299" s="3" t="str">
        <f ca="1">IFERROR(__xludf.DUMMYFUNCTION("""COMPUTED_VALUE"""),"PNS")</f>
        <v>PNS</v>
      </c>
      <c r="J299" s="3" t="str">
        <f ca="1">IFERROR(__xludf.DUMMYFUNCTION("""COMPUTED_VALUE"""),"Pegawai PNS")</f>
        <v>Pegawai PNS</v>
      </c>
      <c r="K299" s="5" t="str">
        <f ca="1">IFERROR(__xludf.DUMMYFUNCTION("""COMPUTED_VALUE"""),"P")</f>
        <v>P</v>
      </c>
      <c r="L299" s="3" t="str">
        <f ca="1">IFERROR(__xludf.DUMMYFUNCTION("""COMPUTED_VALUE"""),"Banyumas")</f>
        <v>Banyumas</v>
      </c>
      <c r="M299" s="7">
        <f ca="1">IFERROR(__xludf.DUMMYFUNCTION("""COMPUTED_VALUE"""),25826)</f>
        <v>25826</v>
      </c>
      <c r="N299" s="4" t="str">
        <f ca="1">IFERROR(__xludf.DUMMYFUNCTION("""COMPUTED_VALUE"""),"Penata Tk.I")</f>
        <v>Penata Tk.I</v>
      </c>
      <c r="O299" s="3" t="str">
        <f ca="1">IFERROR(__xludf.DUMMYFUNCTION("""COMPUTED_VALUE"""),"III/d")</f>
        <v>III/d</v>
      </c>
      <c r="P299" s="7">
        <f ca="1">IFERROR(__xludf.DUMMYFUNCTION("""COMPUTED_VALUE"""),43922)</f>
        <v>43922</v>
      </c>
      <c r="Q299" s="3" t="str">
        <f ca="1">IFERROR(__xludf.DUMMYFUNCTION("""COMPUTED_VALUE"""),"11778/B.II/3/2020")</f>
        <v>11778/B.II/3/2020</v>
      </c>
      <c r="R299" s="3" t="str">
        <f ca="1">IFERROR(__xludf.DUMMYFUNCTION("""COMPUTED_VALUE"""),"Pengembang Teknologi Pembelajaran")</f>
        <v>Pengembang Teknologi Pembelajaran</v>
      </c>
      <c r="S299" s="3" t="str">
        <f ca="1">IFERROR(__xludf.DUMMYFUNCTION("""COMPUTED_VALUE"""),"Ahli Muda")</f>
        <v>Ahli Muda</v>
      </c>
      <c r="T299" s="7">
        <f ca="1">IFERROR(__xludf.DUMMYFUNCTION("""COMPUTED_VALUE"""),44560)</f>
        <v>44560</v>
      </c>
      <c r="U299" s="3" t="str">
        <f ca="1">IFERROR(__xludf.DUMMYFUNCTION("""COMPUTED_VALUE"""),"058976/B.II/3/2021")</f>
        <v>058976/B.II/3/2021</v>
      </c>
      <c r="V299" s="9">
        <f ca="1">IFERROR(__xludf.DUMMYFUNCTION("""COMPUTED_VALUE"""),44553)</f>
        <v>44553</v>
      </c>
      <c r="W299" s="3">
        <f ca="1">IFERROR(__xludf.DUMMYFUNCTION("""COMPUTED_VALUE"""),10)</f>
        <v>10</v>
      </c>
      <c r="X299" s="7" t="str">
        <f ca="1">IFERROR(__xludf.DUMMYFUNCTION("""COMPUTED_VALUE"""),"Ketua Tim Kerja AKA FEBI")</f>
        <v>Ketua Tim Kerja AKA FEBI</v>
      </c>
      <c r="Y299" s="3" t="str">
        <f ca="1">IFERROR(__xludf.DUMMYFUNCTION("""COMPUTED_VALUE"""),"S-1")</f>
        <v>S-1</v>
      </c>
      <c r="Z299" s="3" t="str">
        <f ca="1">IFERROR(__xludf.DUMMYFUNCTION("""COMPUTED_VALUE"""),"22 Tahun 1 Bulan 27 Hari")</f>
        <v>22 Tahun 1 Bulan 27 Hari</v>
      </c>
      <c r="AA299" s="8">
        <f ca="1">IFERROR(__xludf.DUMMYFUNCTION("""COMPUTED_VALUE"""),47027)</f>
        <v>47027</v>
      </c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4"/>
      <c r="AR299" s="3"/>
      <c r="AS299" s="4"/>
      <c r="AT299" s="3"/>
      <c r="AU299" s="3"/>
    </row>
    <row r="300" spans="1:47" x14ac:dyDescent="0.2">
      <c r="A300" s="12">
        <v>299</v>
      </c>
      <c r="B300" s="3" t="str">
        <f ca="1">IFERROR(__xludf.DUMMYFUNCTION("""COMPUTED_VALUE"""),"Tri Rachmijati")</f>
        <v>Tri Rachmijati</v>
      </c>
      <c r="C300" s="3" t="str">
        <f ca="1">IFERROR(__xludf.DUMMYFUNCTION("""COMPUTED_VALUE"""),"Hj. Tri Rachmijati, S.Ag., M.Pd.")</f>
        <v>Hj. Tri Rachmijati, S.Ag., M.Pd.</v>
      </c>
      <c r="D300" s="3" t="str">
        <f ca="1">IFERROR(__xludf.DUMMYFUNCTION("""COMPUTED_VALUE"""),"Hj. Tri Rachmijati, S.Ag., M.Pd.")</f>
        <v>Hj. Tri Rachmijati, S.Ag., M.Pd.</v>
      </c>
      <c r="E300" s="3" t="str">
        <f ca="1">IFERROR(__xludf.DUMMYFUNCTION("""COMPUTED_VALUE"""),"197103232001122002")</f>
        <v>197103232001122002</v>
      </c>
      <c r="F300" s="3" t="str">
        <f ca="1">IFERROR(__xludf.DUMMYFUNCTION("""COMPUTED_VALUE"""),"19710323 200112 2 002")</f>
        <v>19710323 200112 2 002</v>
      </c>
      <c r="G300" s="3"/>
      <c r="H300" s="3"/>
      <c r="I300" s="3" t="str">
        <f ca="1">IFERROR(__xludf.DUMMYFUNCTION("""COMPUTED_VALUE"""),"PNS")</f>
        <v>PNS</v>
      </c>
      <c r="J300" s="3" t="str">
        <f ca="1">IFERROR(__xludf.DUMMYFUNCTION("""COMPUTED_VALUE"""),"Pegawai PNS")</f>
        <v>Pegawai PNS</v>
      </c>
      <c r="K300" s="5" t="str">
        <f ca="1">IFERROR(__xludf.DUMMYFUNCTION("""COMPUTED_VALUE"""),"P")</f>
        <v>P</v>
      </c>
      <c r="L300" s="3" t="str">
        <f ca="1">IFERROR(__xludf.DUMMYFUNCTION("""COMPUTED_VALUE"""),"Cilacap")</f>
        <v>Cilacap</v>
      </c>
      <c r="M300" s="7">
        <f ca="1">IFERROR(__xludf.DUMMYFUNCTION("""COMPUTED_VALUE"""),26015)</f>
        <v>26015</v>
      </c>
      <c r="N300" s="4" t="str">
        <f ca="1">IFERROR(__xludf.DUMMYFUNCTION("""COMPUTED_VALUE"""),"Pembina Tk.I")</f>
        <v>Pembina Tk.I</v>
      </c>
      <c r="O300" s="3" t="str">
        <f ca="1">IFERROR(__xludf.DUMMYFUNCTION("""COMPUTED_VALUE"""),"IV/b")</f>
        <v>IV/b</v>
      </c>
      <c r="P300" s="7">
        <f ca="1">IFERROR(__xludf.DUMMYFUNCTION("""COMPUTED_VALUE"""),44835)</f>
        <v>44835</v>
      </c>
      <c r="Q300" s="3" t="str">
        <f ca="1">IFERROR(__xludf.DUMMYFUNCTION("""COMPUTED_VALUE"""),"028965/B.II/3/2022")</f>
        <v>028965/B.II/3/2022</v>
      </c>
      <c r="R300" s="3" t="str">
        <f ca="1">IFERROR(__xludf.DUMMYFUNCTION("""COMPUTED_VALUE"""),"Kepala Bagian Tata Usaha")</f>
        <v>Kepala Bagian Tata Usaha</v>
      </c>
      <c r="S300" s="3" t="str">
        <f ca="1">IFERROR(__xludf.DUMMYFUNCTION("""COMPUTED_VALUE"""),"Administrator")</f>
        <v>Administrator</v>
      </c>
      <c r="T300" s="7">
        <f ca="1">IFERROR(__xludf.DUMMYFUNCTION("""COMPUTED_VALUE"""),45481)</f>
        <v>45481</v>
      </c>
      <c r="U300" s="3" t="str">
        <f ca="1">IFERROR(__xludf.DUMMYFUNCTION("""COMPUTED_VALUE"""),"028656/B.II/3/2024")</f>
        <v>028656/B.II/3/2024</v>
      </c>
      <c r="V300" s="7">
        <f ca="1">IFERROR(__xludf.DUMMYFUNCTION("""COMPUTED_VALUE"""),45475)</f>
        <v>45475</v>
      </c>
      <c r="W300" s="3">
        <f ca="1">IFERROR(__xludf.DUMMYFUNCTION("""COMPUTED_VALUE"""),11)</f>
        <v>11</v>
      </c>
      <c r="X300" s="7" t="str">
        <f ca="1">IFERROR(__xludf.DUMMYFUNCTION("""COMPUTED_VALUE"""),"Kepala Bagian Tata Usaha Fakultas Ekonomi dan Bisnis Islam")</f>
        <v>Kepala Bagian Tata Usaha Fakultas Ekonomi dan Bisnis Islam</v>
      </c>
      <c r="Y300" s="3" t="str">
        <f ca="1">IFERROR(__xludf.DUMMYFUNCTION("""COMPUTED_VALUE"""),"S-2")</f>
        <v>S-2</v>
      </c>
      <c r="Z300" s="3" t="str">
        <f ca="1">IFERROR(__xludf.DUMMYFUNCTION("""COMPUTED_VALUE"""),"24 Tahun 1 Bulan 27 Hari")</f>
        <v>24 Tahun 1 Bulan 27 Hari</v>
      </c>
      <c r="AA300" s="8">
        <f ca="1">IFERROR(__xludf.DUMMYFUNCTION("""COMPUTED_VALUE"""),47209)</f>
        <v>47209</v>
      </c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4"/>
      <c r="AR300" s="3"/>
      <c r="AS300" s="4"/>
      <c r="AT300" s="3"/>
      <c r="AU300" s="3"/>
    </row>
    <row r="301" spans="1:47" x14ac:dyDescent="0.2">
      <c r="A301" s="12">
        <v>300</v>
      </c>
      <c r="B301" s="3" t="str">
        <f ca="1">IFERROR(__xludf.DUMMYFUNCTION("""COMPUTED_VALUE"""),"Tri Wahyono")</f>
        <v>Tri Wahyono</v>
      </c>
      <c r="C301" s="3" t="str">
        <f ca="1">IFERROR(__xludf.DUMMYFUNCTION("""COMPUTED_VALUE"""),"Tri Wahyono, S.E.Ak.")</f>
        <v>Tri Wahyono, S.E.Ak.</v>
      </c>
      <c r="D301" s="3" t="str">
        <f ca="1">IFERROR(__xludf.DUMMYFUNCTION("""COMPUTED_VALUE"""),"Tri Wahyono, S.E.Ak., M.E.")</f>
        <v>Tri Wahyono, S.E.Ak., M.E.</v>
      </c>
      <c r="E301" s="3" t="str">
        <f ca="1">IFERROR(__xludf.DUMMYFUNCTION("""COMPUTED_VALUE"""),"197711142009011007")</f>
        <v>197711142009011007</v>
      </c>
      <c r="F301" s="3" t="str">
        <f ca="1">IFERROR(__xludf.DUMMYFUNCTION("""COMPUTED_VALUE"""),"19771114 200901 1 007")</f>
        <v>19771114 200901 1 007</v>
      </c>
      <c r="G301" s="3"/>
      <c r="H301" s="3"/>
      <c r="I301" s="3" t="str">
        <f ca="1">IFERROR(__xludf.DUMMYFUNCTION("""COMPUTED_VALUE"""),"PNS")</f>
        <v>PNS</v>
      </c>
      <c r="J301" s="3" t="str">
        <f ca="1">IFERROR(__xludf.DUMMYFUNCTION("""COMPUTED_VALUE"""),"Pegawai PNS")</f>
        <v>Pegawai PNS</v>
      </c>
      <c r="K301" s="5" t="str">
        <f ca="1">IFERROR(__xludf.DUMMYFUNCTION("""COMPUTED_VALUE"""),"L")</f>
        <v>L</v>
      </c>
      <c r="L301" s="3" t="str">
        <f ca="1">IFERROR(__xludf.DUMMYFUNCTION("""COMPUTED_VALUE"""),"Banyumas")</f>
        <v>Banyumas</v>
      </c>
      <c r="M301" s="9">
        <f ca="1">IFERROR(__xludf.DUMMYFUNCTION("""COMPUTED_VALUE"""),28443)</f>
        <v>28443</v>
      </c>
      <c r="N301" s="4" t="str">
        <f ca="1">IFERROR(__xludf.DUMMYFUNCTION("""COMPUTED_VALUE"""),"Pembina")</f>
        <v>Pembina</v>
      </c>
      <c r="O301" s="3" t="str">
        <f ca="1">IFERROR(__xludf.DUMMYFUNCTION("""COMPUTED_VALUE"""),"IV/a")</f>
        <v>IV/a</v>
      </c>
      <c r="P301" s="7">
        <f ca="1">IFERROR(__xludf.DUMMYFUNCTION("""COMPUTED_VALUE"""),45200)</f>
        <v>45200</v>
      </c>
      <c r="Q301" s="3" t="str">
        <f ca="1">IFERROR(__xludf.DUMMYFUNCTION("""COMPUTED_VALUE"""),"089250/B.II/3/2023")</f>
        <v>089250/B.II/3/2023</v>
      </c>
      <c r="R301" s="3" t="str">
        <f ca="1">IFERROR(__xludf.DUMMYFUNCTION("""COMPUTED_VALUE"""),"Pengelola Pengadaan Barang dan Jasa")</f>
        <v>Pengelola Pengadaan Barang dan Jasa</v>
      </c>
      <c r="S301" s="3" t="str">
        <f ca="1">IFERROR(__xludf.DUMMYFUNCTION("""COMPUTED_VALUE"""),"Ahli Madya")</f>
        <v>Ahli Madya</v>
      </c>
      <c r="T301" s="7">
        <f ca="1">IFERROR(__xludf.DUMMYFUNCTION("""COMPUTED_VALUE"""),44560)</f>
        <v>44560</v>
      </c>
      <c r="U301" s="3" t="str">
        <f ca="1">IFERROR(__xludf.DUMMYFUNCTION("""COMPUTED_VALUE"""),"058973/B.II/3/2021")</f>
        <v>058973/B.II/3/2021</v>
      </c>
      <c r="V301" s="9">
        <f ca="1">IFERROR(__xludf.DUMMYFUNCTION("""COMPUTED_VALUE"""),44553)</f>
        <v>44553</v>
      </c>
      <c r="W301" s="3">
        <f ca="1">IFERROR(__xludf.DUMMYFUNCTION("""COMPUTED_VALUE"""),12)</f>
        <v>12</v>
      </c>
      <c r="X301" s="7" t="str">
        <f ca="1">IFERROR(__xludf.DUMMYFUNCTION("""COMPUTED_VALUE"""),"Ketua Tim Kerja Pengadaan Barang dan Jasa")</f>
        <v>Ketua Tim Kerja Pengadaan Barang dan Jasa</v>
      </c>
      <c r="Y301" s="3" t="str">
        <f ca="1">IFERROR(__xludf.DUMMYFUNCTION("""COMPUTED_VALUE"""),"S-2")</f>
        <v>S-2</v>
      </c>
      <c r="Z301" s="3" t="str">
        <f ca="1">IFERROR(__xludf.DUMMYFUNCTION("""COMPUTED_VALUE"""),"17 Tahun 0 Bulan 27 Hari")</f>
        <v>17 Tahun 0 Bulan 27 Hari</v>
      </c>
      <c r="AA301" s="8">
        <f ca="1">IFERROR(__xludf.DUMMYFUNCTION("""COMPUTED_VALUE"""),50375)</f>
        <v>50375</v>
      </c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4"/>
      <c r="AR301" s="3"/>
      <c r="AS301" s="4"/>
      <c r="AT301" s="3"/>
      <c r="AU301" s="3"/>
    </row>
    <row r="302" spans="1:47" x14ac:dyDescent="0.2">
      <c r="A302" s="12">
        <v>301</v>
      </c>
      <c r="B302" s="3" t="str">
        <f ca="1">IFERROR(__xludf.DUMMYFUNCTION("""COMPUTED_VALUE"""),"Turyatin")</f>
        <v>Turyatin</v>
      </c>
      <c r="C302" s="3" t="str">
        <f ca="1">IFERROR(__xludf.DUMMYFUNCTION("""COMPUTED_VALUE"""),"Turyatin, S.Pd.I.")</f>
        <v>Turyatin, S.Pd.I.</v>
      </c>
      <c r="D302" s="3" t="str">
        <f ca="1">IFERROR(__xludf.DUMMYFUNCTION("""COMPUTED_VALUE"""),"Turyatin, S.Pd.I.")</f>
        <v>Turyatin, S.Pd.I.</v>
      </c>
      <c r="E302" s="3" t="str">
        <f ca="1">IFERROR(__xludf.DUMMYFUNCTION("""COMPUTED_VALUE"""),"197511062002121001")</f>
        <v>197511062002121001</v>
      </c>
      <c r="F302" s="3" t="str">
        <f ca="1">IFERROR(__xludf.DUMMYFUNCTION("""COMPUTED_VALUE"""),"19751106 200212 1 001")</f>
        <v>19751106 200212 1 001</v>
      </c>
      <c r="G302" s="3"/>
      <c r="H302" s="3"/>
      <c r="I302" s="3" t="str">
        <f ca="1">IFERROR(__xludf.DUMMYFUNCTION("""COMPUTED_VALUE"""),"PNS")</f>
        <v>PNS</v>
      </c>
      <c r="J302" s="3" t="str">
        <f ca="1">IFERROR(__xludf.DUMMYFUNCTION("""COMPUTED_VALUE"""),"Pegawai PNS")</f>
        <v>Pegawai PNS</v>
      </c>
      <c r="K302" s="5" t="str">
        <f ca="1">IFERROR(__xludf.DUMMYFUNCTION("""COMPUTED_VALUE"""),"L")</f>
        <v>L</v>
      </c>
      <c r="L302" s="3" t="str">
        <f ca="1">IFERROR(__xludf.DUMMYFUNCTION("""COMPUTED_VALUE"""),"Kebumen")</f>
        <v>Kebumen</v>
      </c>
      <c r="M302" s="7">
        <f ca="1">IFERROR(__xludf.DUMMYFUNCTION("""COMPUTED_VALUE"""),27704)</f>
        <v>27704</v>
      </c>
      <c r="N302" s="4" t="str">
        <f ca="1">IFERROR(__xludf.DUMMYFUNCTION("""COMPUTED_VALUE"""),"Penata Tk.I")</f>
        <v>Penata Tk.I</v>
      </c>
      <c r="O302" s="3" t="str">
        <f ca="1">IFERROR(__xludf.DUMMYFUNCTION("""COMPUTED_VALUE"""),"III/d")</f>
        <v>III/d</v>
      </c>
      <c r="P302" s="7">
        <f ca="1">IFERROR(__xludf.DUMMYFUNCTION("""COMPUTED_VALUE"""),45748)</f>
        <v>45748</v>
      </c>
      <c r="Q302" s="3" t="str">
        <f ca="1">IFERROR(__xludf.DUMMYFUNCTION("""COMPUTED_VALUE"""),"282/Un.19/K.AUPK/KP.11.1/02/2025")</f>
        <v>282/Un.19/K.AUPK/KP.11.1/02/2025</v>
      </c>
      <c r="R302" s="3" t="str">
        <f ca="1">IFERROR(__xludf.DUMMYFUNCTION("""COMPUTED_VALUE"""),"Penelaah Teknis Kebijakan")</f>
        <v>Penelaah Teknis Kebijakan</v>
      </c>
      <c r="S302" s="3" t="str">
        <f ca="1">IFERROR(__xludf.DUMMYFUNCTION("""COMPUTED_VALUE"""),"Pelaksana")</f>
        <v>Pelaksana</v>
      </c>
      <c r="T302" s="7">
        <f ca="1">IFERROR(__xludf.DUMMYFUNCTION("""COMPUTED_VALUE"""),45842)</f>
        <v>45842</v>
      </c>
      <c r="U302" s="3" t="str">
        <f ca="1">IFERROR(__xludf.DUMMYFUNCTION("""COMPUTED_VALUE"""),"192034/B.II/KP.07/07/2025")</f>
        <v>192034/B.II/KP.07/07/2025</v>
      </c>
      <c r="V302" s="7">
        <f ca="1">IFERROR(__xludf.DUMMYFUNCTION("""COMPUTED_VALUE"""),45842)</f>
        <v>45842</v>
      </c>
      <c r="W302" s="3">
        <f ca="1">IFERROR(__xludf.DUMMYFUNCTION("""COMPUTED_VALUE"""),7)</f>
        <v>7</v>
      </c>
      <c r="X302" s="3"/>
      <c r="Y302" s="3" t="str">
        <f ca="1">IFERROR(__xludf.DUMMYFUNCTION("""COMPUTED_VALUE"""),"S-1")</f>
        <v>S-1</v>
      </c>
      <c r="Z302" s="3" t="str">
        <f ca="1">IFERROR(__xludf.DUMMYFUNCTION("""COMPUTED_VALUE"""),"23 Tahun 1 Bulan 27 Hari")</f>
        <v>23 Tahun 1 Bulan 27 Hari</v>
      </c>
      <c r="AA302" s="8">
        <f ca="1">IFERROR(__xludf.DUMMYFUNCTION("""COMPUTED_VALUE"""),48914)</f>
        <v>48914</v>
      </c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4"/>
      <c r="AR302" s="3"/>
      <c r="AS302" s="4"/>
      <c r="AT302" s="3"/>
      <c r="AU302" s="3"/>
    </row>
    <row r="303" spans="1:47" x14ac:dyDescent="0.2">
      <c r="A303" s="12">
        <v>302</v>
      </c>
      <c r="B303" s="3" t="str">
        <f ca="1">IFERROR(__xludf.DUMMYFUNCTION("""COMPUTED_VALUE"""),"Ulfah Rulli Hastuti")</f>
        <v>Ulfah Rulli Hastuti</v>
      </c>
      <c r="C303" s="3" t="str">
        <f ca="1">IFERROR(__xludf.DUMMYFUNCTION("""COMPUTED_VALUE"""),"Ulfah Rulli Hastuti, S.I.Pust.")</f>
        <v>Ulfah Rulli Hastuti, S.I.Pust.</v>
      </c>
      <c r="D303" s="3" t="str">
        <f ca="1">IFERROR(__xludf.DUMMYFUNCTION("""COMPUTED_VALUE"""),"Ulfah Rulli Hastuti, S.I.Pust.")</f>
        <v>Ulfah Rulli Hastuti, S.I.Pust.</v>
      </c>
      <c r="E303" s="3" t="str">
        <f ca="1">IFERROR(__xludf.DUMMYFUNCTION("""COMPUTED_VALUE"""),"197904242009102004")</f>
        <v>197904242009102004</v>
      </c>
      <c r="F303" s="3" t="str">
        <f ca="1">IFERROR(__xludf.DUMMYFUNCTION("""COMPUTED_VALUE"""),"19790424 200910 2 004")</f>
        <v>19790424 200910 2 004</v>
      </c>
      <c r="G303" s="3"/>
      <c r="H303" s="3"/>
      <c r="I303" s="3" t="str">
        <f ca="1">IFERROR(__xludf.DUMMYFUNCTION("""COMPUTED_VALUE"""),"PNS")</f>
        <v>PNS</v>
      </c>
      <c r="J303" s="3" t="str">
        <f ca="1">IFERROR(__xludf.DUMMYFUNCTION("""COMPUTED_VALUE"""),"Pegawai PNS")</f>
        <v>Pegawai PNS</v>
      </c>
      <c r="K303" s="5" t="str">
        <f ca="1">IFERROR(__xludf.DUMMYFUNCTION("""COMPUTED_VALUE"""),"P")</f>
        <v>P</v>
      </c>
      <c r="L303" s="3" t="str">
        <f ca="1">IFERROR(__xludf.DUMMYFUNCTION("""COMPUTED_VALUE"""),"Kebumen")</f>
        <v>Kebumen</v>
      </c>
      <c r="M303" s="7">
        <f ca="1">IFERROR(__xludf.DUMMYFUNCTION("""COMPUTED_VALUE"""),28969)</f>
        <v>28969</v>
      </c>
      <c r="N303" s="4" t="str">
        <f ca="1">IFERROR(__xludf.DUMMYFUNCTION("""COMPUTED_VALUE"""),"Penata")</f>
        <v>Penata</v>
      </c>
      <c r="O303" s="3" t="str">
        <f ca="1">IFERROR(__xludf.DUMMYFUNCTION("""COMPUTED_VALUE"""),"III/c")</f>
        <v>III/c</v>
      </c>
      <c r="P303" s="7">
        <f ca="1">IFERROR(__xludf.DUMMYFUNCTION("""COMPUTED_VALUE"""),45200)</f>
        <v>45200</v>
      </c>
      <c r="Q303" s="3" t="str">
        <f ca="1">IFERROR(__xludf.DUMMYFUNCTION("""COMPUTED_VALUE"""),"1123/Un.19/K.AUPK/KP.07.1/08/2023")</f>
        <v>1123/Un.19/K.AUPK/KP.07.1/08/2023</v>
      </c>
      <c r="R303" s="3" t="str">
        <f ca="1">IFERROR(__xludf.DUMMYFUNCTION("""COMPUTED_VALUE"""),"Pustakawan")</f>
        <v>Pustakawan</v>
      </c>
      <c r="S303" s="3" t="str">
        <f ca="1">IFERROR(__xludf.DUMMYFUNCTION("""COMPUTED_VALUE"""),"Ahli Muda")</f>
        <v>Ahli Muda</v>
      </c>
      <c r="T303" s="7">
        <f ca="1">IFERROR(__xludf.DUMMYFUNCTION("""COMPUTED_VALUE"""),43862)</f>
        <v>43862</v>
      </c>
      <c r="U303" s="3" t="str">
        <f ca="1">IFERROR(__xludf.DUMMYFUNCTION("""COMPUTED_VALUE"""),"305/In.17/R/Kp.08.6/1/2020")</f>
        <v>305/In.17/R/Kp.08.6/1/2020</v>
      </c>
      <c r="V303" s="7">
        <f ca="1">IFERROR(__xludf.DUMMYFUNCTION("""COMPUTED_VALUE"""),43862)</f>
        <v>43862</v>
      </c>
      <c r="W303" s="3">
        <f ca="1">IFERROR(__xludf.DUMMYFUNCTION("""COMPUTED_VALUE"""),9)</f>
        <v>9</v>
      </c>
      <c r="X303" s="3"/>
      <c r="Y303" s="3" t="str">
        <f ca="1">IFERROR(__xludf.DUMMYFUNCTION("""COMPUTED_VALUE"""),"S-1")</f>
        <v>S-1</v>
      </c>
      <c r="Z303" s="3" t="str">
        <f ca="1">IFERROR(__xludf.DUMMYFUNCTION("""COMPUTED_VALUE"""),"16 Tahun 3 Bulan 27 Hari")</f>
        <v>16 Tahun 3 Bulan 27 Hari</v>
      </c>
      <c r="AA303" s="8">
        <f ca="1">IFERROR(__xludf.DUMMYFUNCTION("""COMPUTED_VALUE"""),50161)</f>
        <v>50161</v>
      </c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4"/>
      <c r="AR303" s="3"/>
      <c r="AS303" s="4"/>
      <c r="AT303" s="3"/>
      <c r="AU303" s="3"/>
    </row>
    <row r="304" spans="1:47" x14ac:dyDescent="0.2">
      <c r="A304" s="12">
        <v>303</v>
      </c>
      <c r="B304" s="3" t="str">
        <f ca="1">IFERROR(__xludf.DUMMYFUNCTION("""COMPUTED_VALUE"""),"Wahyu Budi Mulyono")</f>
        <v>Wahyu Budi Mulyono</v>
      </c>
      <c r="C304" s="3" t="str">
        <f ca="1">IFERROR(__xludf.DUMMYFUNCTION("""COMPUTED_VALUE"""),"Drs. H. Wahyu Budi Mulyono")</f>
        <v>Drs. H. Wahyu Budi Mulyono</v>
      </c>
      <c r="D304" s="3" t="str">
        <f ca="1">IFERROR(__xludf.DUMMYFUNCTION("""COMPUTED_VALUE"""),"Drs. H. Wahyu Budi Mulyono")</f>
        <v>Drs. H. Wahyu Budi Mulyono</v>
      </c>
      <c r="E304" s="3" t="str">
        <f ca="1">IFERROR(__xludf.DUMMYFUNCTION("""COMPUTED_VALUE"""),"196802281993031002")</f>
        <v>196802281993031002</v>
      </c>
      <c r="F304" s="3" t="str">
        <f ca="1">IFERROR(__xludf.DUMMYFUNCTION("""COMPUTED_VALUE"""),"19680228 199303 1 002")</f>
        <v>19680228 199303 1 002</v>
      </c>
      <c r="G304" s="3">
        <f ca="1">IFERROR(__xludf.DUMMYFUNCTION("""COMPUTED_VALUE"""),2028026801)</f>
        <v>2028026801</v>
      </c>
      <c r="H304" s="3"/>
      <c r="I304" s="3" t="str">
        <f ca="1">IFERROR(__xludf.DUMMYFUNCTION("""COMPUTED_VALUE"""),"PNS")</f>
        <v>PNS</v>
      </c>
      <c r="J304" s="3" t="str">
        <f ca="1">IFERROR(__xludf.DUMMYFUNCTION("""COMPUTED_VALUE"""),"Pegawai PNS")</f>
        <v>Pegawai PNS</v>
      </c>
      <c r="K304" s="5" t="str">
        <f ca="1">IFERROR(__xludf.DUMMYFUNCTION("""COMPUTED_VALUE"""),"L")</f>
        <v>L</v>
      </c>
      <c r="L304" s="3" t="str">
        <f ca="1">IFERROR(__xludf.DUMMYFUNCTION("""COMPUTED_VALUE"""),"Kendal")</f>
        <v>Kendal</v>
      </c>
      <c r="M304" s="7">
        <f ca="1">IFERROR(__xludf.DUMMYFUNCTION("""COMPUTED_VALUE"""),24896)</f>
        <v>24896</v>
      </c>
      <c r="N304" s="4" t="str">
        <f ca="1">IFERROR(__xludf.DUMMYFUNCTION("""COMPUTED_VALUE"""),"Penata Tk.I")</f>
        <v>Penata Tk.I</v>
      </c>
      <c r="O304" s="3" t="str">
        <f ca="1">IFERROR(__xludf.DUMMYFUNCTION("""COMPUTED_VALUE"""),"III/d")</f>
        <v>III/d</v>
      </c>
      <c r="P304" s="7">
        <f ca="1">IFERROR(__xludf.DUMMYFUNCTION("""COMPUTED_VALUE"""),44835)</f>
        <v>44835</v>
      </c>
      <c r="Q304" s="3" t="str">
        <f ca="1">IFERROR(__xludf.DUMMYFUNCTION("""COMPUTED_VALUE"""),"2167/Un.19/K.AUPK/KP.07.1/09/2022")</f>
        <v>2167/Un.19/K.AUPK/KP.07.1/09/2022</v>
      </c>
      <c r="R304" s="3" t="str">
        <f ca="1">IFERROR(__xludf.DUMMYFUNCTION("""COMPUTED_VALUE"""),"Pengolah Data dan Informasi")</f>
        <v>Pengolah Data dan Informasi</v>
      </c>
      <c r="S304" s="3" t="str">
        <f ca="1">IFERROR(__xludf.DUMMYFUNCTION("""COMPUTED_VALUE"""),"Pelaksana")</f>
        <v>Pelaksana</v>
      </c>
      <c r="T304" s="7">
        <f ca="1">IFERROR(__xludf.DUMMYFUNCTION("""COMPUTED_VALUE"""),45842)</f>
        <v>45842</v>
      </c>
      <c r="U304" s="3" t="str">
        <f ca="1">IFERROR(__xludf.DUMMYFUNCTION("""COMPUTED_VALUE"""),"192019/B.II/KP.07/07/2025")</f>
        <v>192019/B.II/KP.07/07/2025</v>
      </c>
      <c r="V304" s="7">
        <f ca="1">IFERROR(__xludf.DUMMYFUNCTION("""COMPUTED_VALUE"""),45842)</f>
        <v>45842</v>
      </c>
      <c r="W304" s="3">
        <f ca="1">IFERROR(__xludf.DUMMYFUNCTION("""COMPUTED_VALUE"""),6)</f>
        <v>6</v>
      </c>
      <c r="X304" s="3"/>
      <c r="Y304" s="3" t="str">
        <f ca="1">IFERROR(__xludf.DUMMYFUNCTION("""COMPUTED_VALUE"""),"S-1")</f>
        <v>S-1</v>
      </c>
      <c r="Z304" s="3" t="str">
        <f ca="1">IFERROR(__xludf.DUMMYFUNCTION("""COMPUTED_VALUE"""),"32 Tahun 10 Bulan 27 Hari")</f>
        <v>32 Tahun 10 Bulan 27 Hari</v>
      </c>
      <c r="AA304" s="8">
        <f ca="1">IFERROR(__xludf.DUMMYFUNCTION("""COMPUTED_VALUE"""),46082)</f>
        <v>46082</v>
      </c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4"/>
      <c r="AR304" s="3"/>
      <c r="AS304" s="4"/>
      <c r="AT304" s="3"/>
      <c r="AU304" s="3"/>
    </row>
    <row r="305" spans="1:47" x14ac:dyDescent="0.2">
      <c r="A305" s="12">
        <v>304</v>
      </c>
      <c r="B305" s="3" t="str">
        <f ca="1">IFERROR(__xludf.DUMMYFUNCTION("""COMPUTED_VALUE"""),"Widia Agustiani")</f>
        <v>Widia Agustiani</v>
      </c>
      <c r="C305" s="3" t="str">
        <f ca="1">IFERROR(__xludf.DUMMYFUNCTION("""COMPUTED_VALUE"""),"Widia Agustiani, S.Kom.I.")</f>
        <v>Widia Agustiani, S.Kom.I.</v>
      </c>
      <c r="D305" s="3" t="str">
        <f ca="1">IFERROR(__xludf.DUMMYFUNCTION("""COMPUTED_VALUE"""),"Widia Agustiani, S.Kom.I.")</f>
        <v>Widia Agustiani, S.Kom.I.</v>
      </c>
      <c r="E305" s="3" t="str">
        <f ca="1">IFERROR(__xludf.DUMMYFUNCTION("""COMPUTED_VALUE"""),"199108032015032004")</f>
        <v>199108032015032004</v>
      </c>
      <c r="F305" s="3" t="str">
        <f ca="1">IFERROR(__xludf.DUMMYFUNCTION("""COMPUTED_VALUE"""),"19910803 201503 2 004")</f>
        <v>19910803 201503 2 004</v>
      </c>
      <c r="G305" s="3"/>
      <c r="H305" s="3"/>
      <c r="I305" s="3" t="str">
        <f ca="1">IFERROR(__xludf.DUMMYFUNCTION("""COMPUTED_VALUE"""),"PNS")</f>
        <v>PNS</v>
      </c>
      <c r="J305" s="3" t="str">
        <f ca="1">IFERROR(__xludf.DUMMYFUNCTION("""COMPUTED_VALUE"""),"Pegawai PNS")</f>
        <v>Pegawai PNS</v>
      </c>
      <c r="K305" s="5" t="str">
        <f ca="1">IFERROR(__xludf.DUMMYFUNCTION("""COMPUTED_VALUE"""),"P")</f>
        <v>P</v>
      </c>
      <c r="L305" s="3" t="str">
        <f ca="1">IFERROR(__xludf.DUMMYFUNCTION("""COMPUTED_VALUE"""),"Tangerang")</f>
        <v>Tangerang</v>
      </c>
      <c r="M305" s="7">
        <f ca="1">IFERROR(__xludf.DUMMYFUNCTION("""COMPUTED_VALUE"""),33453)</f>
        <v>33453</v>
      </c>
      <c r="N305" s="4" t="str">
        <f ca="1">IFERROR(__xludf.DUMMYFUNCTION("""COMPUTED_VALUE"""),"Penata")</f>
        <v>Penata</v>
      </c>
      <c r="O305" s="3" t="str">
        <f ca="1">IFERROR(__xludf.DUMMYFUNCTION("""COMPUTED_VALUE"""),"III/c")</f>
        <v>III/c</v>
      </c>
      <c r="P305" s="7">
        <f ca="1">IFERROR(__xludf.DUMMYFUNCTION("""COMPUTED_VALUE"""),45017)</f>
        <v>45017</v>
      </c>
      <c r="Q305" s="3" t="str">
        <f ca="1">IFERROR(__xludf.DUMMYFUNCTION("""COMPUTED_VALUE"""),"515/Un.19/K.AUPK/KP.07.2/03/2023")</f>
        <v>515/Un.19/K.AUPK/KP.07.2/03/2023</v>
      </c>
      <c r="R305" s="3" t="str">
        <f ca="1">IFERROR(__xludf.DUMMYFUNCTION("""COMPUTED_VALUE"""),"Pengelola Layanan Operasional")</f>
        <v>Pengelola Layanan Operasional</v>
      </c>
      <c r="S305" s="3" t="str">
        <f ca="1">IFERROR(__xludf.DUMMYFUNCTION("""COMPUTED_VALUE"""),"Pelaksana")</f>
        <v>Pelaksana</v>
      </c>
      <c r="T305" s="7">
        <f ca="1">IFERROR(__xludf.DUMMYFUNCTION("""COMPUTED_VALUE"""),45842)</f>
        <v>45842</v>
      </c>
      <c r="U305" s="3" t="str">
        <f ca="1">IFERROR(__xludf.DUMMYFUNCTION("""COMPUTED_VALUE"""),"192046/B.II/KP.07/07/2025")</f>
        <v>192046/B.II/KP.07/07/2025</v>
      </c>
      <c r="V305" s="7">
        <f ca="1">IFERROR(__xludf.DUMMYFUNCTION("""COMPUTED_VALUE"""),45842)</f>
        <v>45842</v>
      </c>
      <c r="W305" s="3">
        <f ca="1">IFERROR(__xludf.DUMMYFUNCTION("""COMPUTED_VALUE"""),6)</f>
        <v>6</v>
      </c>
      <c r="X305" s="3"/>
      <c r="Y305" s="3" t="str">
        <f ca="1">IFERROR(__xludf.DUMMYFUNCTION("""COMPUTED_VALUE"""),"S-1")</f>
        <v>S-1</v>
      </c>
      <c r="Z305" s="3" t="str">
        <f ca="1">IFERROR(__xludf.DUMMYFUNCTION("""COMPUTED_VALUE"""),"10 Tahun 10 Bulan 27 Hari")</f>
        <v>10 Tahun 10 Bulan 27 Hari</v>
      </c>
      <c r="AA305" s="8">
        <f ca="1">IFERROR(__xludf.DUMMYFUNCTION("""COMPUTED_VALUE"""),54667)</f>
        <v>54667</v>
      </c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4"/>
      <c r="AR305" s="3"/>
      <c r="AS305" s="4"/>
      <c r="AT305" s="3"/>
      <c r="AU305" s="3"/>
    </row>
    <row r="306" spans="1:47" x14ac:dyDescent="0.2">
      <c r="A306" s="12">
        <v>305</v>
      </c>
      <c r="B306" s="3" t="str">
        <f ca="1">IFERROR(__xludf.DUMMYFUNCTION("""COMPUTED_VALUE"""),"Zaenal Asikin")</f>
        <v>Zaenal Asikin</v>
      </c>
      <c r="C306" s="3" t="str">
        <f ca="1">IFERROR(__xludf.DUMMYFUNCTION("""COMPUTED_VALUE"""),"Zaenal Asikin, S.Kom.")</f>
        <v>Zaenal Asikin, S.Kom.</v>
      </c>
      <c r="D306" s="3" t="str">
        <f ca="1">IFERROR(__xludf.DUMMYFUNCTION("""COMPUTED_VALUE"""),"Zaenal Asikin, S.Kom.")</f>
        <v>Zaenal Asikin, S.Kom.</v>
      </c>
      <c r="E306" s="3" t="str">
        <f ca="1">IFERROR(__xludf.DUMMYFUNCTION("""COMPUTED_VALUE"""),"199104292020121010")</f>
        <v>199104292020121010</v>
      </c>
      <c r="F306" s="3" t="str">
        <f ca="1">IFERROR(__xludf.DUMMYFUNCTION("""COMPUTED_VALUE"""),"‌19910429 202012 1 010")</f>
        <v>‌19910429 202012 1 010</v>
      </c>
      <c r="G306" s="3"/>
      <c r="H306" s="3"/>
      <c r="I306" s="3" t="str">
        <f ca="1">IFERROR(__xludf.DUMMYFUNCTION("""COMPUTED_VALUE"""),"PNS")</f>
        <v>PNS</v>
      </c>
      <c r="J306" s="3" t="str">
        <f ca="1">IFERROR(__xludf.DUMMYFUNCTION("""COMPUTED_VALUE"""),"Pegawai PNS")</f>
        <v>Pegawai PNS</v>
      </c>
      <c r="K306" s="5" t="str">
        <f ca="1">IFERROR(__xludf.DUMMYFUNCTION("""COMPUTED_VALUE"""),"L")</f>
        <v>L</v>
      </c>
      <c r="L306" s="3" t="str">
        <f ca="1">IFERROR(__xludf.DUMMYFUNCTION("""COMPUTED_VALUE"""),"Banyumas")</f>
        <v>Banyumas</v>
      </c>
      <c r="M306" s="7">
        <f ca="1">IFERROR(__xludf.DUMMYFUNCTION("""COMPUTED_VALUE"""),33357)</f>
        <v>33357</v>
      </c>
      <c r="N306" s="4" t="str">
        <f ca="1">IFERROR(__xludf.DUMMYFUNCTION("""COMPUTED_VALUE"""),"Penata Muda Tk.I")</f>
        <v>Penata Muda Tk.I</v>
      </c>
      <c r="O306" s="3" t="str">
        <f ca="1">IFERROR(__xludf.DUMMYFUNCTION("""COMPUTED_VALUE"""),"III/b")</f>
        <v>III/b</v>
      </c>
      <c r="P306" s="7">
        <f ca="1">IFERROR(__xludf.DUMMYFUNCTION("""COMPUTED_VALUE"""),45992)</f>
        <v>45992</v>
      </c>
      <c r="Q306" s="3" t="str">
        <f ca="1">IFERROR(__xludf.DUMMYFUNCTION("""COMPUTED_VALUE"""),"214551/B.II/KP.07.1/11/2025")</f>
        <v>214551/B.II/KP.07.1/11/2025</v>
      </c>
      <c r="R306" s="3" t="str">
        <f ca="1">IFERROR(__xludf.DUMMYFUNCTION("""COMPUTED_VALUE"""),"Pranata Komputer")</f>
        <v>Pranata Komputer</v>
      </c>
      <c r="S306" s="3" t="str">
        <f ca="1">IFERROR(__xludf.DUMMYFUNCTION("""COMPUTED_VALUE"""),"Ahli Pertama")</f>
        <v>Ahli Pertama</v>
      </c>
      <c r="T306" s="7">
        <f ca="1">IFERROR(__xludf.DUMMYFUNCTION("""COMPUTED_VALUE"""),44621)</f>
        <v>44621</v>
      </c>
      <c r="U306" s="3" t="str">
        <f ca="1">IFERROR(__xludf.DUMMYFUNCTION("""COMPUTED_VALUE"""),"002868/B.II/3/2022")</f>
        <v>002868/B.II/3/2022</v>
      </c>
      <c r="V306" s="7">
        <f ca="1">IFERROR(__xludf.DUMMYFUNCTION("""COMPUTED_VALUE"""),44621)</f>
        <v>44621</v>
      </c>
      <c r="W306" s="3">
        <f ca="1">IFERROR(__xludf.DUMMYFUNCTION("""COMPUTED_VALUE"""),8)</f>
        <v>8</v>
      </c>
      <c r="X306" s="3"/>
      <c r="Y306" s="3" t="str">
        <f ca="1">IFERROR(__xludf.DUMMYFUNCTION("""COMPUTED_VALUE"""),"S-1")</f>
        <v>S-1</v>
      </c>
      <c r="Z306" s="3" t="str">
        <f ca="1">IFERROR(__xludf.DUMMYFUNCTION("""COMPUTED_VALUE"""),"5 Tahun 1 Bulan 27 Hari")</f>
        <v>5 Tahun 1 Bulan 27 Hari</v>
      </c>
      <c r="AA306" s="8">
        <f ca="1">IFERROR(__xludf.DUMMYFUNCTION("""COMPUTED_VALUE"""),54544)</f>
        <v>54544</v>
      </c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4"/>
      <c r="AR306" s="3"/>
      <c r="AS306" s="4"/>
      <c r="AT306" s="3"/>
      <c r="AU306" s="3"/>
    </row>
    <row r="307" spans="1:47" x14ac:dyDescent="0.2">
      <c r="A307" s="12">
        <v>306</v>
      </c>
      <c r="B307" s="3" t="str">
        <f ca="1">IFERROR(__xludf.DUMMYFUNCTION("""COMPUTED_VALUE"""),"Zulfri Adhi Wibowo")</f>
        <v>Zulfri Adhi Wibowo</v>
      </c>
      <c r="C307" s="3" t="str">
        <f ca="1">IFERROR(__xludf.DUMMYFUNCTION("""COMPUTED_VALUE"""),"Zulfri Adhi Wibowo, S.Pd.")</f>
        <v>Zulfri Adhi Wibowo, S.Pd.</v>
      </c>
      <c r="D307" s="3" t="str">
        <f ca="1">IFERROR(__xludf.DUMMYFUNCTION("""COMPUTED_VALUE"""),"Zulfri Adhi Wibowo, S.Pd.")</f>
        <v>Zulfri Adhi Wibowo, S.Pd.</v>
      </c>
      <c r="E307" s="3" t="str">
        <f ca="1">IFERROR(__xludf.DUMMYFUNCTION("""COMPUTED_VALUE"""),"199407192019031011")</f>
        <v>199407192019031011</v>
      </c>
      <c r="F307" s="3" t="str">
        <f ca="1">IFERROR(__xludf.DUMMYFUNCTION("""COMPUTED_VALUE"""),"19940719 201903 1 011")</f>
        <v>19940719 201903 1 011</v>
      </c>
      <c r="G307" s="3"/>
      <c r="H307" s="3"/>
      <c r="I307" s="3" t="str">
        <f ca="1">IFERROR(__xludf.DUMMYFUNCTION("""COMPUTED_VALUE"""),"PNS")</f>
        <v>PNS</v>
      </c>
      <c r="J307" s="3" t="str">
        <f ca="1">IFERROR(__xludf.DUMMYFUNCTION("""COMPUTED_VALUE"""),"Pegawai PNS")</f>
        <v>Pegawai PNS</v>
      </c>
      <c r="K307" s="5" t="str">
        <f ca="1">IFERROR(__xludf.DUMMYFUNCTION("""COMPUTED_VALUE"""),"L")</f>
        <v>L</v>
      </c>
      <c r="L307" s="3" t="str">
        <f ca="1">IFERROR(__xludf.DUMMYFUNCTION("""COMPUTED_VALUE"""),"Purbalingga")</f>
        <v>Purbalingga</v>
      </c>
      <c r="M307" s="7">
        <f ca="1">IFERROR(__xludf.DUMMYFUNCTION("""COMPUTED_VALUE"""),34534)</f>
        <v>34534</v>
      </c>
      <c r="N307" s="4" t="str">
        <f ca="1">IFERROR(__xludf.DUMMYFUNCTION("""COMPUTED_VALUE"""),"Penata Muda Tk.I")</f>
        <v>Penata Muda Tk.I</v>
      </c>
      <c r="O307" s="3" t="str">
        <f ca="1">IFERROR(__xludf.DUMMYFUNCTION("""COMPUTED_VALUE"""),"III/b")</f>
        <v>III/b</v>
      </c>
      <c r="P307" s="7">
        <f ca="1">IFERROR(__xludf.DUMMYFUNCTION("""COMPUTED_VALUE"""),44835)</f>
        <v>44835</v>
      </c>
      <c r="Q307" s="3" t="str">
        <f ca="1">IFERROR(__xludf.DUMMYFUNCTION("""COMPUTED_VALUE"""),"2166/Un.19/K.AUPK/KP.07.1/09/2022")</f>
        <v>2166/Un.19/K.AUPK/KP.07.1/09/2022</v>
      </c>
      <c r="R307" s="3" t="str">
        <f ca="1">IFERROR(__xludf.DUMMYFUNCTION("""COMPUTED_VALUE"""),"Perencana")</f>
        <v>Perencana</v>
      </c>
      <c r="S307" s="3" t="str">
        <f ca="1">IFERROR(__xludf.DUMMYFUNCTION("""COMPUTED_VALUE"""),"Ahli Pertama")</f>
        <v>Ahli Pertama</v>
      </c>
      <c r="T307" s="7">
        <f ca="1">IFERROR(__xludf.DUMMYFUNCTION("""COMPUTED_VALUE"""),44054)</f>
        <v>44054</v>
      </c>
      <c r="U307" s="3" t="str">
        <f ca="1">IFERROR(__xludf.DUMMYFUNCTION("""COMPUTED_VALUE"""),"018030/B.II/3/2020")</f>
        <v>018030/B.II/3/2020</v>
      </c>
      <c r="V307" s="7">
        <f ca="1">IFERROR(__xludf.DUMMYFUNCTION("""COMPUTED_VALUE"""),44013)</f>
        <v>44013</v>
      </c>
      <c r="W307" s="3">
        <f ca="1">IFERROR(__xludf.DUMMYFUNCTION("""COMPUTED_VALUE"""),8)</f>
        <v>8</v>
      </c>
      <c r="X307" s="3"/>
      <c r="Y307" s="3" t="str">
        <f ca="1">IFERROR(__xludf.DUMMYFUNCTION("""COMPUTED_VALUE"""),"S-1")</f>
        <v>S-1</v>
      </c>
      <c r="Z307" s="3" t="str">
        <f ca="1">IFERROR(__xludf.DUMMYFUNCTION("""COMPUTED_VALUE"""),"6 Tahun 10 Bulan 27 Hari")</f>
        <v>6 Tahun 10 Bulan 27 Hari</v>
      </c>
      <c r="AA307" s="8">
        <f ca="1">IFERROR(__xludf.DUMMYFUNCTION("""COMPUTED_VALUE"""),55732)</f>
        <v>55732</v>
      </c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4"/>
      <c r="AR307" s="3"/>
      <c r="AS307" s="4"/>
      <c r="AT307" s="3"/>
      <c r="AU307" s="3"/>
    </row>
    <row r="308" spans="1:47" x14ac:dyDescent="0.2">
      <c r="A308" s="12">
        <v>307</v>
      </c>
      <c r="B308" s="3" t="str">
        <f ca="1">IFERROR(__xludf.DUMMYFUNCTION("""COMPUTED_VALUE"""),"‌Rega Sugiharto")</f>
        <v>‌Rega Sugiharto</v>
      </c>
      <c r="C308" s="3" t="str">
        <f ca="1">IFERROR(__xludf.DUMMYFUNCTION("""COMPUTED_VALUE"""),"Rega Sugiharto, S.Kom.")</f>
        <v>Rega Sugiharto, S.Kom.</v>
      </c>
      <c r="D308" s="3" t="str">
        <f ca="1">IFERROR(__xludf.DUMMYFUNCTION("""COMPUTED_VALUE"""),"Rega Sugiharto, S.Kom.")</f>
        <v>Rega Sugiharto, S.Kom.</v>
      </c>
      <c r="E308" s="3" t="str">
        <f ca="1">IFERROR(__xludf.DUMMYFUNCTION("""COMPUTED_VALUE"""),"199010272025051004")</f>
        <v>199010272025051004</v>
      </c>
      <c r="F308" s="3" t="str">
        <f ca="1">IFERROR(__xludf.DUMMYFUNCTION("""COMPUTED_VALUE"""),"19901027 202505 1 004")</f>
        <v>19901027 202505 1 004</v>
      </c>
      <c r="G308" s="3"/>
      <c r="H308" s="3"/>
      <c r="I308" s="3" t="str">
        <f ca="1">IFERROR(__xludf.DUMMYFUNCTION("""COMPUTED_VALUE"""),"CPNS")</f>
        <v>CPNS</v>
      </c>
      <c r="J308" s="3" t="str">
        <f ca="1">IFERROR(__xludf.DUMMYFUNCTION("""COMPUTED_VALUE"""),"Pegawai CPNS")</f>
        <v>Pegawai CPNS</v>
      </c>
      <c r="K308" s="5" t="str">
        <f ca="1">IFERROR(__xludf.DUMMYFUNCTION("""COMPUTED_VALUE"""),"L")</f>
        <v>L</v>
      </c>
      <c r="L308" s="3" t="str">
        <f ca="1">IFERROR(__xludf.DUMMYFUNCTION("""COMPUTED_VALUE"""),"Banyumas")</f>
        <v>Banyumas</v>
      </c>
      <c r="M308" s="7">
        <f ca="1">IFERROR(__xludf.DUMMYFUNCTION("""COMPUTED_VALUE"""),33173)</f>
        <v>33173</v>
      </c>
      <c r="N308" s="4" t="str">
        <f ca="1">IFERROR(__xludf.DUMMYFUNCTION("""COMPUTED_VALUE"""),"Penata Muda")</f>
        <v>Penata Muda</v>
      </c>
      <c r="O308" s="3" t="str">
        <f ca="1">IFERROR(__xludf.DUMMYFUNCTION("""COMPUTED_VALUE"""),"III/a")</f>
        <v>III/a</v>
      </c>
      <c r="P308" s="7">
        <f ca="1">IFERROR(__xludf.DUMMYFUNCTION("""COMPUTED_VALUE"""),45778)</f>
        <v>45778</v>
      </c>
      <c r="Q308" s="3"/>
      <c r="R308" s="3" t="str">
        <f ca="1">IFERROR(__xludf.DUMMYFUNCTION("""COMPUTED_VALUE"""),"Pegawai CPNS")</f>
        <v>Pegawai CPNS</v>
      </c>
      <c r="S308" s="3" t="str">
        <f ca="1">IFERROR(__xludf.DUMMYFUNCTION("""COMPUTED_VALUE"""),"Pegawai CPNS")</f>
        <v>Pegawai CPNS</v>
      </c>
      <c r="T308" s="7">
        <f ca="1">IFERROR(__xludf.DUMMYFUNCTION("""COMPUTED_VALUE"""),45778)</f>
        <v>45778</v>
      </c>
      <c r="U308" s="3" t="str">
        <f ca="1">IFERROR(__xludf.DUMMYFUNCTION("""COMPUTED_VALUE"""),"174341.1/B.II/KP.00.3/04/2025")</f>
        <v>174341.1/B.II/KP.00.3/04/2025</v>
      </c>
      <c r="V308" s="7">
        <f ca="1">IFERROR(__xludf.DUMMYFUNCTION("""COMPUTED_VALUE"""),45777)</f>
        <v>45777</v>
      </c>
      <c r="W308" s="3">
        <f ca="1">IFERROR(__xludf.DUMMYFUNCTION("""COMPUTED_VALUE"""),8)</f>
        <v>8</v>
      </c>
      <c r="X308" s="3"/>
      <c r="Y308" s="3" t="str">
        <f ca="1">IFERROR(__xludf.DUMMYFUNCTION("""COMPUTED_VALUE"""),"S-1")</f>
        <v>S-1</v>
      </c>
      <c r="Z308" s="3" t="str">
        <f ca="1">IFERROR(__xludf.DUMMYFUNCTION("""COMPUTED_VALUE"""),"0 Tahun 8 Bulan 27 Hari")</f>
        <v>0 Tahun 8 Bulan 27 Hari</v>
      </c>
      <c r="AA308" s="8">
        <f ca="1">IFERROR(__xludf.DUMMYFUNCTION("""COMPUTED_VALUE"""),54363)</f>
        <v>54363</v>
      </c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4"/>
      <c r="AR308" s="3"/>
      <c r="AS308" s="4"/>
      <c r="AT308" s="3"/>
      <c r="AU308" s="3"/>
    </row>
    <row r="309" spans="1:47" x14ac:dyDescent="0.2">
      <c r="A309" s="12">
        <v>308</v>
      </c>
      <c r="B309" s="3" t="str">
        <f ca="1">IFERROR(__xludf.DUMMYFUNCTION("""COMPUTED_VALUE"""),"‌Kusuma Yudha Ramadhani")</f>
        <v>‌Kusuma Yudha Ramadhani</v>
      </c>
      <c r="C309" s="3" t="str">
        <f ca="1">IFERROR(__xludf.DUMMYFUNCTION("""COMPUTED_VALUE"""),"Kusuma Yudha Ramadhani, S.Kom.")</f>
        <v>Kusuma Yudha Ramadhani, S.Kom.</v>
      </c>
      <c r="D309" s="3" t="str">
        <f ca="1">IFERROR(__xludf.DUMMYFUNCTION("""COMPUTED_VALUE"""),"Kusuma Yudha Ramadhani, S.Kom.")</f>
        <v>Kusuma Yudha Ramadhani, S.Kom.</v>
      </c>
      <c r="E309" s="3" t="str">
        <f ca="1">IFERROR(__xludf.DUMMYFUNCTION("""COMPUTED_VALUE"""),"199403042025051004")</f>
        <v>199403042025051004</v>
      </c>
      <c r="F309" s="3" t="str">
        <f ca="1">IFERROR(__xludf.DUMMYFUNCTION("""COMPUTED_VALUE"""),"19940304 202505 1 004")</f>
        <v>19940304 202505 1 004</v>
      </c>
      <c r="G309" s="3"/>
      <c r="H309" s="3"/>
      <c r="I309" s="3" t="str">
        <f ca="1">IFERROR(__xludf.DUMMYFUNCTION("""COMPUTED_VALUE"""),"CPNS")</f>
        <v>CPNS</v>
      </c>
      <c r="J309" s="3" t="str">
        <f ca="1">IFERROR(__xludf.DUMMYFUNCTION("""COMPUTED_VALUE"""),"Pegawai CPNS")</f>
        <v>Pegawai CPNS</v>
      </c>
      <c r="K309" s="5" t="str">
        <f ca="1">IFERROR(__xludf.DUMMYFUNCTION("""COMPUTED_VALUE"""),"L")</f>
        <v>L</v>
      </c>
      <c r="L309" s="3" t="str">
        <f ca="1">IFERROR(__xludf.DUMMYFUNCTION("""COMPUTED_VALUE"""),"Banyumas")</f>
        <v>Banyumas</v>
      </c>
      <c r="M309" s="7">
        <f ca="1">IFERROR(__xludf.DUMMYFUNCTION("""COMPUTED_VALUE"""),34397)</f>
        <v>34397</v>
      </c>
      <c r="N309" s="4" t="str">
        <f ca="1">IFERROR(__xludf.DUMMYFUNCTION("""COMPUTED_VALUE"""),"Penata Muda")</f>
        <v>Penata Muda</v>
      </c>
      <c r="O309" s="3" t="str">
        <f ca="1">IFERROR(__xludf.DUMMYFUNCTION("""COMPUTED_VALUE"""),"III/a")</f>
        <v>III/a</v>
      </c>
      <c r="P309" s="7">
        <f ca="1">IFERROR(__xludf.DUMMYFUNCTION("""COMPUTED_VALUE"""),45778)</f>
        <v>45778</v>
      </c>
      <c r="Q309" s="3"/>
      <c r="R309" s="3" t="str">
        <f ca="1">IFERROR(__xludf.DUMMYFUNCTION("""COMPUTED_VALUE"""),"Pegawai CPNS")</f>
        <v>Pegawai CPNS</v>
      </c>
      <c r="S309" s="3" t="str">
        <f ca="1">IFERROR(__xludf.DUMMYFUNCTION("""COMPUTED_VALUE"""),"Pegawai CPNS")</f>
        <v>Pegawai CPNS</v>
      </c>
      <c r="T309" s="7">
        <f ca="1">IFERROR(__xludf.DUMMYFUNCTION("""COMPUTED_VALUE"""),45778)</f>
        <v>45778</v>
      </c>
      <c r="U309" s="3" t="str">
        <f ca="1">IFERROR(__xludf.DUMMYFUNCTION("""COMPUTED_VALUE"""),"174340.1/B.II/KP.00.3/04/2025")</f>
        <v>174340.1/B.II/KP.00.3/04/2025</v>
      </c>
      <c r="V309" s="7">
        <f ca="1">IFERROR(__xludf.DUMMYFUNCTION("""COMPUTED_VALUE"""),45777)</f>
        <v>45777</v>
      </c>
      <c r="W309" s="3">
        <f ca="1">IFERROR(__xludf.DUMMYFUNCTION("""COMPUTED_VALUE"""),8)</f>
        <v>8</v>
      </c>
      <c r="X309" s="3"/>
      <c r="Y309" s="3" t="str">
        <f ca="1">IFERROR(__xludf.DUMMYFUNCTION("""COMPUTED_VALUE"""),"S-1")</f>
        <v>S-1</v>
      </c>
      <c r="Z309" s="3" t="str">
        <f ca="1">IFERROR(__xludf.DUMMYFUNCTION("""COMPUTED_VALUE"""),"0 Tahun 8 Bulan 27 Hari")</f>
        <v>0 Tahun 8 Bulan 27 Hari</v>
      </c>
      <c r="AA309" s="8">
        <f ca="1">IFERROR(__xludf.DUMMYFUNCTION("""COMPUTED_VALUE"""),55610)</f>
        <v>55610</v>
      </c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4"/>
      <c r="AR309" s="3"/>
      <c r="AS309" s="4"/>
      <c r="AT309" s="3"/>
      <c r="AU309" s="3"/>
    </row>
    <row r="310" spans="1:47" x14ac:dyDescent="0.2">
      <c r="A310" s="12">
        <v>309</v>
      </c>
      <c r="B310" s="3" t="str">
        <f ca="1">IFERROR(__xludf.DUMMYFUNCTION("""COMPUTED_VALUE"""),"‌Nurhuda Sarjono Mukti")</f>
        <v>‌Nurhuda Sarjono Mukti</v>
      </c>
      <c r="C310" s="3" t="str">
        <f ca="1">IFERROR(__xludf.DUMMYFUNCTION("""COMPUTED_VALUE"""),"Nurhuda Sarjono Mukti, S.E.")</f>
        <v>Nurhuda Sarjono Mukti, S.E.</v>
      </c>
      <c r="D310" s="3" t="str">
        <f ca="1">IFERROR(__xludf.DUMMYFUNCTION("""COMPUTED_VALUE"""),"Nurhuda Sarjono Mukti, S.E.")</f>
        <v>Nurhuda Sarjono Mukti, S.E.</v>
      </c>
      <c r="E310" s="3" t="str">
        <f ca="1">IFERROR(__xludf.DUMMYFUNCTION("""COMPUTED_VALUE"""),"199411172025051003")</f>
        <v>199411172025051003</v>
      </c>
      <c r="F310" s="3" t="str">
        <f ca="1">IFERROR(__xludf.DUMMYFUNCTION("""COMPUTED_VALUE"""),"19941117 202505 1 003")</f>
        <v>19941117 202505 1 003</v>
      </c>
      <c r="G310" s="3"/>
      <c r="H310" s="3"/>
      <c r="I310" s="3" t="str">
        <f ca="1">IFERROR(__xludf.DUMMYFUNCTION("""COMPUTED_VALUE"""),"CPNS")</f>
        <v>CPNS</v>
      </c>
      <c r="J310" s="3" t="str">
        <f ca="1">IFERROR(__xludf.DUMMYFUNCTION("""COMPUTED_VALUE"""),"Pegawai CPNS")</f>
        <v>Pegawai CPNS</v>
      </c>
      <c r="K310" s="5" t="str">
        <f ca="1">IFERROR(__xludf.DUMMYFUNCTION("""COMPUTED_VALUE"""),"L")</f>
        <v>L</v>
      </c>
      <c r="L310" s="3" t="str">
        <f ca="1">IFERROR(__xludf.DUMMYFUNCTION("""COMPUTED_VALUE"""),"Sleman")</f>
        <v>Sleman</v>
      </c>
      <c r="M310" s="7">
        <f ca="1">IFERROR(__xludf.DUMMYFUNCTION("""COMPUTED_VALUE"""),34655)</f>
        <v>34655</v>
      </c>
      <c r="N310" s="4" t="str">
        <f ca="1">IFERROR(__xludf.DUMMYFUNCTION("""COMPUTED_VALUE"""),"Penata Muda")</f>
        <v>Penata Muda</v>
      </c>
      <c r="O310" s="3" t="str">
        <f ca="1">IFERROR(__xludf.DUMMYFUNCTION("""COMPUTED_VALUE"""),"III/a")</f>
        <v>III/a</v>
      </c>
      <c r="P310" s="7">
        <f ca="1">IFERROR(__xludf.DUMMYFUNCTION("""COMPUTED_VALUE"""),45778)</f>
        <v>45778</v>
      </c>
      <c r="Q310" s="3"/>
      <c r="R310" s="3" t="str">
        <f ca="1">IFERROR(__xludf.DUMMYFUNCTION("""COMPUTED_VALUE"""),"Pegawai CPNS")</f>
        <v>Pegawai CPNS</v>
      </c>
      <c r="S310" s="3" t="str">
        <f ca="1">IFERROR(__xludf.DUMMYFUNCTION("""COMPUTED_VALUE"""),"Pegawai CPNS")</f>
        <v>Pegawai CPNS</v>
      </c>
      <c r="T310" s="7">
        <f ca="1">IFERROR(__xludf.DUMMYFUNCTION("""COMPUTED_VALUE"""),45778)</f>
        <v>45778</v>
      </c>
      <c r="U310" s="3" t="str">
        <f ca="1">IFERROR(__xludf.DUMMYFUNCTION("""COMPUTED_VALUE"""),"174336.1/B.II/KP.00.3/04/2025")</f>
        <v>174336.1/B.II/KP.00.3/04/2025</v>
      </c>
      <c r="V310" s="7">
        <f ca="1">IFERROR(__xludf.DUMMYFUNCTION("""COMPUTED_VALUE"""),45777)</f>
        <v>45777</v>
      </c>
      <c r="W310" s="3">
        <f ca="1">IFERROR(__xludf.DUMMYFUNCTION("""COMPUTED_VALUE"""),8)</f>
        <v>8</v>
      </c>
      <c r="X310" s="3"/>
      <c r="Y310" s="3" t="str">
        <f ca="1">IFERROR(__xludf.DUMMYFUNCTION("""COMPUTED_VALUE"""),"S-1")</f>
        <v>S-1</v>
      </c>
      <c r="Z310" s="3" t="str">
        <f ca="1">IFERROR(__xludf.DUMMYFUNCTION("""COMPUTED_VALUE"""),"0 Tahun 8 Bulan 27 Hari")</f>
        <v>0 Tahun 8 Bulan 27 Hari</v>
      </c>
      <c r="AA310" s="8">
        <f ca="1">IFERROR(__xludf.DUMMYFUNCTION("""COMPUTED_VALUE"""),55854)</f>
        <v>55854</v>
      </c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4"/>
      <c r="AR310" s="3"/>
      <c r="AS310" s="4"/>
      <c r="AT310" s="3"/>
      <c r="AU310" s="3"/>
    </row>
    <row r="311" spans="1:47" x14ac:dyDescent="0.2">
      <c r="A311" s="12">
        <v>310</v>
      </c>
      <c r="B311" s="3" t="str">
        <f ca="1">IFERROR(__xludf.DUMMYFUNCTION("""COMPUTED_VALUE"""),"‌Fajar Yuli Prasetyo")</f>
        <v>‌Fajar Yuli Prasetyo</v>
      </c>
      <c r="C311" s="3" t="str">
        <f ca="1">IFERROR(__xludf.DUMMYFUNCTION("""COMPUTED_VALUE"""),"Fajar Yuli Prasetyo, S.Kom.")</f>
        <v>Fajar Yuli Prasetyo, S.Kom.</v>
      </c>
      <c r="D311" s="3" t="str">
        <f ca="1">IFERROR(__xludf.DUMMYFUNCTION("""COMPUTED_VALUE"""),"Fajar Yuli Prasetyo, S.Kom.")</f>
        <v>Fajar Yuli Prasetyo, S.Kom.</v>
      </c>
      <c r="E311" s="3" t="str">
        <f ca="1">IFERROR(__xludf.DUMMYFUNCTION("""COMPUTED_VALUE"""),"199507042025051006")</f>
        <v>199507042025051006</v>
      </c>
      <c r="F311" s="3" t="str">
        <f ca="1">IFERROR(__xludf.DUMMYFUNCTION("""COMPUTED_VALUE"""),"19950704 202505 1 006")</f>
        <v>19950704 202505 1 006</v>
      </c>
      <c r="G311" s="3"/>
      <c r="H311" s="3"/>
      <c r="I311" s="3" t="str">
        <f ca="1">IFERROR(__xludf.DUMMYFUNCTION("""COMPUTED_VALUE"""),"CPNS")</f>
        <v>CPNS</v>
      </c>
      <c r="J311" s="3" t="str">
        <f ca="1">IFERROR(__xludf.DUMMYFUNCTION("""COMPUTED_VALUE"""),"Pegawai CPNS")</f>
        <v>Pegawai CPNS</v>
      </c>
      <c r="K311" s="5" t="str">
        <f ca="1">IFERROR(__xludf.DUMMYFUNCTION("""COMPUTED_VALUE"""),"L")</f>
        <v>L</v>
      </c>
      <c r="L311" s="3" t="str">
        <f ca="1">IFERROR(__xludf.DUMMYFUNCTION("""COMPUTED_VALUE"""),"Banyumas")</f>
        <v>Banyumas</v>
      </c>
      <c r="M311" s="7">
        <f ca="1">IFERROR(__xludf.DUMMYFUNCTION("""COMPUTED_VALUE"""),34884)</f>
        <v>34884</v>
      </c>
      <c r="N311" s="4" t="str">
        <f ca="1">IFERROR(__xludf.DUMMYFUNCTION("""COMPUTED_VALUE"""),"Penata Muda")</f>
        <v>Penata Muda</v>
      </c>
      <c r="O311" s="3" t="str">
        <f ca="1">IFERROR(__xludf.DUMMYFUNCTION("""COMPUTED_VALUE"""),"III/a")</f>
        <v>III/a</v>
      </c>
      <c r="P311" s="7">
        <f ca="1">IFERROR(__xludf.DUMMYFUNCTION("""COMPUTED_VALUE"""),45778)</f>
        <v>45778</v>
      </c>
      <c r="Q311" s="3"/>
      <c r="R311" s="3" t="str">
        <f ca="1">IFERROR(__xludf.DUMMYFUNCTION("""COMPUTED_VALUE"""),"Pegawai CPNS")</f>
        <v>Pegawai CPNS</v>
      </c>
      <c r="S311" s="3" t="str">
        <f ca="1">IFERROR(__xludf.DUMMYFUNCTION("""COMPUTED_VALUE"""),"Pegawai CPNS")</f>
        <v>Pegawai CPNS</v>
      </c>
      <c r="T311" s="7">
        <f ca="1">IFERROR(__xludf.DUMMYFUNCTION("""COMPUTED_VALUE"""),45778)</f>
        <v>45778</v>
      </c>
      <c r="U311" s="3" t="str">
        <f ca="1">IFERROR(__xludf.DUMMYFUNCTION("""COMPUTED_VALUE"""),"174338.1/B.II/KP.00.3/04/2025")</f>
        <v>174338.1/B.II/KP.00.3/04/2025</v>
      </c>
      <c r="V311" s="7">
        <f ca="1">IFERROR(__xludf.DUMMYFUNCTION("""COMPUTED_VALUE"""),45777)</f>
        <v>45777</v>
      </c>
      <c r="W311" s="3">
        <f ca="1">IFERROR(__xludf.DUMMYFUNCTION("""COMPUTED_VALUE"""),8)</f>
        <v>8</v>
      </c>
      <c r="X311" s="3"/>
      <c r="Y311" s="3" t="str">
        <f ca="1">IFERROR(__xludf.DUMMYFUNCTION("""COMPUTED_VALUE"""),"S-1")</f>
        <v>S-1</v>
      </c>
      <c r="Z311" s="3" t="str">
        <f ca="1">IFERROR(__xludf.DUMMYFUNCTION("""COMPUTED_VALUE"""),"0 Tahun 8 Bulan 27 Hari")</f>
        <v>0 Tahun 8 Bulan 27 Hari</v>
      </c>
      <c r="AA311" s="8">
        <f ca="1">IFERROR(__xludf.DUMMYFUNCTION("""COMPUTED_VALUE"""),56097)</f>
        <v>56097</v>
      </c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4"/>
      <c r="AR311" s="3"/>
      <c r="AS311" s="4"/>
      <c r="AT311" s="3"/>
      <c r="AU311" s="3"/>
    </row>
    <row r="312" spans="1:47" x14ac:dyDescent="0.2">
      <c r="A312" s="12">
        <v>311</v>
      </c>
      <c r="B312" s="3" t="str">
        <f ca="1">IFERROR(__xludf.DUMMYFUNCTION("""COMPUTED_VALUE"""),"‌Rizki Alip Suryanto")</f>
        <v>‌Rizki Alip Suryanto</v>
      </c>
      <c r="C312" s="3" t="str">
        <f ca="1">IFERROR(__xludf.DUMMYFUNCTION("""COMPUTED_VALUE"""),"Rizki Alip Suryanto, S.Kom.")</f>
        <v>Rizki Alip Suryanto, S.Kom.</v>
      </c>
      <c r="D312" s="3" t="str">
        <f ca="1">IFERROR(__xludf.DUMMYFUNCTION("""COMPUTED_VALUE"""),"Rizki Alip Suryanto, S.Kom.")</f>
        <v>Rizki Alip Suryanto, S.Kom.</v>
      </c>
      <c r="E312" s="3" t="str">
        <f ca="1">IFERROR(__xludf.DUMMYFUNCTION("""COMPUTED_VALUE"""),"199511152025051002")</f>
        <v>199511152025051002</v>
      </c>
      <c r="F312" s="3" t="str">
        <f ca="1">IFERROR(__xludf.DUMMYFUNCTION("""COMPUTED_VALUE"""),"19951115 202505 1 002")</f>
        <v>19951115 202505 1 002</v>
      </c>
      <c r="G312" s="3"/>
      <c r="H312" s="3"/>
      <c r="I312" s="3" t="str">
        <f ca="1">IFERROR(__xludf.DUMMYFUNCTION("""COMPUTED_VALUE"""),"CPNS")</f>
        <v>CPNS</v>
      </c>
      <c r="J312" s="3" t="str">
        <f ca="1">IFERROR(__xludf.DUMMYFUNCTION("""COMPUTED_VALUE"""),"Pegawai CPNS")</f>
        <v>Pegawai CPNS</v>
      </c>
      <c r="K312" s="5" t="str">
        <f ca="1">IFERROR(__xludf.DUMMYFUNCTION("""COMPUTED_VALUE"""),"L")</f>
        <v>L</v>
      </c>
      <c r="L312" s="3" t="str">
        <f ca="1">IFERROR(__xludf.DUMMYFUNCTION("""COMPUTED_VALUE"""),"Banjarnegara")</f>
        <v>Banjarnegara</v>
      </c>
      <c r="M312" s="7">
        <f ca="1">IFERROR(__xludf.DUMMYFUNCTION("""COMPUTED_VALUE"""),35018)</f>
        <v>35018</v>
      </c>
      <c r="N312" s="4" t="str">
        <f ca="1">IFERROR(__xludf.DUMMYFUNCTION("""COMPUTED_VALUE"""),"Penata Muda")</f>
        <v>Penata Muda</v>
      </c>
      <c r="O312" s="3" t="str">
        <f ca="1">IFERROR(__xludf.DUMMYFUNCTION("""COMPUTED_VALUE"""),"III/a")</f>
        <v>III/a</v>
      </c>
      <c r="P312" s="7">
        <f ca="1">IFERROR(__xludf.DUMMYFUNCTION("""COMPUTED_VALUE"""),45778)</f>
        <v>45778</v>
      </c>
      <c r="Q312" s="3"/>
      <c r="R312" s="3" t="str">
        <f ca="1">IFERROR(__xludf.DUMMYFUNCTION("""COMPUTED_VALUE"""),"Pegawai CPNS")</f>
        <v>Pegawai CPNS</v>
      </c>
      <c r="S312" s="3" t="str">
        <f ca="1">IFERROR(__xludf.DUMMYFUNCTION("""COMPUTED_VALUE"""),"Pegawai CPNS")</f>
        <v>Pegawai CPNS</v>
      </c>
      <c r="T312" s="7">
        <f ca="1">IFERROR(__xludf.DUMMYFUNCTION("""COMPUTED_VALUE"""),45778)</f>
        <v>45778</v>
      </c>
      <c r="U312" s="3" t="str">
        <f ca="1">IFERROR(__xludf.DUMMYFUNCTION("""COMPUTED_VALUE"""),"174342.1/B.II/KP.00.3/04/2025")</f>
        <v>174342.1/B.II/KP.00.3/04/2025</v>
      </c>
      <c r="V312" s="7">
        <f ca="1">IFERROR(__xludf.DUMMYFUNCTION("""COMPUTED_VALUE"""),45777)</f>
        <v>45777</v>
      </c>
      <c r="W312" s="3">
        <f ca="1">IFERROR(__xludf.DUMMYFUNCTION("""COMPUTED_VALUE"""),8)</f>
        <v>8</v>
      </c>
      <c r="X312" s="3"/>
      <c r="Y312" s="3" t="str">
        <f ca="1">IFERROR(__xludf.DUMMYFUNCTION("""COMPUTED_VALUE"""),"S-1")</f>
        <v>S-1</v>
      </c>
      <c r="Z312" s="3" t="str">
        <f ca="1">IFERROR(__xludf.DUMMYFUNCTION("""COMPUTED_VALUE"""),"0 Tahun 8 Bulan 27 Hari")</f>
        <v>0 Tahun 8 Bulan 27 Hari</v>
      </c>
      <c r="AA312" s="8">
        <f ca="1">IFERROR(__xludf.DUMMYFUNCTION("""COMPUTED_VALUE"""),56219)</f>
        <v>56219</v>
      </c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4"/>
      <c r="AR312" s="3"/>
      <c r="AS312" s="4"/>
      <c r="AT312" s="3"/>
      <c r="AU312" s="3"/>
    </row>
    <row r="313" spans="1:47" x14ac:dyDescent="0.2">
      <c r="A313" s="12">
        <v>312</v>
      </c>
      <c r="B313" s="3" t="str">
        <f ca="1">IFERROR(__xludf.DUMMYFUNCTION("""COMPUTED_VALUE"""),"‌Intan Saputri")</f>
        <v>‌Intan Saputri</v>
      </c>
      <c r="C313" s="3" t="str">
        <f ca="1">IFERROR(__xludf.DUMMYFUNCTION("""COMPUTED_VALUE"""),"Intan Saputri, S.Ak.")</f>
        <v>Intan Saputri, S.Ak.</v>
      </c>
      <c r="D313" s="3" t="str">
        <f ca="1">IFERROR(__xludf.DUMMYFUNCTION("""COMPUTED_VALUE"""),"Intan Saputri, S.Ak.")</f>
        <v>Intan Saputri, S.Ak.</v>
      </c>
      <c r="E313" s="3" t="str">
        <f ca="1">IFERROR(__xludf.DUMMYFUNCTION("""COMPUTED_VALUE"""),"199610282025052003")</f>
        <v>199610282025052003</v>
      </c>
      <c r="F313" s="3" t="str">
        <f ca="1">IFERROR(__xludf.DUMMYFUNCTION("""COMPUTED_VALUE"""),"19961028 202505 2 003")</f>
        <v>19961028 202505 2 003</v>
      </c>
      <c r="G313" s="3"/>
      <c r="H313" s="3"/>
      <c r="I313" s="3" t="str">
        <f ca="1">IFERROR(__xludf.DUMMYFUNCTION("""COMPUTED_VALUE"""),"CPNS")</f>
        <v>CPNS</v>
      </c>
      <c r="J313" s="3" t="str">
        <f ca="1">IFERROR(__xludf.DUMMYFUNCTION("""COMPUTED_VALUE"""),"Pegawai CPNS")</f>
        <v>Pegawai CPNS</v>
      </c>
      <c r="K313" s="5" t="str">
        <f ca="1">IFERROR(__xludf.DUMMYFUNCTION("""COMPUTED_VALUE"""),"P")</f>
        <v>P</v>
      </c>
      <c r="L313" s="3" t="str">
        <f ca="1">IFERROR(__xludf.DUMMYFUNCTION("""COMPUTED_VALUE"""),"Banyumas")</f>
        <v>Banyumas</v>
      </c>
      <c r="M313" s="7">
        <f ca="1">IFERROR(__xludf.DUMMYFUNCTION("""COMPUTED_VALUE"""),35366)</f>
        <v>35366</v>
      </c>
      <c r="N313" s="4" t="str">
        <f ca="1">IFERROR(__xludf.DUMMYFUNCTION("""COMPUTED_VALUE"""),"Penata Muda")</f>
        <v>Penata Muda</v>
      </c>
      <c r="O313" s="3" t="str">
        <f ca="1">IFERROR(__xludf.DUMMYFUNCTION("""COMPUTED_VALUE"""),"III/a")</f>
        <v>III/a</v>
      </c>
      <c r="P313" s="7">
        <f ca="1">IFERROR(__xludf.DUMMYFUNCTION("""COMPUTED_VALUE"""),45778)</f>
        <v>45778</v>
      </c>
      <c r="Q313" s="3"/>
      <c r="R313" s="3" t="str">
        <f ca="1">IFERROR(__xludf.DUMMYFUNCTION("""COMPUTED_VALUE"""),"Pegawai CPNS")</f>
        <v>Pegawai CPNS</v>
      </c>
      <c r="S313" s="3" t="str">
        <f ca="1">IFERROR(__xludf.DUMMYFUNCTION("""COMPUTED_VALUE"""),"Pegawai CPNS")</f>
        <v>Pegawai CPNS</v>
      </c>
      <c r="T313" s="7">
        <f ca="1">IFERROR(__xludf.DUMMYFUNCTION("""COMPUTED_VALUE"""),45778)</f>
        <v>45778</v>
      </c>
      <c r="U313" s="3" t="str">
        <f ca="1">IFERROR(__xludf.DUMMYFUNCTION("""COMPUTED_VALUE"""),"174335.1/B.II/KP.00.3/04/2025")</f>
        <v>174335.1/B.II/KP.00.3/04/2025</v>
      </c>
      <c r="V313" s="7">
        <f ca="1">IFERROR(__xludf.DUMMYFUNCTION("""COMPUTED_VALUE"""),45777)</f>
        <v>45777</v>
      </c>
      <c r="W313" s="3">
        <f ca="1">IFERROR(__xludf.DUMMYFUNCTION("""COMPUTED_VALUE"""),8)</f>
        <v>8</v>
      </c>
      <c r="X313" s="3"/>
      <c r="Y313" s="3" t="str">
        <f ca="1">IFERROR(__xludf.DUMMYFUNCTION("""COMPUTED_VALUE"""),"S-1")</f>
        <v>S-1</v>
      </c>
      <c r="Z313" s="3" t="str">
        <f ca="1">IFERROR(__xludf.DUMMYFUNCTION("""COMPUTED_VALUE"""),"0 Tahun 8 Bulan 27 Hari")</f>
        <v>0 Tahun 8 Bulan 27 Hari</v>
      </c>
      <c r="AA313" s="8">
        <f ca="1">IFERROR(__xludf.DUMMYFUNCTION("""COMPUTED_VALUE"""),56554)</f>
        <v>56554</v>
      </c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4"/>
      <c r="AR313" s="3"/>
      <c r="AS313" s="4"/>
      <c r="AT313" s="3"/>
      <c r="AU313" s="3"/>
    </row>
    <row r="314" spans="1:47" x14ac:dyDescent="0.2">
      <c r="A314" s="12">
        <v>313</v>
      </c>
      <c r="B314" s="3" t="str">
        <f ca="1">IFERROR(__xludf.DUMMYFUNCTION("""COMPUTED_VALUE"""),"‌Alvin Hidayat")</f>
        <v>‌Alvin Hidayat</v>
      </c>
      <c r="C314" s="3" t="str">
        <f ca="1">IFERROR(__xludf.DUMMYFUNCTION("""COMPUTED_VALUE"""),"Alvin Hidayat, S.Sos.")</f>
        <v>Alvin Hidayat, S.Sos.</v>
      </c>
      <c r="D314" s="3" t="str">
        <f ca="1">IFERROR(__xludf.DUMMYFUNCTION("""COMPUTED_VALUE"""),"Alvin Hidayat, S.Sos.")</f>
        <v>Alvin Hidayat, S.Sos.</v>
      </c>
      <c r="E314" s="3" t="str">
        <f ca="1">IFERROR(__xludf.DUMMYFUNCTION("""COMPUTED_VALUE"""),"199812192025051007")</f>
        <v>199812192025051007</v>
      </c>
      <c r="F314" s="3" t="str">
        <f ca="1">IFERROR(__xludf.DUMMYFUNCTION("""COMPUTED_VALUE"""),"19981219 202505 1 007")</f>
        <v>19981219 202505 1 007</v>
      </c>
      <c r="G314" s="3"/>
      <c r="H314" s="3"/>
      <c r="I314" s="3" t="str">
        <f ca="1">IFERROR(__xludf.DUMMYFUNCTION("""COMPUTED_VALUE"""),"CPNS")</f>
        <v>CPNS</v>
      </c>
      <c r="J314" s="3" t="str">
        <f ca="1">IFERROR(__xludf.DUMMYFUNCTION("""COMPUTED_VALUE"""),"Pegawai CPNS")</f>
        <v>Pegawai CPNS</v>
      </c>
      <c r="K314" s="5" t="str">
        <f ca="1">IFERROR(__xludf.DUMMYFUNCTION("""COMPUTED_VALUE"""),"L")</f>
        <v>L</v>
      </c>
      <c r="L314" s="3" t="str">
        <f ca="1">IFERROR(__xludf.DUMMYFUNCTION("""COMPUTED_VALUE"""),"Banyumas")</f>
        <v>Banyumas</v>
      </c>
      <c r="M314" s="7">
        <f ca="1">IFERROR(__xludf.DUMMYFUNCTION("""COMPUTED_VALUE"""),36148)</f>
        <v>36148</v>
      </c>
      <c r="N314" s="4" t="str">
        <f ca="1">IFERROR(__xludf.DUMMYFUNCTION("""COMPUTED_VALUE"""),"Penata Muda")</f>
        <v>Penata Muda</v>
      </c>
      <c r="O314" s="3" t="str">
        <f ca="1">IFERROR(__xludf.DUMMYFUNCTION("""COMPUTED_VALUE"""),"III/a")</f>
        <v>III/a</v>
      </c>
      <c r="P314" s="7">
        <f ca="1">IFERROR(__xludf.DUMMYFUNCTION("""COMPUTED_VALUE"""),45778)</f>
        <v>45778</v>
      </c>
      <c r="Q314" s="3"/>
      <c r="R314" s="3" t="str">
        <f ca="1">IFERROR(__xludf.DUMMYFUNCTION("""COMPUTED_VALUE"""),"Pegawai CPNS")</f>
        <v>Pegawai CPNS</v>
      </c>
      <c r="S314" s="3" t="str">
        <f ca="1">IFERROR(__xludf.DUMMYFUNCTION("""COMPUTED_VALUE"""),"Pegawai CPNS")</f>
        <v>Pegawai CPNS</v>
      </c>
      <c r="T314" s="7">
        <f ca="1">IFERROR(__xludf.DUMMYFUNCTION("""COMPUTED_VALUE"""),45778)</f>
        <v>45778</v>
      </c>
      <c r="U314" s="3" t="str">
        <f ca="1">IFERROR(__xludf.DUMMYFUNCTION("""COMPUTED_VALUE"""),"174337.1/B.II/KP.00.3/04/2025")</f>
        <v>174337.1/B.II/KP.00.3/04/2025</v>
      </c>
      <c r="V314" s="7">
        <f ca="1">IFERROR(__xludf.DUMMYFUNCTION("""COMPUTED_VALUE"""),45777)</f>
        <v>45777</v>
      </c>
      <c r="W314" s="3">
        <f ca="1">IFERROR(__xludf.DUMMYFUNCTION("""COMPUTED_VALUE"""),8)</f>
        <v>8</v>
      </c>
      <c r="X314" s="3"/>
      <c r="Y314" s="3" t="str">
        <f ca="1">IFERROR(__xludf.DUMMYFUNCTION("""COMPUTED_VALUE"""),"S-1")</f>
        <v>S-1</v>
      </c>
      <c r="Z314" s="3" t="str">
        <f ca="1">IFERROR(__xludf.DUMMYFUNCTION("""COMPUTED_VALUE"""),"0 Tahun 8 Bulan 27 Hari")</f>
        <v>0 Tahun 8 Bulan 27 Hari</v>
      </c>
      <c r="AA314" s="8">
        <f ca="1">IFERROR(__xludf.DUMMYFUNCTION("""COMPUTED_VALUE"""),57346)</f>
        <v>57346</v>
      </c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4"/>
      <c r="AR314" s="3"/>
      <c r="AS314" s="4"/>
      <c r="AT314" s="3"/>
      <c r="AU314" s="3"/>
    </row>
    <row r="315" spans="1:47" x14ac:dyDescent="0.2">
      <c r="A315" s="12">
        <v>314</v>
      </c>
      <c r="B315" s="3" t="str">
        <f ca="1">IFERROR(__xludf.DUMMYFUNCTION("""COMPUTED_VALUE"""),"‌Ikhda Ngatiatul Munji")</f>
        <v>‌Ikhda Ngatiatul Munji</v>
      </c>
      <c r="C315" s="3" t="str">
        <f ca="1">IFERROR(__xludf.DUMMYFUNCTION("""COMPUTED_VALUE"""),"Ikhda Ngatiatul Munji, S.E.")</f>
        <v>Ikhda Ngatiatul Munji, S.E.</v>
      </c>
      <c r="D315" s="3" t="str">
        <f ca="1">IFERROR(__xludf.DUMMYFUNCTION("""COMPUTED_VALUE"""),"Ikhda Ngatiatul Munji, S.E.")</f>
        <v>Ikhda Ngatiatul Munji, S.E.</v>
      </c>
      <c r="E315" s="3" t="str">
        <f ca="1">IFERROR(__xludf.DUMMYFUNCTION("""COMPUTED_VALUE"""),"199812302025052007")</f>
        <v>199812302025052007</v>
      </c>
      <c r="F315" s="3" t="str">
        <f ca="1">IFERROR(__xludf.DUMMYFUNCTION("""COMPUTED_VALUE"""),"19981230 202505 2 007")</f>
        <v>19981230 202505 2 007</v>
      </c>
      <c r="G315" s="3"/>
      <c r="H315" s="3"/>
      <c r="I315" s="3" t="str">
        <f ca="1">IFERROR(__xludf.DUMMYFUNCTION("""COMPUTED_VALUE"""),"CPNS")</f>
        <v>CPNS</v>
      </c>
      <c r="J315" s="3" t="str">
        <f ca="1">IFERROR(__xludf.DUMMYFUNCTION("""COMPUTED_VALUE"""),"Pegawai CPNS")</f>
        <v>Pegawai CPNS</v>
      </c>
      <c r="K315" s="5" t="str">
        <f ca="1">IFERROR(__xludf.DUMMYFUNCTION("""COMPUTED_VALUE"""),"P")</f>
        <v>P</v>
      </c>
      <c r="L315" s="3" t="str">
        <f ca="1">IFERROR(__xludf.DUMMYFUNCTION("""COMPUTED_VALUE"""),"Banyumas")</f>
        <v>Banyumas</v>
      </c>
      <c r="M315" s="7">
        <f ca="1">IFERROR(__xludf.DUMMYFUNCTION("""COMPUTED_VALUE"""),36159)</f>
        <v>36159</v>
      </c>
      <c r="N315" s="4" t="str">
        <f ca="1">IFERROR(__xludf.DUMMYFUNCTION("""COMPUTED_VALUE"""),"Penata Muda")</f>
        <v>Penata Muda</v>
      </c>
      <c r="O315" s="3" t="str">
        <f ca="1">IFERROR(__xludf.DUMMYFUNCTION("""COMPUTED_VALUE"""),"III/a")</f>
        <v>III/a</v>
      </c>
      <c r="P315" s="7">
        <f ca="1">IFERROR(__xludf.DUMMYFUNCTION("""COMPUTED_VALUE"""),45778)</f>
        <v>45778</v>
      </c>
      <c r="Q315" s="3"/>
      <c r="R315" s="3" t="str">
        <f ca="1">IFERROR(__xludf.DUMMYFUNCTION("""COMPUTED_VALUE"""),"Pegawai CPNS")</f>
        <v>Pegawai CPNS</v>
      </c>
      <c r="S315" s="3" t="str">
        <f ca="1">IFERROR(__xludf.DUMMYFUNCTION("""COMPUTED_VALUE"""),"Pegawai CPNS")</f>
        <v>Pegawai CPNS</v>
      </c>
      <c r="T315" s="7">
        <f ca="1">IFERROR(__xludf.DUMMYFUNCTION("""COMPUTED_VALUE"""),45778)</f>
        <v>45778</v>
      </c>
      <c r="U315" s="3" t="str">
        <f ca="1">IFERROR(__xludf.DUMMYFUNCTION("""COMPUTED_VALUE"""),"174332.1/B.II/KP.00.3/04/2025")</f>
        <v>174332.1/B.II/KP.00.3/04/2025</v>
      </c>
      <c r="V315" s="7">
        <f ca="1">IFERROR(__xludf.DUMMYFUNCTION("""COMPUTED_VALUE"""),45777)</f>
        <v>45777</v>
      </c>
      <c r="W315" s="3">
        <f ca="1">IFERROR(__xludf.DUMMYFUNCTION("""COMPUTED_VALUE"""),8)</f>
        <v>8</v>
      </c>
      <c r="X315" s="3"/>
      <c r="Y315" s="3" t="str">
        <f ca="1">IFERROR(__xludf.DUMMYFUNCTION("""COMPUTED_VALUE"""),"S-1")</f>
        <v>S-1</v>
      </c>
      <c r="Z315" s="3" t="str">
        <f ca="1">IFERROR(__xludf.DUMMYFUNCTION("""COMPUTED_VALUE"""),"0 Tahun 8 Bulan 27 Hari")</f>
        <v>0 Tahun 8 Bulan 27 Hari</v>
      </c>
      <c r="AA315" s="8">
        <f ca="1">IFERROR(__xludf.DUMMYFUNCTION("""COMPUTED_VALUE"""),57346)</f>
        <v>57346</v>
      </c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4"/>
      <c r="AR315" s="3"/>
      <c r="AS315" s="4"/>
      <c r="AT315" s="3"/>
      <c r="AU315" s="3"/>
    </row>
    <row r="316" spans="1:47" x14ac:dyDescent="0.2">
      <c r="A316" s="12">
        <v>315</v>
      </c>
      <c r="B316" s="3" t="str">
        <f ca="1">IFERROR(__xludf.DUMMYFUNCTION("""COMPUTED_VALUE"""),"‌Eva Nur Safitri")</f>
        <v>‌Eva Nur Safitri</v>
      </c>
      <c r="C316" s="3" t="str">
        <f ca="1">IFERROR(__xludf.DUMMYFUNCTION("""COMPUTED_VALUE"""),"Eva Nur Safitri, S.E.")</f>
        <v>Eva Nur Safitri, S.E.</v>
      </c>
      <c r="D316" s="3" t="str">
        <f ca="1">IFERROR(__xludf.DUMMYFUNCTION("""COMPUTED_VALUE"""),"Eva Nur Safitri, S.E.")</f>
        <v>Eva Nur Safitri, S.E.</v>
      </c>
      <c r="E316" s="3" t="str">
        <f ca="1">IFERROR(__xludf.DUMMYFUNCTION("""COMPUTED_VALUE"""),"199909302025052007")</f>
        <v>199909302025052007</v>
      </c>
      <c r="F316" s="3" t="str">
        <f ca="1">IFERROR(__xludf.DUMMYFUNCTION("""COMPUTED_VALUE"""),"19990930 202505 2 007")</f>
        <v>19990930 202505 2 007</v>
      </c>
      <c r="G316" s="3"/>
      <c r="H316" s="3"/>
      <c r="I316" s="3" t="str">
        <f ca="1">IFERROR(__xludf.DUMMYFUNCTION("""COMPUTED_VALUE"""),"CPNS")</f>
        <v>CPNS</v>
      </c>
      <c r="J316" s="3" t="str">
        <f ca="1">IFERROR(__xludf.DUMMYFUNCTION("""COMPUTED_VALUE"""),"Pegawai CPNS")</f>
        <v>Pegawai CPNS</v>
      </c>
      <c r="K316" s="5" t="str">
        <f ca="1">IFERROR(__xludf.DUMMYFUNCTION("""COMPUTED_VALUE"""),"P")</f>
        <v>P</v>
      </c>
      <c r="L316" s="3" t="str">
        <f ca="1">IFERROR(__xludf.DUMMYFUNCTION("""COMPUTED_VALUE"""),"Banyumas")</f>
        <v>Banyumas</v>
      </c>
      <c r="M316" s="7">
        <f ca="1">IFERROR(__xludf.DUMMYFUNCTION("""COMPUTED_VALUE"""),36433)</f>
        <v>36433</v>
      </c>
      <c r="N316" s="4" t="str">
        <f ca="1">IFERROR(__xludf.DUMMYFUNCTION("""COMPUTED_VALUE"""),"Penata Muda")</f>
        <v>Penata Muda</v>
      </c>
      <c r="O316" s="3" t="str">
        <f ca="1">IFERROR(__xludf.DUMMYFUNCTION("""COMPUTED_VALUE"""),"III/a")</f>
        <v>III/a</v>
      </c>
      <c r="P316" s="7">
        <f ca="1">IFERROR(__xludf.DUMMYFUNCTION("""COMPUTED_VALUE"""),45778)</f>
        <v>45778</v>
      </c>
      <c r="Q316" s="3"/>
      <c r="R316" s="3" t="str">
        <f ca="1">IFERROR(__xludf.DUMMYFUNCTION("""COMPUTED_VALUE"""),"Pegawai CPNS")</f>
        <v>Pegawai CPNS</v>
      </c>
      <c r="S316" s="3" t="str">
        <f ca="1">IFERROR(__xludf.DUMMYFUNCTION("""COMPUTED_VALUE"""),"Pegawai CPNS")</f>
        <v>Pegawai CPNS</v>
      </c>
      <c r="T316" s="7">
        <f ca="1">IFERROR(__xludf.DUMMYFUNCTION("""COMPUTED_VALUE"""),45778)</f>
        <v>45778</v>
      </c>
      <c r="U316" s="3" t="str">
        <f ca="1">IFERROR(__xludf.DUMMYFUNCTION("""COMPUTED_VALUE"""),"174334.1/B.II/KP.00.3/04/2025")</f>
        <v>174334.1/B.II/KP.00.3/04/2025</v>
      </c>
      <c r="V316" s="7">
        <f ca="1">IFERROR(__xludf.DUMMYFUNCTION("""COMPUTED_VALUE"""),45777)</f>
        <v>45777</v>
      </c>
      <c r="W316" s="3">
        <f ca="1">IFERROR(__xludf.DUMMYFUNCTION("""COMPUTED_VALUE"""),8)</f>
        <v>8</v>
      </c>
      <c r="X316" s="3"/>
      <c r="Y316" s="3" t="str">
        <f ca="1">IFERROR(__xludf.DUMMYFUNCTION("""COMPUTED_VALUE"""),"S-1")</f>
        <v>S-1</v>
      </c>
      <c r="Z316" s="3" t="str">
        <f ca="1">IFERROR(__xludf.DUMMYFUNCTION("""COMPUTED_VALUE"""),"0 Tahun 8 Bulan 27 Hari")</f>
        <v>0 Tahun 8 Bulan 27 Hari</v>
      </c>
      <c r="AA316" s="8">
        <f ca="1">IFERROR(__xludf.DUMMYFUNCTION("""COMPUTED_VALUE"""),57619)</f>
        <v>57619</v>
      </c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4"/>
      <c r="AR316" s="3"/>
      <c r="AS316" s="4"/>
      <c r="AT316" s="3"/>
      <c r="AU316" s="3"/>
    </row>
    <row r="317" spans="1:47" x14ac:dyDescent="0.2">
      <c r="A317" s="12">
        <v>316</v>
      </c>
      <c r="B317" s="3" t="str">
        <f ca="1">IFERROR(__xludf.DUMMYFUNCTION("""COMPUTED_VALUE"""),"‌Annisa Weningtyas")</f>
        <v>‌Annisa Weningtyas</v>
      </c>
      <c r="C317" s="3" t="str">
        <f ca="1">IFERROR(__xludf.DUMMYFUNCTION("""COMPUTED_VALUE"""),"Annisa Weningtyas, S.H.")</f>
        <v>Annisa Weningtyas, S.H.</v>
      </c>
      <c r="D317" s="3" t="str">
        <f ca="1">IFERROR(__xludf.DUMMYFUNCTION("""COMPUTED_VALUE"""),"Annisa Weningtyas, S.H.")</f>
        <v>Annisa Weningtyas, S.H.</v>
      </c>
      <c r="E317" s="3" t="str">
        <f ca="1">IFERROR(__xludf.DUMMYFUNCTION("""COMPUTED_VALUE"""),"200003282025052006")</f>
        <v>200003282025052006</v>
      </c>
      <c r="F317" s="3" t="str">
        <f ca="1">IFERROR(__xludf.DUMMYFUNCTION("""COMPUTED_VALUE"""),"20000328 202505 2 006")</f>
        <v>20000328 202505 2 006</v>
      </c>
      <c r="G317" s="3"/>
      <c r="H317" s="3"/>
      <c r="I317" s="3" t="str">
        <f ca="1">IFERROR(__xludf.DUMMYFUNCTION("""COMPUTED_VALUE"""),"CPNS")</f>
        <v>CPNS</v>
      </c>
      <c r="J317" s="3" t="str">
        <f ca="1">IFERROR(__xludf.DUMMYFUNCTION("""COMPUTED_VALUE"""),"Pegawai CPNS")</f>
        <v>Pegawai CPNS</v>
      </c>
      <c r="K317" s="5" t="str">
        <f ca="1">IFERROR(__xludf.DUMMYFUNCTION("""COMPUTED_VALUE"""),"P")</f>
        <v>P</v>
      </c>
      <c r="L317" s="3" t="str">
        <f ca="1">IFERROR(__xludf.DUMMYFUNCTION("""COMPUTED_VALUE"""),"Kebumen")</f>
        <v>Kebumen</v>
      </c>
      <c r="M317" s="7">
        <f ca="1">IFERROR(__xludf.DUMMYFUNCTION("""COMPUTED_VALUE"""),36613)</f>
        <v>36613</v>
      </c>
      <c r="N317" s="4" t="str">
        <f ca="1">IFERROR(__xludf.DUMMYFUNCTION("""COMPUTED_VALUE"""),"Penata Muda")</f>
        <v>Penata Muda</v>
      </c>
      <c r="O317" s="3" t="str">
        <f ca="1">IFERROR(__xludf.DUMMYFUNCTION("""COMPUTED_VALUE"""),"III/a")</f>
        <v>III/a</v>
      </c>
      <c r="P317" s="7">
        <f ca="1">IFERROR(__xludf.DUMMYFUNCTION("""COMPUTED_VALUE"""),45778)</f>
        <v>45778</v>
      </c>
      <c r="Q317" s="3"/>
      <c r="R317" s="3" t="str">
        <f ca="1">IFERROR(__xludf.DUMMYFUNCTION("""COMPUTED_VALUE"""),"Pegawai CPNS")</f>
        <v>Pegawai CPNS</v>
      </c>
      <c r="S317" s="3" t="str">
        <f ca="1">IFERROR(__xludf.DUMMYFUNCTION("""COMPUTED_VALUE"""),"Pegawai CPNS")</f>
        <v>Pegawai CPNS</v>
      </c>
      <c r="T317" s="7">
        <f ca="1">IFERROR(__xludf.DUMMYFUNCTION("""COMPUTED_VALUE"""),45778)</f>
        <v>45778</v>
      </c>
      <c r="U317" s="3" t="str">
        <f ca="1">IFERROR(__xludf.DUMMYFUNCTION("""COMPUTED_VALUE"""),"174331.1/B.II/KP.00.3/04/2025")</f>
        <v>174331.1/B.II/KP.00.3/04/2025</v>
      </c>
      <c r="V317" s="7">
        <f ca="1">IFERROR(__xludf.DUMMYFUNCTION("""COMPUTED_VALUE"""),45777)</f>
        <v>45777</v>
      </c>
      <c r="W317" s="3">
        <f ca="1">IFERROR(__xludf.DUMMYFUNCTION("""COMPUTED_VALUE"""),8)</f>
        <v>8</v>
      </c>
      <c r="X317" s="3"/>
      <c r="Y317" s="3" t="str">
        <f ca="1">IFERROR(__xludf.DUMMYFUNCTION("""COMPUTED_VALUE"""),"S-1")</f>
        <v>S-1</v>
      </c>
      <c r="Z317" s="3" t="str">
        <f ca="1">IFERROR(__xludf.DUMMYFUNCTION("""COMPUTED_VALUE"""),"0 Tahun 8 Bulan 27 Hari")</f>
        <v>0 Tahun 8 Bulan 27 Hari</v>
      </c>
      <c r="AA317" s="8">
        <f ca="1">IFERROR(__xludf.DUMMYFUNCTION("""COMPUTED_VALUE"""),57801)</f>
        <v>57801</v>
      </c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4"/>
      <c r="AR317" s="3"/>
      <c r="AS317" s="4"/>
      <c r="AT317" s="3"/>
      <c r="AU317" s="3"/>
    </row>
    <row r="318" spans="1:47" x14ac:dyDescent="0.2">
      <c r="A318" s="12">
        <v>317</v>
      </c>
      <c r="B318" s="3" t="str">
        <f ca="1">IFERROR(__xludf.DUMMYFUNCTION("""COMPUTED_VALUE"""),"‌Farhan Ahmad Muttaqin")</f>
        <v>‌Farhan Ahmad Muttaqin</v>
      </c>
      <c r="C318" s="3" t="str">
        <f ca="1">IFERROR(__xludf.DUMMYFUNCTION("""COMPUTED_VALUE"""),"Farhan Ahmad Muttaqin, S.Kom.")</f>
        <v>Farhan Ahmad Muttaqin, S.Kom.</v>
      </c>
      <c r="D318" s="3" t="str">
        <f ca="1">IFERROR(__xludf.DUMMYFUNCTION("""COMPUTED_VALUE"""),"Farhan Ahmad Muttaqin, S.Kom.")</f>
        <v>Farhan Ahmad Muttaqin, S.Kom.</v>
      </c>
      <c r="E318" s="3" t="str">
        <f ca="1">IFERROR(__xludf.DUMMYFUNCTION("""COMPUTED_VALUE"""),"200006282025051004")</f>
        <v>200006282025051004</v>
      </c>
      <c r="F318" s="3" t="str">
        <f ca="1">IFERROR(__xludf.DUMMYFUNCTION("""COMPUTED_VALUE"""),"20000628 202505 1 004")</f>
        <v>20000628 202505 1 004</v>
      </c>
      <c r="G318" s="3"/>
      <c r="H318" s="3"/>
      <c r="I318" s="3" t="str">
        <f ca="1">IFERROR(__xludf.DUMMYFUNCTION("""COMPUTED_VALUE"""),"CPNS")</f>
        <v>CPNS</v>
      </c>
      <c r="J318" s="3" t="str">
        <f ca="1">IFERROR(__xludf.DUMMYFUNCTION("""COMPUTED_VALUE"""),"Pegawai CPNS")</f>
        <v>Pegawai CPNS</v>
      </c>
      <c r="K318" s="5" t="str">
        <f ca="1">IFERROR(__xludf.DUMMYFUNCTION("""COMPUTED_VALUE"""),"L")</f>
        <v>L</v>
      </c>
      <c r="L318" s="3" t="str">
        <f ca="1">IFERROR(__xludf.DUMMYFUNCTION("""COMPUTED_VALUE"""),"Cilacap")</f>
        <v>Cilacap</v>
      </c>
      <c r="M318" s="7">
        <f ca="1">IFERROR(__xludf.DUMMYFUNCTION("""COMPUTED_VALUE"""),36705)</f>
        <v>36705</v>
      </c>
      <c r="N318" s="4" t="str">
        <f ca="1">IFERROR(__xludf.DUMMYFUNCTION("""COMPUTED_VALUE"""),"Penata Muda")</f>
        <v>Penata Muda</v>
      </c>
      <c r="O318" s="3" t="str">
        <f ca="1">IFERROR(__xludf.DUMMYFUNCTION("""COMPUTED_VALUE"""),"III/a")</f>
        <v>III/a</v>
      </c>
      <c r="P318" s="7">
        <f ca="1">IFERROR(__xludf.DUMMYFUNCTION("""COMPUTED_VALUE"""),45778)</f>
        <v>45778</v>
      </c>
      <c r="Q318" s="3"/>
      <c r="R318" s="3" t="str">
        <f ca="1">IFERROR(__xludf.DUMMYFUNCTION("""COMPUTED_VALUE"""),"Pegawai CPNS")</f>
        <v>Pegawai CPNS</v>
      </c>
      <c r="S318" s="3" t="str">
        <f ca="1">IFERROR(__xludf.DUMMYFUNCTION("""COMPUTED_VALUE"""),"Pegawai CPNS")</f>
        <v>Pegawai CPNS</v>
      </c>
      <c r="T318" s="7">
        <f ca="1">IFERROR(__xludf.DUMMYFUNCTION("""COMPUTED_VALUE"""),45778)</f>
        <v>45778</v>
      </c>
      <c r="U318" s="3" t="str">
        <f ca="1">IFERROR(__xludf.DUMMYFUNCTION("""COMPUTED_VALUE"""),"174339.1/B.II/KP.00.3/04/2025")</f>
        <v>174339.1/B.II/KP.00.3/04/2025</v>
      </c>
      <c r="V318" s="7">
        <f ca="1">IFERROR(__xludf.DUMMYFUNCTION("""COMPUTED_VALUE"""),45777)</f>
        <v>45777</v>
      </c>
      <c r="W318" s="3">
        <f ca="1">IFERROR(__xludf.DUMMYFUNCTION("""COMPUTED_VALUE"""),8)</f>
        <v>8</v>
      </c>
      <c r="X318" s="3"/>
      <c r="Y318" s="3" t="str">
        <f ca="1">IFERROR(__xludf.DUMMYFUNCTION("""COMPUTED_VALUE"""),"S-1")</f>
        <v>S-1</v>
      </c>
      <c r="Z318" s="3" t="str">
        <f ca="1">IFERROR(__xludf.DUMMYFUNCTION("""COMPUTED_VALUE"""),"0 Tahun 8 Bulan 27 Hari")</f>
        <v>0 Tahun 8 Bulan 27 Hari</v>
      </c>
      <c r="AA318" s="8">
        <f ca="1">IFERROR(__xludf.DUMMYFUNCTION("""COMPUTED_VALUE"""),57892)</f>
        <v>57892</v>
      </c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4"/>
      <c r="AR318" s="3"/>
      <c r="AS318" s="4"/>
      <c r="AT318" s="3"/>
      <c r="AU318" s="3"/>
    </row>
    <row r="319" spans="1:47" x14ac:dyDescent="0.2">
      <c r="A319" s="12">
        <v>318</v>
      </c>
      <c r="B319" s="3" t="str">
        <f ca="1">IFERROR(__xludf.DUMMYFUNCTION("""COMPUTED_VALUE"""),"‌Anisa Delima Wati")</f>
        <v>‌Anisa Delima Wati</v>
      </c>
      <c r="C319" s="3" t="str">
        <f ca="1">IFERROR(__xludf.DUMMYFUNCTION("""COMPUTED_VALUE"""),"Anisa Delima Wati, S.E.")</f>
        <v>Anisa Delima Wati, S.E.</v>
      </c>
      <c r="D319" s="3" t="str">
        <f ca="1">IFERROR(__xludf.DUMMYFUNCTION("""COMPUTED_VALUE"""),"Anisa Delima Wati, S.E.")</f>
        <v>Anisa Delima Wati, S.E.</v>
      </c>
      <c r="E319" s="3" t="str">
        <f ca="1">IFERROR(__xludf.DUMMYFUNCTION("""COMPUTED_VALUE"""),"200011232025052004")</f>
        <v>200011232025052004</v>
      </c>
      <c r="F319" s="3" t="str">
        <f ca="1">IFERROR(__xludf.DUMMYFUNCTION("""COMPUTED_VALUE"""),"20001123 202505 2 004")</f>
        <v>20001123 202505 2 004</v>
      </c>
      <c r="G319" s="3"/>
      <c r="H319" s="3"/>
      <c r="I319" s="3" t="str">
        <f ca="1">IFERROR(__xludf.DUMMYFUNCTION("""COMPUTED_VALUE"""),"CPNS")</f>
        <v>CPNS</v>
      </c>
      <c r="J319" s="3" t="str">
        <f ca="1">IFERROR(__xludf.DUMMYFUNCTION("""COMPUTED_VALUE"""),"Pegawai CPNS")</f>
        <v>Pegawai CPNS</v>
      </c>
      <c r="K319" s="5" t="str">
        <f ca="1">IFERROR(__xludf.DUMMYFUNCTION("""COMPUTED_VALUE"""),"P")</f>
        <v>P</v>
      </c>
      <c r="L319" s="3" t="str">
        <f ca="1">IFERROR(__xludf.DUMMYFUNCTION("""COMPUTED_VALUE"""),"Pemalang")</f>
        <v>Pemalang</v>
      </c>
      <c r="M319" s="7">
        <f ca="1">IFERROR(__xludf.DUMMYFUNCTION("""COMPUTED_VALUE"""),36853)</f>
        <v>36853</v>
      </c>
      <c r="N319" s="4" t="str">
        <f ca="1">IFERROR(__xludf.DUMMYFUNCTION("""COMPUTED_VALUE"""),"Penata Muda")</f>
        <v>Penata Muda</v>
      </c>
      <c r="O319" s="3" t="str">
        <f ca="1">IFERROR(__xludf.DUMMYFUNCTION("""COMPUTED_VALUE"""),"III/a")</f>
        <v>III/a</v>
      </c>
      <c r="P319" s="7">
        <f ca="1">IFERROR(__xludf.DUMMYFUNCTION("""COMPUTED_VALUE"""),45778)</f>
        <v>45778</v>
      </c>
      <c r="Q319" s="3"/>
      <c r="R319" s="3" t="str">
        <f ca="1">IFERROR(__xludf.DUMMYFUNCTION("""COMPUTED_VALUE"""),"Pegawai CPNS")</f>
        <v>Pegawai CPNS</v>
      </c>
      <c r="S319" s="3" t="str">
        <f ca="1">IFERROR(__xludf.DUMMYFUNCTION("""COMPUTED_VALUE"""),"Pegawai CPNS")</f>
        <v>Pegawai CPNS</v>
      </c>
      <c r="T319" s="7">
        <f ca="1">IFERROR(__xludf.DUMMYFUNCTION("""COMPUTED_VALUE"""),45778)</f>
        <v>45778</v>
      </c>
      <c r="U319" s="3" t="str">
        <f ca="1">IFERROR(__xludf.DUMMYFUNCTION("""COMPUTED_VALUE"""),"174333.1/B.II/KP.00.3/04/2025")</f>
        <v>174333.1/B.II/KP.00.3/04/2025</v>
      </c>
      <c r="V319" s="7">
        <f ca="1">IFERROR(__xludf.DUMMYFUNCTION("""COMPUTED_VALUE"""),45777)</f>
        <v>45777</v>
      </c>
      <c r="W319" s="3">
        <f ca="1">IFERROR(__xludf.DUMMYFUNCTION("""COMPUTED_VALUE"""),8)</f>
        <v>8</v>
      </c>
      <c r="X319" s="3"/>
      <c r="Y319" s="3" t="str">
        <f ca="1">IFERROR(__xludf.DUMMYFUNCTION("""COMPUTED_VALUE"""),"S-1")</f>
        <v>S-1</v>
      </c>
      <c r="Z319" s="3" t="str">
        <f ca="1">IFERROR(__xludf.DUMMYFUNCTION("""COMPUTED_VALUE"""),"0 Tahun 8 Bulan 27 Hari")</f>
        <v>0 Tahun 8 Bulan 27 Hari</v>
      </c>
      <c r="AA319" s="8">
        <f ca="1">IFERROR(__xludf.DUMMYFUNCTION("""COMPUTED_VALUE"""),58045)</f>
        <v>58045</v>
      </c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4"/>
      <c r="AR319" s="3"/>
      <c r="AS319" s="4"/>
      <c r="AT319" s="3"/>
      <c r="AU319" s="3"/>
    </row>
    <row r="320" spans="1:47" x14ac:dyDescent="0.2">
      <c r="A320" s="12">
        <v>319</v>
      </c>
      <c r="B320" s="3" t="str">
        <f ca="1">IFERROR(__xludf.DUMMYFUNCTION("""COMPUTED_VALUE"""),"Abdul Basith")</f>
        <v>Abdul Basith</v>
      </c>
      <c r="C320" s="3" t="str">
        <f ca="1">IFERROR(__xludf.DUMMYFUNCTION("""COMPUTED_VALUE"""),"Abdul Basith, S.Th.I., M.H.I.")</f>
        <v>Abdul Basith, S.Th.I., M.H.I.</v>
      </c>
      <c r="D320" s="3" t="str">
        <f ca="1">IFERROR(__xludf.DUMMYFUNCTION("""COMPUTED_VALUE"""),"Abdul Basith, S.Th.I., M.H.I.")</f>
        <v>Abdul Basith, S.Th.I., M.H.I.</v>
      </c>
      <c r="E320" s="3" t="str">
        <f ca="1">IFERROR(__xludf.DUMMYFUNCTION("""COMPUTED_VALUE"""),"198104012023211008")</f>
        <v>198104012023211008</v>
      </c>
      <c r="F320" s="3" t="str">
        <f ca="1">IFERROR(__xludf.DUMMYFUNCTION("""COMPUTED_VALUE"""),"‌19810401 202321 1 008")</f>
        <v>‌19810401 202321 1 008</v>
      </c>
      <c r="G320" s="3">
        <f ca="1">IFERROR(__xludf.DUMMYFUNCTION("""COMPUTED_VALUE"""),2001048101)</f>
        <v>2001048101</v>
      </c>
      <c r="H320" s="6" t="str">
        <f ca="1">IFERROR(__xludf.DUMMYFUNCTION("""COMPUTED_VALUE"""),"4733759660130252")</f>
        <v>4733759660130252</v>
      </c>
      <c r="I320" s="3" t="str">
        <f ca="1">IFERROR(__xludf.DUMMYFUNCTION("""COMPUTED_VALUE"""),"PPPK")</f>
        <v>PPPK</v>
      </c>
      <c r="J320" s="3" t="str">
        <f ca="1">IFERROR(__xludf.DUMMYFUNCTION("""COMPUTED_VALUE"""),"Dosen PPPK")</f>
        <v>Dosen PPPK</v>
      </c>
      <c r="K320" s="5" t="str">
        <f ca="1">IFERROR(__xludf.DUMMYFUNCTION("""COMPUTED_VALUE"""),"L")</f>
        <v>L</v>
      </c>
      <c r="L320" s="3" t="str">
        <f ca="1">IFERROR(__xludf.DUMMYFUNCTION("""COMPUTED_VALUE"""),"Demak")</f>
        <v>Demak</v>
      </c>
      <c r="M320" s="3" t="str">
        <f ca="1">IFERROR(__xludf.DUMMYFUNCTION("""COMPUTED_VALUE"""),"01-04-1981")</f>
        <v>01-04-1981</v>
      </c>
      <c r="N320" s="4"/>
      <c r="O320" s="3" t="str">
        <f ca="1">IFERROR(__xludf.DUMMYFUNCTION("""COMPUTED_VALUE"""),"X")</f>
        <v>X</v>
      </c>
      <c r="P320" s="7">
        <f ca="1">IFERROR(__xludf.DUMMYFUNCTION("""COMPUTED_VALUE"""),45261)</f>
        <v>45261</v>
      </c>
      <c r="Q320" s="3" t="str">
        <f ca="1">IFERROR(__xludf.DUMMYFUNCTION("""COMPUTED_VALUE"""),"1734/Un.19/K.AUPK/KP.00.2/11/2023")</f>
        <v>1734/Un.19/K.AUPK/KP.00.2/11/2023</v>
      </c>
      <c r="R320" s="3" t="str">
        <f ca="1">IFERROR(__xludf.DUMMYFUNCTION("""COMPUTED_VALUE"""),"Asisten Ahli")</f>
        <v>Asisten Ahli</v>
      </c>
      <c r="S320" s="3" t="str">
        <f ca="1">IFERROR(__xludf.DUMMYFUNCTION("""COMPUTED_VALUE"""),"Asisten Ahli")</f>
        <v>Asisten Ahli</v>
      </c>
      <c r="T320" s="7">
        <f ca="1">IFERROR(__xludf.DUMMYFUNCTION("""COMPUTED_VALUE"""),45261)</f>
        <v>45261</v>
      </c>
      <c r="U320" s="3"/>
      <c r="V320" s="7">
        <f ca="1">IFERROR(__xludf.DUMMYFUNCTION("""COMPUTED_VALUE"""),45260)</f>
        <v>45260</v>
      </c>
      <c r="W320" s="3">
        <f ca="1">IFERROR(__xludf.DUMMYFUNCTION("""COMPUTED_VALUE"""),9)</f>
        <v>9</v>
      </c>
      <c r="X320" s="3"/>
      <c r="Y320" s="3" t="str">
        <f ca="1">IFERROR(__xludf.DUMMYFUNCTION("""COMPUTED_VALUE"""),"S-2")</f>
        <v>S-2</v>
      </c>
      <c r="Z320" s="3" t="str">
        <f ca="1">IFERROR(__xludf.DUMMYFUNCTION("""COMPUTED_VALUE"""),"2 Tahun 0 Bulan 27 Hari")</f>
        <v>2 Tahun 0 Bulan 27 Hari</v>
      </c>
      <c r="AA320" s="8">
        <f ca="1">IFERROR(__xludf.DUMMYFUNCTION("""COMPUTED_VALUE"""),53448)</f>
        <v>53448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4"/>
      <c r="AR320" s="3"/>
      <c r="AS320" s="4"/>
      <c r="AT320" s="3"/>
      <c r="AU320" s="3"/>
    </row>
    <row r="321" spans="1:47" x14ac:dyDescent="0.2">
      <c r="A321" s="12">
        <v>320</v>
      </c>
      <c r="B321" s="3" t="str">
        <f ca="1">IFERROR(__xludf.DUMMYFUNCTION("""COMPUTED_VALUE"""),"Agus Setiawan")</f>
        <v>Agus Setiawan</v>
      </c>
      <c r="C321" s="3" t="str">
        <f ca="1">IFERROR(__xludf.DUMMYFUNCTION("""COMPUTED_VALUE"""),"Agus Setiawan, S.H.I., M.H.")</f>
        <v>Agus Setiawan, S.H.I., M.H.</v>
      </c>
      <c r="D321" s="3" t="str">
        <f ca="1">IFERROR(__xludf.DUMMYFUNCTION("""COMPUTED_VALUE"""),"Agus Setiawan, S.H.I., M.H.")</f>
        <v>Agus Setiawan, S.H.I., M.H.</v>
      </c>
      <c r="E321" s="3" t="str">
        <f ca="1">IFERROR(__xludf.DUMMYFUNCTION("""COMPUTED_VALUE"""),"198308302023211014")</f>
        <v>198308302023211014</v>
      </c>
      <c r="F321" s="3" t="str">
        <f ca="1">IFERROR(__xludf.DUMMYFUNCTION("""COMPUTED_VALUE"""),"‌19830830 202321 1 014")</f>
        <v>‌19830830 202321 1 014</v>
      </c>
      <c r="G321" s="3">
        <f ca="1">IFERROR(__xludf.DUMMYFUNCTION("""COMPUTED_VALUE"""),2030088302)</f>
        <v>2030088302</v>
      </c>
      <c r="H321" s="6" t="str">
        <f ca="1">IFERROR(__xludf.DUMMYFUNCTION("""COMPUTED_VALUE"""),"4162761663200033")</f>
        <v>4162761663200033</v>
      </c>
      <c r="I321" s="3" t="str">
        <f ca="1">IFERROR(__xludf.DUMMYFUNCTION("""COMPUTED_VALUE"""),"PPPK")</f>
        <v>PPPK</v>
      </c>
      <c r="J321" s="3" t="str">
        <f ca="1">IFERROR(__xludf.DUMMYFUNCTION("""COMPUTED_VALUE"""),"Dosen PPPK")</f>
        <v>Dosen PPPK</v>
      </c>
      <c r="K321" s="5" t="str">
        <f ca="1">IFERROR(__xludf.DUMMYFUNCTION("""COMPUTED_VALUE"""),"L")</f>
        <v>L</v>
      </c>
      <c r="L321" s="3" t="str">
        <f ca="1">IFERROR(__xludf.DUMMYFUNCTION("""COMPUTED_VALUE"""),"Cilacap")</f>
        <v>Cilacap</v>
      </c>
      <c r="M321" s="3" t="str">
        <f ca="1">IFERROR(__xludf.DUMMYFUNCTION("""COMPUTED_VALUE"""),"30-08-1983")</f>
        <v>30-08-1983</v>
      </c>
      <c r="N321" s="4"/>
      <c r="O321" s="3" t="str">
        <f ca="1">IFERROR(__xludf.DUMMYFUNCTION("""COMPUTED_VALUE"""),"X")</f>
        <v>X</v>
      </c>
      <c r="P321" s="7">
        <f ca="1">IFERROR(__xludf.DUMMYFUNCTION("""COMPUTED_VALUE"""),45261)</f>
        <v>45261</v>
      </c>
      <c r="Q321" s="3" t="str">
        <f ca="1">IFERROR(__xludf.DUMMYFUNCTION("""COMPUTED_VALUE"""),"1744/Un.19/K.AUPK/KP.00.2/11/2023")</f>
        <v>1744/Un.19/K.AUPK/KP.00.2/11/2023</v>
      </c>
      <c r="R321" s="3" t="str">
        <f ca="1">IFERROR(__xludf.DUMMYFUNCTION("""COMPUTED_VALUE"""),"Asisten Ahli")</f>
        <v>Asisten Ahli</v>
      </c>
      <c r="S321" s="3" t="str">
        <f ca="1">IFERROR(__xludf.DUMMYFUNCTION("""COMPUTED_VALUE"""),"Asisten Ahli")</f>
        <v>Asisten Ahli</v>
      </c>
      <c r="T321" s="7">
        <f ca="1">IFERROR(__xludf.DUMMYFUNCTION("""COMPUTED_VALUE"""),45261)</f>
        <v>45261</v>
      </c>
      <c r="U321" s="3"/>
      <c r="V321" s="7">
        <f ca="1">IFERROR(__xludf.DUMMYFUNCTION("""COMPUTED_VALUE"""),45260)</f>
        <v>45260</v>
      </c>
      <c r="W321" s="3">
        <f ca="1">IFERROR(__xludf.DUMMYFUNCTION("""COMPUTED_VALUE"""),9)</f>
        <v>9</v>
      </c>
      <c r="X321" s="3"/>
      <c r="Y321" s="3" t="str">
        <f ca="1">IFERROR(__xludf.DUMMYFUNCTION("""COMPUTED_VALUE"""),"S-2")</f>
        <v>S-2</v>
      </c>
      <c r="Z321" s="3" t="str">
        <f ca="1">IFERROR(__xludf.DUMMYFUNCTION("""COMPUTED_VALUE"""),"2 Tahun 0 Bulan 27 Hari")</f>
        <v>2 Tahun 0 Bulan 27 Hari</v>
      </c>
      <c r="AA321" s="8">
        <f ca="1">IFERROR(__xludf.DUMMYFUNCTION("""COMPUTED_VALUE"""),54302)</f>
        <v>54302</v>
      </c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4"/>
      <c r="AR321" s="3"/>
      <c r="AS321" s="4"/>
      <c r="AT321" s="3"/>
      <c r="AU321" s="3"/>
    </row>
    <row r="322" spans="1:47" x14ac:dyDescent="0.2">
      <c r="A322" s="12">
        <v>321</v>
      </c>
      <c r="B322" s="3" t="str">
        <f ca="1">IFERROR(__xludf.DUMMYFUNCTION("""COMPUTED_VALUE"""),"Ahmad Sahnan")</f>
        <v>Ahmad Sahnan</v>
      </c>
      <c r="C322" s="3" t="str">
        <f ca="1">IFERROR(__xludf.DUMMYFUNCTION("""COMPUTED_VALUE"""),"Ahmad Sahnan, M.Pd.I.")</f>
        <v>Ahmad Sahnan, M.Pd.I.</v>
      </c>
      <c r="D322" s="3" t="str">
        <f ca="1">IFERROR(__xludf.DUMMYFUNCTION("""COMPUTED_VALUE"""),"Ahmad Sahnan, M.Pd.I.")</f>
        <v>Ahmad Sahnan, M.Pd.I.</v>
      </c>
      <c r="E322" s="3" t="str">
        <f ca="1">IFERROR(__xludf.DUMMYFUNCTION("""COMPUTED_VALUE"""),"199103132023211030")</f>
        <v>199103132023211030</v>
      </c>
      <c r="F322" s="3" t="str">
        <f ca="1">IFERROR(__xludf.DUMMYFUNCTION("""COMPUTED_VALUE"""),"19910313 202321 1 030")</f>
        <v>19910313 202321 1 030</v>
      </c>
      <c r="G322" s="3">
        <f ca="1">IFERROR(__xludf.DUMMYFUNCTION("""COMPUTED_VALUE"""),2112088301)</f>
        <v>2112088301</v>
      </c>
      <c r="H322" s="6" t="str">
        <f ca="1">IFERROR(__xludf.DUMMYFUNCTION("""COMPUTED_VALUE"""),"0645769670130412")</f>
        <v>0645769670130412</v>
      </c>
      <c r="I322" s="3" t="str">
        <f ca="1">IFERROR(__xludf.DUMMYFUNCTION("""COMPUTED_VALUE"""),"PPPK")</f>
        <v>PPPK</v>
      </c>
      <c r="J322" s="3" t="str">
        <f ca="1">IFERROR(__xludf.DUMMYFUNCTION("""COMPUTED_VALUE"""),"Dosen PPPK")</f>
        <v>Dosen PPPK</v>
      </c>
      <c r="K322" s="5" t="str">
        <f ca="1">IFERROR(__xludf.DUMMYFUNCTION("""COMPUTED_VALUE"""),"L")</f>
        <v>L</v>
      </c>
      <c r="L322" s="3" t="str">
        <f ca="1">IFERROR(__xludf.DUMMYFUNCTION("""COMPUTED_VALUE"""),"Probolinggo")</f>
        <v>Probolinggo</v>
      </c>
      <c r="M322" s="3" t="str">
        <f ca="1">IFERROR(__xludf.DUMMYFUNCTION("""COMPUTED_VALUE"""),"12-08-1983")</f>
        <v>12-08-1983</v>
      </c>
      <c r="N322" s="4"/>
      <c r="O322" s="3" t="str">
        <f ca="1">IFERROR(__xludf.DUMMYFUNCTION("""COMPUTED_VALUE"""),"X")</f>
        <v>X</v>
      </c>
      <c r="P322" s="7">
        <f ca="1">IFERROR(__xludf.DUMMYFUNCTION("""COMPUTED_VALUE"""),45139)</f>
        <v>45139</v>
      </c>
      <c r="Q322" s="3" t="str">
        <f ca="1">IFERROR(__xludf.DUMMYFUNCTION("""COMPUTED_VALUE"""),"985/Un.19/K.AUPK/KP.00.3/07/2023")</f>
        <v>985/Un.19/K.AUPK/KP.00.3/07/2023</v>
      </c>
      <c r="R322" s="3" t="str">
        <f ca="1">IFERROR(__xludf.DUMMYFUNCTION("""COMPUTED_VALUE"""),"Asisten Ahli")</f>
        <v>Asisten Ahli</v>
      </c>
      <c r="S322" s="3" t="str">
        <f ca="1">IFERROR(__xludf.DUMMYFUNCTION("""COMPUTED_VALUE"""),"Asisten Ahli")</f>
        <v>Asisten Ahli</v>
      </c>
      <c r="T322" s="7">
        <f ca="1">IFERROR(__xludf.DUMMYFUNCTION("""COMPUTED_VALUE"""),45139)</f>
        <v>45139</v>
      </c>
      <c r="U322" s="3"/>
      <c r="V322" s="7">
        <f ca="1">IFERROR(__xludf.DUMMYFUNCTION("""COMPUTED_VALUE"""),45138)</f>
        <v>45138</v>
      </c>
      <c r="W322" s="3">
        <f ca="1">IFERROR(__xludf.DUMMYFUNCTION("""COMPUTED_VALUE"""),9)</f>
        <v>9</v>
      </c>
      <c r="X322" s="3"/>
      <c r="Y322" s="3" t="str">
        <f ca="1">IFERROR(__xludf.DUMMYFUNCTION("""COMPUTED_VALUE"""),"S-2")</f>
        <v>S-2</v>
      </c>
      <c r="Z322" s="3" t="str">
        <f ca="1">IFERROR(__xludf.DUMMYFUNCTION("""COMPUTED_VALUE"""),"2 Tahun 4 Bulan 27 Hari")</f>
        <v>2 Tahun 4 Bulan 27 Hari</v>
      </c>
      <c r="AA322" s="8">
        <f ca="1">IFERROR(__xludf.DUMMYFUNCTION("""COMPUTED_VALUE"""),54302)</f>
        <v>54302</v>
      </c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4"/>
      <c r="AR322" s="3"/>
      <c r="AS322" s="4"/>
      <c r="AT322" s="3"/>
      <c r="AU322" s="3"/>
    </row>
    <row r="323" spans="1:47" x14ac:dyDescent="0.2">
      <c r="A323" s="12">
        <v>322</v>
      </c>
      <c r="B323" s="3" t="str">
        <f ca="1">IFERROR(__xludf.DUMMYFUNCTION("""COMPUTED_VALUE"""),"Ahmad Zayyadi")</f>
        <v>Ahmad Zayyadi</v>
      </c>
      <c r="C323" s="3" t="str">
        <f ca="1">IFERROR(__xludf.DUMMYFUNCTION("""COMPUTED_VALUE"""),"Ahmad Zayyadi, S.H.I., M.A., M.H.I.")</f>
        <v>Ahmad Zayyadi, S.H.I., M.A., M.H.I.</v>
      </c>
      <c r="D323" s="3" t="str">
        <f ca="1">IFERROR(__xludf.DUMMYFUNCTION("""COMPUTED_VALUE"""),"Dr. Ahmad Zayyadi, S.H.I., M.A., M.H.I.")</f>
        <v>Dr. Ahmad Zayyadi, S.H.I., M.A., M.H.I.</v>
      </c>
      <c r="E323" s="3" t="str">
        <f ca="1">IFERROR(__xludf.DUMMYFUNCTION("""COMPUTED_VALUE"""),"198308122023211015")</f>
        <v>198308122023211015</v>
      </c>
      <c r="F323" s="3" t="str">
        <f ca="1">IFERROR(__xludf.DUMMYFUNCTION("""COMPUTED_VALUE"""),"‌19830812 202321 1 015")</f>
        <v>‌19830812 202321 1 015</v>
      </c>
      <c r="G323" s="3">
        <f ca="1">IFERROR(__xludf.DUMMYFUNCTION("""COMPUTED_VALUE"""),2112088301)</f>
        <v>2112088301</v>
      </c>
      <c r="H323" s="6" t="str">
        <f ca="1">IFERROR(__xludf.DUMMYFUNCTION("""COMPUTED_VALUE"""),"2144761662130273")</f>
        <v>2144761662130273</v>
      </c>
      <c r="I323" s="3" t="str">
        <f ca="1">IFERROR(__xludf.DUMMYFUNCTION("""COMPUTED_VALUE"""),"PPPK")</f>
        <v>PPPK</v>
      </c>
      <c r="J323" s="3" t="str">
        <f ca="1">IFERROR(__xludf.DUMMYFUNCTION("""COMPUTED_VALUE"""),"Dosen PPPK")</f>
        <v>Dosen PPPK</v>
      </c>
      <c r="K323" s="5" t="str">
        <f ca="1">IFERROR(__xludf.DUMMYFUNCTION("""COMPUTED_VALUE"""),"L")</f>
        <v>L</v>
      </c>
      <c r="L323" s="3" t="str">
        <f ca="1">IFERROR(__xludf.DUMMYFUNCTION("""COMPUTED_VALUE"""),"Probolinggo")</f>
        <v>Probolinggo</v>
      </c>
      <c r="M323" s="3" t="str">
        <f ca="1">IFERROR(__xludf.DUMMYFUNCTION("""COMPUTED_VALUE"""),"12-08-1983")</f>
        <v>12-08-1983</v>
      </c>
      <c r="N323" s="4"/>
      <c r="O323" s="3" t="str">
        <f ca="1">IFERROR(__xludf.DUMMYFUNCTION("""COMPUTED_VALUE"""),"X")</f>
        <v>X</v>
      </c>
      <c r="P323" s="7">
        <f ca="1">IFERROR(__xludf.DUMMYFUNCTION("""COMPUTED_VALUE"""),45261)</f>
        <v>45261</v>
      </c>
      <c r="Q323" s="3" t="str">
        <f ca="1">IFERROR(__xludf.DUMMYFUNCTION("""COMPUTED_VALUE"""),"1743/Un.19/K.AUPK/KP.00.2/11/2023")</f>
        <v>1743/Un.19/K.AUPK/KP.00.2/11/2023</v>
      </c>
      <c r="R323" s="3" t="str">
        <f ca="1">IFERROR(__xludf.DUMMYFUNCTION("""COMPUTED_VALUE"""),"Asisten Ahli")</f>
        <v>Asisten Ahli</v>
      </c>
      <c r="S323" s="3" t="str">
        <f ca="1">IFERROR(__xludf.DUMMYFUNCTION("""COMPUTED_VALUE"""),"Asisten Ahli")</f>
        <v>Asisten Ahli</v>
      </c>
      <c r="T323" s="7">
        <f ca="1">IFERROR(__xludf.DUMMYFUNCTION("""COMPUTED_VALUE"""),45261)</f>
        <v>45261</v>
      </c>
      <c r="U323" s="3"/>
      <c r="V323" s="7">
        <f ca="1">IFERROR(__xludf.DUMMYFUNCTION("""COMPUTED_VALUE"""),45260)</f>
        <v>45260</v>
      </c>
      <c r="W323" s="3">
        <f ca="1">IFERROR(__xludf.DUMMYFUNCTION("""COMPUTED_VALUE"""),9)</f>
        <v>9</v>
      </c>
      <c r="X323" s="3"/>
      <c r="Y323" s="3" t="str">
        <f ca="1">IFERROR(__xludf.DUMMYFUNCTION("""COMPUTED_VALUE"""),"S-3")</f>
        <v>S-3</v>
      </c>
      <c r="Z323" s="3" t="str">
        <f ca="1">IFERROR(__xludf.DUMMYFUNCTION("""COMPUTED_VALUE"""),"2 Tahun 0 Bulan 27 Hari")</f>
        <v>2 Tahun 0 Bulan 27 Hari</v>
      </c>
      <c r="AA323" s="8">
        <f ca="1">IFERROR(__xludf.DUMMYFUNCTION("""COMPUTED_VALUE"""),54302)</f>
        <v>54302</v>
      </c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4"/>
      <c r="AR323" s="3"/>
      <c r="AS323" s="4"/>
      <c r="AT323" s="3"/>
      <c r="AU323" s="3"/>
    </row>
    <row r="324" spans="1:47" x14ac:dyDescent="0.2">
      <c r="A324" s="12">
        <v>323</v>
      </c>
      <c r="B324" s="3" t="str">
        <f ca="1">IFERROR(__xludf.DUMMYFUNCTION("""COMPUTED_VALUE"""),"Akhris Fuadatis Sholikha")</f>
        <v>Akhris Fuadatis Sholikha</v>
      </c>
      <c r="C324" s="3" t="str">
        <f ca="1">IFERROR(__xludf.DUMMYFUNCTION("""COMPUTED_VALUE"""),"Akhris Fuadatis Sholikha, S.E, M.Si.")</f>
        <v>Akhris Fuadatis Sholikha, S.E, M.Si.</v>
      </c>
      <c r="D324" s="3" t="str">
        <f ca="1">IFERROR(__xludf.DUMMYFUNCTION("""COMPUTED_VALUE"""),"Akhris Fuadatis Sholikha, S.E., M.Si.")</f>
        <v>Akhris Fuadatis Sholikha, S.E., M.Si.</v>
      </c>
      <c r="E324" s="3" t="str">
        <f ca="1">IFERROR(__xludf.DUMMYFUNCTION("""COMPUTED_VALUE"""),"199303092023212043")</f>
        <v>199303092023212043</v>
      </c>
      <c r="F324" s="3" t="str">
        <f ca="1">IFERROR(__xludf.DUMMYFUNCTION("""COMPUTED_VALUE"""),"19930309 202321 2 043")</f>
        <v>19930309 202321 2 043</v>
      </c>
      <c r="G324" s="3">
        <f ca="1">IFERROR(__xludf.DUMMYFUNCTION("""COMPUTED_VALUE"""),2009039301)</f>
        <v>2009039301</v>
      </c>
      <c r="H324" s="6" t="str">
        <f ca="1">IFERROR(__xludf.DUMMYFUNCTION("""COMPUTED_VALUE"""),"9641771672230312")</f>
        <v>9641771672230312</v>
      </c>
      <c r="I324" s="3" t="str">
        <f ca="1">IFERROR(__xludf.DUMMYFUNCTION("""COMPUTED_VALUE"""),"PPPK")</f>
        <v>PPPK</v>
      </c>
      <c r="J324" s="3" t="str">
        <f ca="1">IFERROR(__xludf.DUMMYFUNCTION("""COMPUTED_VALUE"""),"Dosen PPPK")</f>
        <v>Dosen PPPK</v>
      </c>
      <c r="K324" s="5" t="str">
        <f ca="1">IFERROR(__xludf.DUMMYFUNCTION("""COMPUTED_VALUE"""),"P")</f>
        <v>P</v>
      </c>
      <c r="L324" s="3" t="str">
        <f ca="1">IFERROR(__xludf.DUMMYFUNCTION("""COMPUTED_VALUE"""),"Brebes")</f>
        <v>Brebes</v>
      </c>
      <c r="M324" s="3" t="str">
        <f ca="1">IFERROR(__xludf.DUMMYFUNCTION("""COMPUTED_VALUE"""),"09-03-1993")</f>
        <v>09-03-1993</v>
      </c>
      <c r="N324" s="4"/>
      <c r="O324" s="3" t="str">
        <f ca="1">IFERROR(__xludf.DUMMYFUNCTION("""COMPUTED_VALUE"""),"X")</f>
        <v>X</v>
      </c>
      <c r="P324" s="7">
        <f ca="1">IFERROR(__xludf.DUMMYFUNCTION("""COMPUTED_VALUE"""),45139)</f>
        <v>45139</v>
      </c>
      <c r="Q324" s="3" t="str">
        <f ca="1">IFERROR(__xludf.DUMMYFUNCTION("""COMPUTED_VALUE"""),"989/Un.19/K.AUPK/KP.00.3/07/2023")</f>
        <v>989/Un.19/K.AUPK/KP.00.3/07/2023</v>
      </c>
      <c r="R324" s="3" t="str">
        <f ca="1">IFERROR(__xludf.DUMMYFUNCTION("""COMPUTED_VALUE"""),"Asisten Ahli")</f>
        <v>Asisten Ahli</v>
      </c>
      <c r="S324" s="3" t="str">
        <f ca="1">IFERROR(__xludf.DUMMYFUNCTION("""COMPUTED_VALUE"""),"Asisten Ahli")</f>
        <v>Asisten Ahli</v>
      </c>
      <c r="T324" s="7">
        <f ca="1">IFERROR(__xludf.DUMMYFUNCTION("""COMPUTED_VALUE"""),45139)</f>
        <v>45139</v>
      </c>
      <c r="U324" s="3"/>
      <c r="V324" s="7">
        <f ca="1">IFERROR(__xludf.DUMMYFUNCTION("""COMPUTED_VALUE"""),45138)</f>
        <v>45138</v>
      </c>
      <c r="W324" s="3">
        <f ca="1">IFERROR(__xludf.DUMMYFUNCTION("""COMPUTED_VALUE"""),9)</f>
        <v>9</v>
      </c>
      <c r="X324" s="3"/>
      <c r="Y324" s="3" t="str">
        <f ca="1">IFERROR(__xludf.DUMMYFUNCTION("""COMPUTED_VALUE"""),"S-2")</f>
        <v>S-2</v>
      </c>
      <c r="Z324" s="3" t="str">
        <f ca="1">IFERROR(__xludf.DUMMYFUNCTION("""COMPUTED_VALUE"""),"2 Tahun 4 Bulan 27 Hari")</f>
        <v>2 Tahun 4 Bulan 27 Hari</v>
      </c>
      <c r="AA324" s="8">
        <f ca="1">IFERROR(__xludf.DUMMYFUNCTION("""COMPUTED_VALUE"""),57801)</f>
        <v>57801</v>
      </c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4"/>
      <c r="AR324" s="3"/>
      <c r="AS324" s="4"/>
      <c r="AT324" s="3"/>
      <c r="AU324" s="3"/>
    </row>
    <row r="325" spans="1:47" x14ac:dyDescent="0.2">
      <c r="A325" s="12">
        <v>324</v>
      </c>
      <c r="B325" s="3" t="str">
        <f ca="1">IFERROR(__xludf.DUMMYFUNCTION("""COMPUTED_VALUE"""),"Anggita Isty Intansari")</f>
        <v>Anggita Isty Intansari</v>
      </c>
      <c r="C325" s="3" t="str">
        <f ca="1">IFERROR(__xludf.DUMMYFUNCTION("""COMPUTED_VALUE"""),"Anggita Isty Intansari, S.H.I., M.E.I.")</f>
        <v>Anggita Isty Intansari, S.H.I., M.E.I.</v>
      </c>
      <c r="D325" s="3" t="str">
        <f ca="1">IFERROR(__xludf.DUMMYFUNCTION("""COMPUTED_VALUE"""),"Anggita Isty Intansari, S.H.I., M.E.I.")</f>
        <v>Anggita Isty Intansari, S.H.I., M.E.I.</v>
      </c>
      <c r="E325" s="3" t="str">
        <f ca="1">IFERROR(__xludf.DUMMYFUNCTION("""COMPUTED_VALUE"""),"198807312023212027")</f>
        <v>198807312023212027</v>
      </c>
      <c r="F325" s="3" t="str">
        <f ca="1">IFERROR(__xludf.DUMMYFUNCTION("""COMPUTED_VALUE"""),"‌19880731 202321 2 027")</f>
        <v>‌19880731 202321 2 027</v>
      </c>
      <c r="G325" s="3">
        <f ca="1">IFERROR(__xludf.DUMMYFUNCTION("""COMPUTED_VALUE"""),2031078802)</f>
        <v>2031078802</v>
      </c>
      <c r="H325" s="6" t="str">
        <f ca="1">IFERROR(__xludf.DUMMYFUNCTION("""COMPUTED_VALUE"""),"4063766667230223")</f>
        <v>4063766667230223</v>
      </c>
      <c r="I325" s="3" t="str">
        <f ca="1">IFERROR(__xludf.DUMMYFUNCTION("""COMPUTED_VALUE"""),"PPPK")</f>
        <v>PPPK</v>
      </c>
      <c r="J325" s="3" t="str">
        <f ca="1">IFERROR(__xludf.DUMMYFUNCTION("""COMPUTED_VALUE"""),"Dosen PPPK")</f>
        <v>Dosen PPPK</v>
      </c>
      <c r="K325" s="5" t="str">
        <f ca="1">IFERROR(__xludf.DUMMYFUNCTION("""COMPUTED_VALUE"""),"P")</f>
        <v>P</v>
      </c>
      <c r="L325" s="3" t="str">
        <f ca="1">IFERROR(__xludf.DUMMYFUNCTION("""COMPUTED_VALUE"""),"Tegal")</f>
        <v>Tegal</v>
      </c>
      <c r="M325" s="3" t="str">
        <f ca="1">IFERROR(__xludf.DUMMYFUNCTION("""COMPUTED_VALUE"""),"31-07-1988")</f>
        <v>31-07-1988</v>
      </c>
      <c r="N325" s="4"/>
      <c r="O325" s="3" t="str">
        <f ca="1">IFERROR(__xludf.DUMMYFUNCTION("""COMPUTED_VALUE"""),"X")</f>
        <v>X</v>
      </c>
      <c r="P325" s="7">
        <f ca="1">IFERROR(__xludf.DUMMYFUNCTION("""COMPUTED_VALUE"""),45261)</f>
        <v>45261</v>
      </c>
      <c r="Q325" s="3" t="str">
        <f ca="1">IFERROR(__xludf.DUMMYFUNCTION("""COMPUTED_VALUE"""),"1748/Un.19/K.AUPK/KP.00.2/11/2023")</f>
        <v>1748/Un.19/K.AUPK/KP.00.2/11/2023</v>
      </c>
      <c r="R325" s="3" t="str">
        <f ca="1">IFERROR(__xludf.DUMMYFUNCTION("""COMPUTED_VALUE"""),"Asisten Ahli")</f>
        <v>Asisten Ahli</v>
      </c>
      <c r="S325" s="3" t="str">
        <f ca="1">IFERROR(__xludf.DUMMYFUNCTION("""COMPUTED_VALUE"""),"Asisten Ahli")</f>
        <v>Asisten Ahli</v>
      </c>
      <c r="T325" s="7">
        <f ca="1">IFERROR(__xludf.DUMMYFUNCTION("""COMPUTED_VALUE"""),45261)</f>
        <v>45261</v>
      </c>
      <c r="U325" s="3"/>
      <c r="V325" s="7">
        <f ca="1">IFERROR(__xludf.DUMMYFUNCTION("""COMPUTED_VALUE"""),45260)</f>
        <v>45260</v>
      </c>
      <c r="W325" s="3">
        <f ca="1">IFERROR(__xludf.DUMMYFUNCTION("""COMPUTED_VALUE"""),9)</f>
        <v>9</v>
      </c>
      <c r="X325" s="3"/>
      <c r="Y325" s="3" t="str">
        <f ca="1">IFERROR(__xludf.DUMMYFUNCTION("""COMPUTED_VALUE"""),"S-2")</f>
        <v>S-2</v>
      </c>
      <c r="Z325" s="3" t="str">
        <f ca="1">IFERROR(__xludf.DUMMYFUNCTION("""COMPUTED_VALUE"""),"2 Tahun 0 Bulan 27 Hari")</f>
        <v>2 Tahun 0 Bulan 27 Hari</v>
      </c>
      <c r="AA325" s="8">
        <f ca="1">IFERROR(__xludf.DUMMYFUNCTION("""COMPUTED_VALUE"""),56097)</f>
        <v>56097</v>
      </c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4"/>
      <c r="AR325" s="3"/>
      <c r="AS325" s="4"/>
      <c r="AT325" s="3"/>
      <c r="AU325" s="3"/>
    </row>
    <row r="326" spans="1:47" x14ac:dyDescent="0.2">
      <c r="A326" s="12">
        <v>325</v>
      </c>
      <c r="B326" s="3" t="str">
        <f ca="1">IFERROR(__xludf.DUMMYFUNCTION("""COMPUTED_VALUE"""),"Arif Hidayat")</f>
        <v>Arif Hidayat</v>
      </c>
      <c r="C326" s="3" t="str">
        <f ca="1">IFERROR(__xludf.DUMMYFUNCTION("""COMPUTED_VALUE"""),"Arif Hidayat, M.Hum.")</f>
        <v>Arif Hidayat, M.Hum.</v>
      </c>
      <c r="D326" s="3" t="str">
        <f ca="1">IFERROR(__xludf.DUMMYFUNCTION("""COMPUTED_VALUE"""),"Arif Hidayat, M.Hum.")</f>
        <v>Arif Hidayat, M.Hum.</v>
      </c>
      <c r="E326" s="3" t="str">
        <f ca="1">IFERROR(__xludf.DUMMYFUNCTION("""COMPUTED_VALUE"""),"198801072023211013")</f>
        <v>198801072023211013</v>
      </c>
      <c r="F326" s="3" t="str">
        <f ca="1">IFERROR(__xludf.DUMMYFUNCTION("""COMPUTED_VALUE"""),"‌19880107 202321 1 013")</f>
        <v>‌19880107 202321 1 013</v>
      </c>
      <c r="G326" s="3">
        <f ca="1">IFERROR(__xludf.DUMMYFUNCTION("""COMPUTED_VALUE"""),2007018802)</f>
        <v>2007018802</v>
      </c>
      <c r="H326" s="6" t="str">
        <f ca="1">IFERROR(__xludf.DUMMYFUNCTION("""COMPUTED_VALUE"""),"1439766667130292")</f>
        <v>1439766667130292</v>
      </c>
      <c r="I326" s="3" t="str">
        <f ca="1">IFERROR(__xludf.DUMMYFUNCTION("""COMPUTED_VALUE"""),"PPPK")</f>
        <v>PPPK</v>
      </c>
      <c r="J326" s="3" t="str">
        <f ca="1">IFERROR(__xludf.DUMMYFUNCTION("""COMPUTED_VALUE"""),"Dosen PPPK")</f>
        <v>Dosen PPPK</v>
      </c>
      <c r="K326" s="5" t="str">
        <f ca="1">IFERROR(__xludf.DUMMYFUNCTION("""COMPUTED_VALUE"""),"L")</f>
        <v>L</v>
      </c>
      <c r="L326" s="3" t="str">
        <f ca="1">IFERROR(__xludf.DUMMYFUNCTION("""COMPUTED_VALUE"""),"Karangnanas")</f>
        <v>Karangnanas</v>
      </c>
      <c r="M326" s="3" t="str">
        <f ca="1">IFERROR(__xludf.DUMMYFUNCTION("""COMPUTED_VALUE"""),"07-01-1988")</f>
        <v>07-01-1988</v>
      </c>
      <c r="N326" s="4"/>
      <c r="O326" s="3" t="str">
        <f ca="1">IFERROR(__xludf.DUMMYFUNCTION("""COMPUTED_VALUE"""),"X")</f>
        <v>X</v>
      </c>
      <c r="P326" s="7">
        <f ca="1">IFERROR(__xludf.DUMMYFUNCTION("""COMPUTED_VALUE"""),45261)</f>
        <v>45261</v>
      </c>
      <c r="Q326" s="3" t="str">
        <f ca="1">IFERROR(__xludf.DUMMYFUNCTION("""COMPUTED_VALUE"""),"1740/Un.19/K.AUPK/KP.00.2/11/2023")</f>
        <v>1740/Un.19/K.AUPK/KP.00.2/11/2023</v>
      </c>
      <c r="R326" s="3" t="str">
        <f ca="1">IFERROR(__xludf.DUMMYFUNCTION("""COMPUTED_VALUE"""),"Asisten Ahli")</f>
        <v>Asisten Ahli</v>
      </c>
      <c r="S326" s="3" t="str">
        <f ca="1">IFERROR(__xludf.DUMMYFUNCTION("""COMPUTED_VALUE"""),"Asisten Ahli")</f>
        <v>Asisten Ahli</v>
      </c>
      <c r="T326" s="7">
        <f ca="1">IFERROR(__xludf.DUMMYFUNCTION("""COMPUTED_VALUE"""),45261)</f>
        <v>45261</v>
      </c>
      <c r="U326" s="3"/>
      <c r="V326" s="7">
        <f ca="1">IFERROR(__xludf.DUMMYFUNCTION("""COMPUTED_VALUE"""),45260)</f>
        <v>45260</v>
      </c>
      <c r="W326" s="3">
        <f ca="1">IFERROR(__xludf.DUMMYFUNCTION("""COMPUTED_VALUE"""),9)</f>
        <v>9</v>
      </c>
      <c r="X326" s="7" t="str">
        <f ca="1">IFERROR(__xludf.DUMMYFUNCTION("""COMPUTED_VALUE"""),"Sekretaris Jurusan Studi Al Qur'an dan Sejarah Pada Fakultas Ushuluddin, Adab, dan Humaniora")</f>
        <v>Sekretaris Jurusan Studi Al Qur'an dan Sejarah Pada Fakultas Ushuluddin, Adab, dan Humaniora</v>
      </c>
      <c r="Y326" s="3" t="str">
        <f ca="1">IFERROR(__xludf.DUMMYFUNCTION("""COMPUTED_VALUE"""),"S-2")</f>
        <v>S-2</v>
      </c>
      <c r="Z326" s="3" t="str">
        <f ca="1">IFERROR(__xludf.DUMMYFUNCTION("""COMPUTED_VALUE"""),"2 Tahun 0 Bulan 27 Hari")</f>
        <v>2 Tahun 0 Bulan 27 Hari</v>
      </c>
      <c r="AA326" s="8">
        <f ca="1">IFERROR(__xludf.DUMMYFUNCTION("""COMPUTED_VALUE"""),55916)</f>
        <v>55916</v>
      </c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4"/>
      <c r="AR326" s="3"/>
      <c r="AS326" s="4"/>
      <c r="AT326" s="3"/>
      <c r="AU326" s="3"/>
    </row>
    <row r="327" spans="1:47" x14ac:dyDescent="0.2">
      <c r="A327" s="12">
        <v>326</v>
      </c>
      <c r="B327" s="3" t="str">
        <f ca="1">IFERROR(__xludf.DUMMYFUNCTION("""COMPUTED_VALUE"""),"Dimas Indianto S")</f>
        <v>Dimas Indianto S</v>
      </c>
      <c r="C327" s="3" t="str">
        <f ca="1">IFERROR(__xludf.DUMMYFUNCTION("""COMPUTED_VALUE"""),"Dimas Indianto S, M.Pd.I.")</f>
        <v>Dimas Indianto S, M.Pd.I.</v>
      </c>
      <c r="D327" s="3" t="str">
        <f ca="1">IFERROR(__xludf.DUMMYFUNCTION("""COMPUTED_VALUE"""),"Dr. Dimas Indianto S, M.Pd.I.")</f>
        <v>Dr. Dimas Indianto S, M.Pd.I.</v>
      </c>
      <c r="E327" s="3" t="str">
        <f ca="1">IFERROR(__xludf.DUMMYFUNCTION("""COMPUTED_VALUE"""),"199012202023211019")</f>
        <v>199012202023211019</v>
      </c>
      <c r="F327" s="3" t="str">
        <f ca="1">IFERROR(__xludf.DUMMYFUNCTION("""COMPUTED_VALUE"""),"19901220 202321 1 019")</f>
        <v>19901220 202321 1 019</v>
      </c>
      <c r="G327" s="3">
        <f ca="1">IFERROR(__xludf.DUMMYFUNCTION("""COMPUTED_VALUE"""),2020129001)</f>
        <v>2020129001</v>
      </c>
      <c r="H327" s="6" t="str">
        <f ca="1">IFERROR(__xludf.DUMMYFUNCTION("""COMPUTED_VALUE"""),"5552768669137023")</f>
        <v>5552768669137023</v>
      </c>
      <c r="I327" s="3" t="str">
        <f ca="1">IFERROR(__xludf.DUMMYFUNCTION("""COMPUTED_VALUE"""),"PPPK")</f>
        <v>PPPK</v>
      </c>
      <c r="J327" s="3" t="str">
        <f ca="1">IFERROR(__xludf.DUMMYFUNCTION("""COMPUTED_VALUE"""),"Dosen PPPK")</f>
        <v>Dosen PPPK</v>
      </c>
      <c r="K327" s="5" t="str">
        <f ca="1">IFERROR(__xludf.DUMMYFUNCTION("""COMPUTED_VALUE"""),"L")</f>
        <v>L</v>
      </c>
      <c r="L327" s="3" t="str">
        <f ca="1">IFERROR(__xludf.DUMMYFUNCTION("""COMPUTED_VALUE"""),"Brebes")</f>
        <v>Brebes</v>
      </c>
      <c r="M327" s="3" t="str">
        <f ca="1">IFERROR(__xludf.DUMMYFUNCTION("""COMPUTED_VALUE"""),"20-12-1990")</f>
        <v>20-12-1990</v>
      </c>
      <c r="N327" s="4"/>
      <c r="O327" s="3" t="str">
        <f ca="1">IFERROR(__xludf.DUMMYFUNCTION("""COMPUTED_VALUE"""),"X")</f>
        <v>X</v>
      </c>
      <c r="P327" s="7">
        <f ca="1">IFERROR(__xludf.DUMMYFUNCTION("""COMPUTED_VALUE"""),45139)</f>
        <v>45139</v>
      </c>
      <c r="Q327" s="3" t="str">
        <f ca="1">IFERROR(__xludf.DUMMYFUNCTION("""COMPUTED_VALUE"""),"984/Un.19/K.AUPK/KP.00.3/07/2023")</f>
        <v>984/Un.19/K.AUPK/KP.00.3/07/2023</v>
      </c>
      <c r="R327" s="3" t="str">
        <f ca="1">IFERROR(__xludf.DUMMYFUNCTION("""COMPUTED_VALUE"""),"Asisten Ahli")</f>
        <v>Asisten Ahli</v>
      </c>
      <c r="S327" s="3" t="str">
        <f ca="1">IFERROR(__xludf.DUMMYFUNCTION("""COMPUTED_VALUE"""),"Asisten Ahli")</f>
        <v>Asisten Ahli</v>
      </c>
      <c r="T327" s="7">
        <f ca="1">IFERROR(__xludf.DUMMYFUNCTION("""COMPUTED_VALUE"""),45139)</f>
        <v>45139</v>
      </c>
      <c r="U327" s="3"/>
      <c r="V327" s="7">
        <f ca="1">IFERROR(__xludf.DUMMYFUNCTION("""COMPUTED_VALUE"""),45138)</f>
        <v>45138</v>
      </c>
      <c r="W327" s="3">
        <f ca="1">IFERROR(__xludf.DUMMYFUNCTION("""COMPUTED_VALUE"""),9)</f>
        <v>9</v>
      </c>
      <c r="X327" s="3"/>
      <c r="Y327" s="3" t="str">
        <f ca="1">IFERROR(__xludf.DUMMYFUNCTION("""COMPUTED_VALUE"""),"S-3")</f>
        <v>S-3</v>
      </c>
      <c r="Z327" s="3" t="str">
        <f ca="1">IFERROR(__xludf.DUMMYFUNCTION("""COMPUTED_VALUE"""),"2 Tahun 4 Bulan 27 Hari")</f>
        <v>2 Tahun 4 Bulan 27 Hari</v>
      </c>
      <c r="AA327" s="8">
        <f ca="1">IFERROR(__xludf.DUMMYFUNCTION("""COMPUTED_VALUE"""),56980)</f>
        <v>56980</v>
      </c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4"/>
      <c r="AR327" s="3"/>
      <c r="AS327" s="4"/>
      <c r="AT327" s="3"/>
      <c r="AU327" s="3"/>
    </row>
    <row r="328" spans="1:47" x14ac:dyDescent="0.2">
      <c r="A328" s="12">
        <v>327</v>
      </c>
      <c r="B328" s="3" t="str">
        <f ca="1">IFERROR(__xludf.DUMMYFUNCTION("""COMPUTED_VALUE"""),"Edy Subowo")</f>
        <v>Edy Subowo</v>
      </c>
      <c r="C328" s="3" t="str">
        <f ca="1">IFERROR(__xludf.DUMMYFUNCTION("""COMPUTED_VALUE"""),"Edy Subowo, S.T., M.Kom.")</f>
        <v>Edy Subowo, S.T., M.Kom.</v>
      </c>
      <c r="D328" s="3" t="str">
        <f ca="1">IFERROR(__xludf.DUMMYFUNCTION("""COMPUTED_VALUE"""),"Edy Subowo, S.T., M.Kom.")</f>
        <v>Edy Subowo, S.T., M.Kom.</v>
      </c>
      <c r="E328" s="3" t="str">
        <f ca="1">IFERROR(__xludf.DUMMYFUNCTION("""COMPUTED_VALUE"""),"198804242024211023")</f>
        <v>198804242024211023</v>
      </c>
      <c r="F328" s="3" t="str">
        <f ca="1">IFERROR(__xludf.DUMMYFUNCTION("""COMPUTED_VALUE"""),"19880424 202421 1 023")</f>
        <v>19880424 202421 1 023</v>
      </c>
      <c r="G328" s="3" t="str">
        <f ca="1">IFERROR(__xludf.DUMMYFUNCTION("""COMPUTED_VALUE"""),"0624048806")</f>
        <v>0624048806</v>
      </c>
      <c r="H328" s="6" t="str">
        <f ca="1">IFERROR(__xludf.DUMMYFUNCTION("""COMPUTED_VALUE"""),"6756766667131062")</f>
        <v>6756766667131062</v>
      </c>
      <c r="I328" s="3" t="str">
        <f ca="1">IFERROR(__xludf.DUMMYFUNCTION("""COMPUTED_VALUE"""),"PPPK")</f>
        <v>PPPK</v>
      </c>
      <c r="J328" s="3" t="str">
        <f ca="1">IFERROR(__xludf.DUMMYFUNCTION("""COMPUTED_VALUE"""),"Dosen PPPK")</f>
        <v>Dosen PPPK</v>
      </c>
      <c r="K328" s="5" t="str">
        <f ca="1">IFERROR(__xludf.DUMMYFUNCTION("""COMPUTED_VALUE"""),"L")</f>
        <v>L</v>
      </c>
      <c r="L328" s="3" t="str">
        <f ca="1">IFERROR(__xludf.DUMMYFUNCTION("""COMPUTED_VALUE"""),"Pekalongan")</f>
        <v>Pekalongan</v>
      </c>
      <c r="M328" s="10">
        <f ca="1">IFERROR(__xludf.DUMMYFUNCTION("""COMPUTED_VALUE"""),32257)</f>
        <v>32257</v>
      </c>
      <c r="N328" s="4"/>
      <c r="O328" s="3" t="str">
        <f ca="1">IFERROR(__xludf.DUMMYFUNCTION("""COMPUTED_VALUE"""),"X")</f>
        <v>X</v>
      </c>
      <c r="P328" s="7">
        <f ca="1">IFERROR(__xludf.DUMMYFUNCTION("""COMPUTED_VALUE"""),45352)</f>
        <v>45352</v>
      </c>
      <c r="Q328" s="3" t="str">
        <f ca="1">IFERROR(__xludf.DUMMYFUNCTION("""COMPUTED_VALUE"""),"495.3/Un.19/K.AUPK/KP.00.3/02/2024")</f>
        <v>495.3/Un.19/K.AUPK/KP.00.3/02/2024</v>
      </c>
      <c r="R328" s="3" t="str">
        <f ca="1">IFERROR(__xludf.DUMMYFUNCTION("""COMPUTED_VALUE"""),"Asisten Ahli")</f>
        <v>Asisten Ahli</v>
      </c>
      <c r="S328" s="3" t="str">
        <f ca="1">IFERROR(__xludf.DUMMYFUNCTION("""COMPUTED_VALUE"""),"Asisten Ahli")</f>
        <v>Asisten Ahli</v>
      </c>
      <c r="T328" s="7">
        <f ca="1">IFERROR(__xludf.DUMMYFUNCTION("""COMPUTED_VALUE"""),45352)</f>
        <v>45352</v>
      </c>
      <c r="U328" s="3"/>
      <c r="V328" s="7">
        <f ca="1">IFERROR(__xludf.DUMMYFUNCTION("""COMPUTED_VALUE"""),45351)</f>
        <v>45351</v>
      </c>
      <c r="W328" s="3">
        <f ca="1">IFERROR(__xludf.DUMMYFUNCTION("""COMPUTED_VALUE"""),9)</f>
        <v>9</v>
      </c>
      <c r="X328" s="3"/>
      <c r="Y328" s="3" t="str">
        <f ca="1">IFERROR(__xludf.DUMMYFUNCTION("""COMPUTED_VALUE"""),"S-2")</f>
        <v>S-2</v>
      </c>
      <c r="Z328" s="3" t="str">
        <f ca="1">IFERROR(__xludf.DUMMYFUNCTION("""COMPUTED_VALUE"""),"1 Tahun 8 Bulan 27 Hari")</f>
        <v>1 Tahun 8 Bulan 27 Hari</v>
      </c>
      <c r="AA328" s="8">
        <f ca="1">IFERROR(__xludf.DUMMYFUNCTION("""COMPUTED_VALUE"""),56005)</f>
        <v>56005</v>
      </c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4"/>
      <c r="AR328" s="3"/>
      <c r="AS328" s="4"/>
      <c r="AT328" s="3"/>
      <c r="AU328" s="3"/>
    </row>
    <row r="329" spans="1:47" x14ac:dyDescent="0.2">
      <c r="A329" s="12">
        <v>328</v>
      </c>
      <c r="B329" s="3" t="str">
        <f ca="1">IFERROR(__xludf.DUMMYFUNCTION("""COMPUTED_VALUE"""),"Endang Sartika")</f>
        <v>Endang Sartika</v>
      </c>
      <c r="C329" s="3" t="str">
        <f ca="1">IFERROR(__xludf.DUMMYFUNCTION("""COMPUTED_VALUE"""),"Endang Sartika, S.Pd.I., M.A.")</f>
        <v>Endang Sartika, S.Pd.I., M.A.</v>
      </c>
      <c r="D329" s="3" t="str">
        <f ca="1">IFERROR(__xludf.DUMMYFUNCTION("""COMPUTED_VALUE"""),"Endang Sartika, S.Pd.I., M.A.")</f>
        <v>Endang Sartika, S.Pd.I., M.A.</v>
      </c>
      <c r="E329" s="3" t="str">
        <f ca="1">IFERROR(__xludf.DUMMYFUNCTION("""COMPUTED_VALUE"""),"199110302023212040")</f>
        <v>199110302023212040</v>
      </c>
      <c r="F329" s="3" t="str">
        <f ca="1">IFERROR(__xludf.DUMMYFUNCTION("""COMPUTED_VALUE"""),"19911030 202321 2 040")</f>
        <v>19911030 202321 2 040</v>
      </c>
      <c r="G329" s="3">
        <f ca="1">IFERROR(__xludf.DUMMYFUNCTION("""COMPUTED_VALUE"""),2030109101)</f>
        <v>2030109101</v>
      </c>
      <c r="H329" s="6" t="str">
        <f ca="1">IFERROR(__xludf.DUMMYFUNCTION("""COMPUTED_VALUE"""),"8362769670230313")</f>
        <v>8362769670230313</v>
      </c>
      <c r="I329" s="3" t="str">
        <f ca="1">IFERROR(__xludf.DUMMYFUNCTION("""COMPUTED_VALUE"""),"PPPK")</f>
        <v>PPPK</v>
      </c>
      <c r="J329" s="3" t="str">
        <f ca="1">IFERROR(__xludf.DUMMYFUNCTION("""COMPUTED_VALUE"""),"Dosen PPPK")</f>
        <v>Dosen PPPK</v>
      </c>
      <c r="K329" s="5" t="str">
        <f ca="1">IFERROR(__xludf.DUMMYFUNCTION("""COMPUTED_VALUE"""),"P")</f>
        <v>P</v>
      </c>
      <c r="L329" s="3" t="str">
        <f ca="1">IFERROR(__xludf.DUMMYFUNCTION("""COMPUTED_VALUE"""),"Magelang")</f>
        <v>Magelang</v>
      </c>
      <c r="M329" s="3" t="str">
        <f ca="1">IFERROR(__xludf.DUMMYFUNCTION("""COMPUTED_VALUE"""),"30-10-1991")</f>
        <v>30-10-1991</v>
      </c>
      <c r="N329" s="4"/>
      <c r="O329" s="3" t="str">
        <f ca="1">IFERROR(__xludf.DUMMYFUNCTION("""COMPUTED_VALUE"""),"X")</f>
        <v>X</v>
      </c>
      <c r="P329" s="7">
        <f ca="1">IFERROR(__xludf.DUMMYFUNCTION("""COMPUTED_VALUE"""),45139)</f>
        <v>45139</v>
      </c>
      <c r="Q329" s="3" t="str">
        <f ca="1">IFERROR(__xludf.DUMMYFUNCTION("""COMPUTED_VALUE"""),"986/Un.19/K.AUPK/KP.00.3/07/2023")</f>
        <v>986/Un.19/K.AUPK/KP.00.3/07/2023</v>
      </c>
      <c r="R329" s="3" t="str">
        <f ca="1">IFERROR(__xludf.DUMMYFUNCTION("""COMPUTED_VALUE"""),"Asisten Ahli")</f>
        <v>Asisten Ahli</v>
      </c>
      <c r="S329" s="3" t="str">
        <f ca="1">IFERROR(__xludf.DUMMYFUNCTION("""COMPUTED_VALUE"""),"Asisten Ahli")</f>
        <v>Asisten Ahli</v>
      </c>
      <c r="T329" s="7">
        <f ca="1">IFERROR(__xludf.DUMMYFUNCTION("""COMPUTED_VALUE"""),45139)</f>
        <v>45139</v>
      </c>
      <c r="U329" s="3"/>
      <c r="V329" s="7">
        <f ca="1">IFERROR(__xludf.DUMMYFUNCTION("""COMPUTED_VALUE"""),45138)</f>
        <v>45138</v>
      </c>
      <c r="W329" s="3">
        <f ca="1">IFERROR(__xludf.DUMMYFUNCTION("""COMPUTED_VALUE"""),9)</f>
        <v>9</v>
      </c>
      <c r="X329" s="3"/>
      <c r="Y329" s="3" t="str">
        <f ca="1">IFERROR(__xludf.DUMMYFUNCTION("""COMPUTED_VALUE"""),"S-2")</f>
        <v>S-2</v>
      </c>
      <c r="Z329" s="3" t="str">
        <f ca="1">IFERROR(__xludf.DUMMYFUNCTION("""COMPUTED_VALUE"""),"2 Tahun 4 Bulan 27 Hari")</f>
        <v>2 Tahun 4 Bulan 27 Hari</v>
      </c>
      <c r="AA329" s="8">
        <f ca="1">IFERROR(__xludf.DUMMYFUNCTION("""COMPUTED_VALUE"""),57285)</f>
        <v>57285</v>
      </c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4"/>
      <c r="AR329" s="3"/>
      <c r="AS329" s="4"/>
      <c r="AT329" s="3"/>
      <c r="AU329" s="3"/>
    </row>
    <row r="330" spans="1:47" x14ac:dyDescent="0.2">
      <c r="A330" s="12">
        <v>329</v>
      </c>
      <c r="B330" s="3" t="str">
        <f ca="1">IFERROR(__xludf.DUMMYFUNCTION("""COMPUTED_VALUE"""),"Fitri Sari Setyorini")</f>
        <v>Fitri Sari Setyorini</v>
      </c>
      <c r="C330" s="3" t="str">
        <f ca="1">IFERROR(__xludf.DUMMYFUNCTION("""COMPUTED_VALUE"""),"Fitri Sari Setyorini, S.Hum., M.Hum.")</f>
        <v>Fitri Sari Setyorini, S.Hum., M.Hum.</v>
      </c>
      <c r="D330" s="3" t="str">
        <f ca="1">IFERROR(__xludf.DUMMYFUNCTION("""COMPUTED_VALUE"""),"Fitri Sari Setyorini, S.Hum., M.Hum.")</f>
        <v>Fitri Sari Setyorini, S.Hum., M.Hum.</v>
      </c>
      <c r="E330" s="3" t="str">
        <f ca="1">IFERROR(__xludf.DUMMYFUNCTION("""COMPUTED_VALUE"""),"198907032023212036")</f>
        <v>198907032023212036</v>
      </c>
      <c r="F330" s="3" t="str">
        <f ca="1">IFERROR(__xludf.DUMMYFUNCTION("""COMPUTED_VALUE"""),"19890703 202321 2 036")</f>
        <v>19890703 202321 2 036</v>
      </c>
      <c r="G330" s="3">
        <f ca="1">IFERROR(__xludf.DUMMYFUNCTION("""COMPUTED_VALUE"""),2003078902)</f>
        <v>2003078902</v>
      </c>
      <c r="H330" s="6" t="str">
        <f ca="1">IFERROR(__xludf.DUMMYFUNCTION("""COMPUTED_VALUE"""),"7035767668237033")</f>
        <v>7035767668237033</v>
      </c>
      <c r="I330" s="3" t="str">
        <f ca="1">IFERROR(__xludf.DUMMYFUNCTION("""COMPUTED_VALUE"""),"PPPK")</f>
        <v>PPPK</v>
      </c>
      <c r="J330" s="3" t="str">
        <f ca="1">IFERROR(__xludf.DUMMYFUNCTION("""COMPUTED_VALUE"""),"Dosen PPPK")</f>
        <v>Dosen PPPK</v>
      </c>
      <c r="K330" s="5" t="str">
        <f ca="1">IFERROR(__xludf.DUMMYFUNCTION("""COMPUTED_VALUE"""),"P")</f>
        <v>P</v>
      </c>
      <c r="L330" s="3" t="str">
        <f ca="1">IFERROR(__xludf.DUMMYFUNCTION("""COMPUTED_VALUE"""),"Klaten")</f>
        <v>Klaten</v>
      </c>
      <c r="M330" s="3" t="str">
        <f ca="1">IFERROR(__xludf.DUMMYFUNCTION("""COMPUTED_VALUE"""),"03-07-1989")</f>
        <v>03-07-1989</v>
      </c>
      <c r="N330" s="4"/>
      <c r="O330" s="3" t="str">
        <f ca="1">IFERROR(__xludf.DUMMYFUNCTION("""COMPUTED_VALUE"""),"X")</f>
        <v>X</v>
      </c>
      <c r="P330" s="7">
        <f ca="1">IFERROR(__xludf.DUMMYFUNCTION("""COMPUTED_VALUE"""),45139)</f>
        <v>45139</v>
      </c>
      <c r="Q330" s="3" t="str">
        <f ca="1">IFERROR(__xludf.DUMMYFUNCTION("""COMPUTED_VALUE"""),"981/Un.19/K.AUPK/KP.00.3/07/2023")</f>
        <v>981/Un.19/K.AUPK/KP.00.3/07/2023</v>
      </c>
      <c r="R330" s="3" t="str">
        <f ca="1">IFERROR(__xludf.DUMMYFUNCTION("""COMPUTED_VALUE"""),"Asisten Ahli")</f>
        <v>Asisten Ahli</v>
      </c>
      <c r="S330" s="3" t="str">
        <f ca="1">IFERROR(__xludf.DUMMYFUNCTION("""COMPUTED_VALUE"""),"Asisten Ahli")</f>
        <v>Asisten Ahli</v>
      </c>
      <c r="T330" s="7">
        <f ca="1">IFERROR(__xludf.DUMMYFUNCTION("""COMPUTED_VALUE"""),45139)</f>
        <v>45139</v>
      </c>
      <c r="U330" s="3"/>
      <c r="V330" s="7">
        <f ca="1">IFERROR(__xludf.DUMMYFUNCTION("""COMPUTED_VALUE"""),45138)</f>
        <v>45138</v>
      </c>
      <c r="W330" s="3">
        <f ca="1">IFERROR(__xludf.DUMMYFUNCTION("""COMPUTED_VALUE"""),9)</f>
        <v>9</v>
      </c>
      <c r="X330" s="3"/>
      <c r="Y330" s="3" t="str">
        <f ca="1">IFERROR(__xludf.DUMMYFUNCTION("""COMPUTED_VALUE"""),"S-2")</f>
        <v>S-2</v>
      </c>
      <c r="Z330" s="3" t="str">
        <f ca="1">IFERROR(__xludf.DUMMYFUNCTION("""COMPUTED_VALUE"""),"2 Tahun 4 Bulan 27 Hari")</f>
        <v>2 Tahun 4 Bulan 27 Hari</v>
      </c>
      <c r="AA330" s="8">
        <f ca="1">IFERROR(__xludf.DUMMYFUNCTION("""COMPUTED_VALUE"""),56462)</f>
        <v>56462</v>
      </c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4"/>
      <c r="AR330" s="3"/>
      <c r="AS330" s="4"/>
      <c r="AT330" s="3"/>
      <c r="AU330" s="3"/>
    </row>
    <row r="331" spans="1:47" x14ac:dyDescent="0.2">
      <c r="A331" s="12">
        <v>330</v>
      </c>
      <c r="B331" s="3" t="str">
        <f ca="1">IFERROR(__xludf.DUMMYFUNCTION("""COMPUTED_VALUE"""),"Herman Wicaksono")</f>
        <v>Herman Wicaksono</v>
      </c>
      <c r="C331" s="3" t="str">
        <f ca="1">IFERROR(__xludf.DUMMYFUNCTION("""COMPUTED_VALUE"""),"Herman Wicaksono, S.Pd.I., M.Pd.")</f>
        <v>Herman Wicaksono, S.Pd.I., M.Pd.</v>
      </c>
      <c r="D331" s="3" t="str">
        <f ca="1">IFERROR(__xludf.DUMMYFUNCTION("""COMPUTED_VALUE"""),"Herman Wicaksono, S.Pd.I., M.Pd.")</f>
        <v>Herman Wicaksono, S.Pd.I., M.Pd.</v>
      </c>
      <c r="E331" s="3" t="str">
        <f ca="1">IFERROR(__xludf.DUMMYFUNCTION("""COMPUTED_VALUE"""),"199210042023211018")</f>
        <v>199210042023211018</v>
      </c>
      <c r="F331" s="3" t="str">
        <f ca="1">IFERROR(__xludf.DUMMYFUNCTION("""COMPUTED_VALUE"""),"19921004 202321 1 018")</f>
        <v>19921004 202321 1 018</v>
      </c>
      <c r="G331" s="3">
        <f ca="1">IFERROR(__xludf.DUMMYFUNCTION("""COMPUTED_VALUE"""),2004109203)</f>
        <v>2004109203</v>
      </c>
      <c r="H331" s="6" t="str">
        <f ca="1">IFERROR(__xludf.DUMMYFUNCTION("""COMPUTED_VALUE"""),"6336770671130283")</f>
        <v>6336770671130283</v>
      </c>
      <c r="I331" s="3" t="str">
        <f ca="1">IFERROR(__xludf.DUMMYFUNCTION("""COMPUTED_VALUE"""),"PPPK")</f>
        <v>PPPK</v>
      </c>
      <c r="J331" s="3" t="str">
        <f ca="1">IFERROR(__xludf.DUMMYFUNCTION("""COMPUTED_VALUE"""),"Dosen PPPK")</f>
        <v>Dosen PPPK</v>
      </c>
      <c r="K331" s="5" t="str">
        <f ca="1">IFERROR(__xludf.DUMMYFUNCTION("""COMPUTED_VALUE"""),"L")</f>
        <v>L</v>
      </c>
      <c r="L331" s="3" t="str">
        <f ca="1">IFERROR(__xludf.DUMMYFUNCTION("""COMPUTED_VALUE"""),"Temanggung")</f>
        <v>Temanggung</v>
      </c>
      <c r="M331" s="3" t="str">
        <f ca="1">IFERROR(__xludf.DUMMYFUNCTION("""COMPUTED_VALUE"""),"04-10-1992")</f>
        <v>04-10-1992</v>
      </c>
      <c r="N331" s="4"/>
      <c r="O331" s="3" t="str">
        <f ca="1">IFERROR(__xludf.DUMMYFUNCTION("""COMPUTED_VALUE"""),"X")</f>
        <v>X</v>
      </c>
      <c r="P331" s="7">
        <f ca="1">IFERROR(__xludf.DUMMYFUNCTION("""COMPUTED_VALUE"""),45139)</f>
        <v>45139</v>
      </c>
      <c r="Q331" s="3" t="str">
        <f ca="1">IFERROR(__xludf.DUMMYFUNCTION("""COMPUTED_VALUE"""),"987/Un.19/K.AUPK/KP.00.3/07/2023")</f>
        <v>987/Un.19/K.AUPK/KP.00.3/07/2023</v>
      </c>
      <c r="R331" s="3" t="str">
        <f ca="1">IFERROR(__xludf.DUMMYFUNCTION("""COMPUTED_VALUE"""),"Asisten Ahli")</f>
        <v>Asisten Ahli</v>
      </c>
      <c r="S331" s="3" t="str">
        <f ca="1">IFERROR(__xludf.DUMMYFUNCTION("""COMPUTED_VALUE"""),"Asisten Ahli")</f>
        <v>Asisten Ahli</v>
      </c>
      <c r="T331" s="7">
        <f ca="1">IFERROR(__xludf.DUMMYFUNCTION("""COMPUTED_VALUE"""),45139)</f>
        <v>45139</v>
      </c>
      <c r="U331" s="3"/>
      <c r="V331" s="7">
        <f ca="1">IFERROR(__xludf.DUMMYFUNCTION("""COMPUTED_VALUE"""),45138)</f>
        <v>45138</v>
      </c>
      <c r="W331" s="3">
        <f ca="1">IFERROR(__xludf.DUMMYFUNCTION("""COMPUTED_VALUE"""),9)</f>
        <v>9</v>
      </c>
      <c r="X331" s="3"/>
      <c r="Y331" s="3" t="str">
        <f ca="1">IFERROR(__xludf.DUMMYFUNCTION("""COMPUTED_VALUE"""),"S-2")</f>
        <v>S-2</v>
      </c>
      <c r="Z331" s="3" t="str">
        <f ca="1">IFERROR(__xludf.DUMMYFUNCTION("""COMPUTED_VALUE"""),"2 Tahun 4 Bulan 27 Hari")</f>
        <v>2 Tahun 4 Bulan 27 Hari</v>
      </c>
      <c r="AA331" s="8">
        <f ca="1">IFERROR(__xludf.DUMMYFUNCTION("""COMPUTED_VALUE"""),57650)</f>
        <v>57650</v>
      </c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4"/>
      <c r="AR331" s="3"/>
      <c r="AS331" s="4"/>
      <c r="AT331" s="3"/>
      <c r="AU331" s="3"/>
    </row>
    <row r="332" spans="1:47" x14ac:dyDescent="0.2">
      <c r="A332" s="12">
        <v>331</v>
      </c>
      <c r="B332" s="3" t="str">
        <f ca="1">IFERROR(__xludf.DUMMYFUNCTION("""COMPUTED_VALUE"""),"Ida Puspitarini Wahyuningtyas")</f>
        <v>Ida Puspitarini Wahyuningtyas</v>
      </c>
      <c r="C332" s="3" t="str">
        <f ca="1">IFERROR(__xludf.DUMMYFUNCTION("""COMPUTED_VALUE"""),"Hj. Ida Puspitarini Wahyuningtyas, ‌S.E., M.Si., Ak.")</f>
        <v>Hj. Ida Puspitarini Wahyuningtyas, ‌S.E., M.Si., Ak.</v>
      </c>
      <c r="D332" s="3" t="str">
        <f ca="1">IFERROR(__xludf.DUMMYFUNCTION("""COMPUTED_VALUE"""),"Hj. Ida Puspitarini Wahyuningtyas, ‌S.E., M.Si., Ak.")</f>
        <v>Hj. Ida Puspitarini Wahyuningtyas, ‌S.E., M.Si., Ak.</v>
      </c>
      <c r="E332" s="3" t="str">
        <f ca="1">IFERROR(__xludf.DUMMYFUNCTION("""COMPUTED_VALUE"""),"198211042025212008")</f>
        <v>198211042025212008</v>
      </c>
      <c r="F332" s="3" t="str">
        <f ca="1">IFERROR(__xludf.DUMMYFUNCTION("""COMPUTED_VALUE"""),"19821104 202521 2 008")</f>
        <v>19821104 202521 2 008</v>
      </c>
      <c r="G332" s="3">
        <f ca="1">IFERROR(__xludf.DUMMYFUNCTION("""COMPUTED_VALUE"""),2004118201)</f>
        <v>2004118201</v>
      </c>
      <c r="H332" s="6" t="str">
        <f ca="1">IFERROR(__xludf.DUMMYFUNCTION("""COMPUTED_VALUE"""),"0436760661230203")</f>
        <v>0436760661230203</v>
      </c>
      <c r="I332" s="3" t="str">
        <f ca="1">IFERROR(__xludf.DUMMYFUNCTION("""COMPUTED_VALUE"""),"PPPK")</f>
        <v>PPPK</v>
      </c>
      <c r="J332" s="3" t="str">
        <f ca="1">IFERROR(__xludf.DUMMYFUNCTION("""COMPUTED_VALUE"""),"Dosen PPPK")</f>
        <v>Dosen PPPK</v>
      </c>
      <c r="K332" s="5" t="str">
        <f ca="1">IFERROR(__xludf.DUMMYFUNCTION("""COMPUTED_VALUE"""),"P")</f>
        <v>P</v>
      </c>
      <c r="L332" s="3" t="str">
        <f ca="1">IFERROR(__xludf.DUMMYFUNCTION("""COMPUTED_VALUE"""),"Nganjuk")</f>
        <v>Nganjuk</v>
      </c>
      <c r="M332" s="3" t="str">
        <f ca="1">IFERROR(__xludf.DUMMYFUNCTION("""COMPUTED_VALUE"""),"04-11-1982")</f>
        <v>04-11-1982</v>
      </c>
      <c r="N332" s="4"/>
      <c r="O332" s="3" t="str">
        <f ca="1">IFERROR(__xludf.DUMMYFUNCTION("""COMPUTED_VALUE"""),"X")</f>
        <v>X</v>
      </c>
      <c r="P332" s="7">
        <f ca="1">IFERROR(__xludf.DUMMYFUNCTION("""COMPUTED_VALUE"""),45717)</f>
        <v>45717</v>
      </c>
      <c r="Q332" s="3" t="str">
        <f ca="1">IFERROR(__xludf.DUMMYFUNCTION("""COMPUTED_VALUE"""),"287.34/Un.19/K.AUPK/KP.01.3/02/2025")</f>
        <v>287.34/Un.19/K.AUPK/KP.01.3/02/2025</v>
      </c>
      <c r="R332" s="3" t="str">
        <f ca="1">IFERROR(__xludf.DUMMYFUNCTION("""COMPUTED_VALUE"""),"Asisten Ahli")</f>
        <v>Asisten Ahli</v>
      </c>
      <c r="S332" s="3" t="str">
        <f ca="1">IFERROR(__xludf.DUMMYFUNCTION("""COMPUTED_VALUE"""),"Asisten Ahli")</f>
        <v>Asisten Ahli</v>
      </c>
      <c r="T332" s="7">
        <f ca="1">IFERROR(__xludf.DUMMYFUNCTION("""COMPUTED_VALUE"""),45717)</f>
        <v>45717</v>
      </c>
      <c r="U332" s="3"/>
      <c r="V332" s="7">
        <f ca="1">IFERROR(__xludf.DUMMYFUNCTION("""COMPUTED_VALUE"""),45716)</f>
        <v>45716</v>
      </c>
      <c r="W332" s="3">
        <f ca="1">IFERROR(__xludf.DUMMYFUNCTION("""COMPUTED_VALUE"""),9)</f>
        <v>9</v>
      </c>
      <c r="X332" s="3"/>
      <c r="Y332" s="3" t="str">
        <f ca="1">IFERROR(__xludf.DUMMYFUNCTION("""COMPUTED_VALUE"""),"S-2")</f>
        <v>S-2</v>
      </c>
      <c r="Z332" s="3" t="str">
        <f ca="1">IFERROR(__xludf.DUMMYFUNCTION("""COMPUTED_VALUE"""),"0 Tahun 8 Bulan 1 Hari")</f>
        <v>0 Tahun 8 Bulan 1 Hari</v>
      </c>
      <c r="AA332" s="8">
        <f ca="1">IFERROR(__xludf.DUMMYFUNCTION("""COMPUTED_VALUE"""),54027)</f>
        <v>54027</v>
      </c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4"/>
      <c r="AR332" s="3"/>
      <c r="AS332" s="4"/>
      <c r="AT332" s="3"/>
      <c r="AU332" s="3"/>
    </row>
    <row r="333" spans="1:47" x14ac:dyDescent="0.2">
      <c r="A333" s="12">
        <v>332</v>
      </c>
      <c r="B333" s="3" t="str">
        <f ca="1">IFERROR(__xludf.DUMMYFUNCTION("""COMPUTED_VALUE"""),"Inten Mustika Kusumaningtias")</f>
        <v>Inten Mustika Kusumaningtias</v>
      </c>
      <c r="C333" s="3" t="str">
        <f ca="1">IFERROR(__xludf.DUMMYFUNCTION("""COMPUTED_VALUE"""),"Inten Mustika Kusumaningtias, M.Pd.")</f>
        <v>Inten Mustika Kusumaningtias, M.Pd.</v>
      </c>
      <c r="D333" s="3" t="str">
        <f ca="1">IFERROR(__xludf.DUMMYFUNCTION("""COMPUTED_VALUE"""),"Inten Mustika Kusumaningtias, M.Pd.")</f>
        <v>Inten Mustika Kusumaningtias, M.Pd.</v>
      </c>
      <c r="E333" s="3" t="str">
        <f ca="1">IFERROR(__xludf.DUMMYFUNCTION("""COMPUTED_VALUE"""),"199210172023212037")</f>
        <v>199210172023212037</v>
      </c>
      <c r="F333" s="3" t="str">
        <f ca="1">IFERROR(__xludf.DUMMYFUNCTION("""COMPUTED_VALUE"""),"19921017 202321 2 037")</f>
        <v>19921017 202321 2 037</v>
      </c>
      <c r="G333" s="3">
        <f ca="1">IFERROR(__xludf.DUMMYFUNCTION("""COMPUTED_VALUE"""),2017109201)</f>
        <v>2017109201</v>
      </c>
      <c r="H333" s="6" t="str">
        <f ca="1">IFERROR(__xludf.DUMMYFUNCTION("""COMPUTED_VALUE"""),"4349770671230273")</f>
        <v>4349770671230273</v>
      </c>
      <c r="I333" s="3" t="str">
        <f ca="1">IFERROR(__xludf.DUMMYFUNCTION("""COMPUTED_VALUE"""),"PPPK")</f>
        <v>PPPK</v>
      </c>
      <c r="J333" s="3" t="str">
        <f ca="1">IFERROR(__xludf.DUMMYFUNCTION("""COMPUTED_VALUE"""),"Dosen PPPK")</f>
        <v>Dosen PPPK</v>
      </c>
      <c r="K333" s="5" t="str">
        <f ca="1">IFERROR(__xludf.DUMMYFUNCTION("""COMPUTED_VALUE"""),"P")</f>
        <v>P</v>
      </c>
      <c r="L333" s="3" t="str">
        <f ca="1">IFERROR(__xludf.DUMMYFUNCTION("""COMPUTED_VALUE"""),"Cilacap")</f>
        <v>Cilacap</v>
      </c>
      <c r="M333" s="3" t="str">
        <f ca="1">IFERROR(__xludf.DUMMYFUNCTION("""COMPUTED_VALUE"""),"17-10-1992")</f>
        <v>17-10-1992</v>
      </c>
      <c r="N333" s="4"/>
      <c r="O333" s="3" t="str">
        <f ca="1">IFERROR(__xludf.DUMMYFUNCTION("""COMPUTED_VALUE"""),"X")</f>
        <v>X</v>
      </c>
      <c r="P333" s="7">
        <f ca="1">IFERROR(__xludf.DUMMYFUNCTION("""COMPUTED_VALUE"""),45139)</f>
        <v>45139</v>
      </c>
      <c r="Q333" s="3" t="str">
        <f ca="1">IFERROR(__xludf.DUMMYFUNCTION("""COMPUTED_VALUE"""),"988/Un.19/K.AUPK/KP.00.3/07/2023")</f>
        <v>988/Un.19/K.AUPK/KP.00.3/07/2023</v>
      </c>
      <c r="R333" s="3" t="str">
        <f ca="1">IFERROR(__xludf.DUMMYFUNCTION("""COMPUTED_VALUE"""),"Asisten Ahli")</f>
        <v>Asisten Ahli</v>
      </c>
      <c r="S333" s="3" t="str">
        <f ca="1">IFERROR(__xludf.DUMMYFUNCTION("""COMPUTED_VALUE"""),"Asisten Ahli")</f>
        <v>Asisten Ahli</v>
      </c>
      <c r="T333" s="7">
        <f ca="1">IFERROR(__xludf.DUMMYFUNCTION("""COMPUTED_VALUE"""),45139)</f>
        <v>45139</v>
      </c>
      <c r="U333" s="3"/>
      <c r="V333" s="7">
        <f ca="1">IFERROR(__xludf.DUMMYFUNCTION("""COMPUTED_VALUE"""),45138)</f>
        <v>45138</v>
      </c>
      <c r="W333" s="3">
        <f ca="1">IFERROR(__xludf.DUMMYFUNCTION("""COMPUTED_VALUE"""),9)</f>
        <v>9</v>
      </c>
      <c r="X333" s="3"/>
      <c r="Y333" s="3" t="str">
        <f ca="1">IFERROR(__xludf.DUMMYFUNCTION("""COMPUTED_VALUE"""),"S-2")</f>
        <v>S-2</v>
      </c>
      <c r="Z333" s="3" t="str">
        <f ca="1">IFERROR(__xludf.DUMMYFUNCTION("""COMPUTED_VALUE"""),"2 Tahun 4 Bulan 27 Hari")</f>
        <v>2 Tahun 4 Bulan 27 Hari</v>
      </c>
      <c r="AA333" s="8">
        <f ca="1">IFERROR(__xludf.DUMMYFUNCTION("""COMPUTED_VALUE"""),57650)</f>
        <v>57650</v>
      </c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4"/>
      <c r="AR333" s="3"/>
      <c r="AS333" s="4"/>
      <c r="AT333" s="3"/>
      <c r="AU333" s="3"/>
    </row>
    <row r="334" spans="1:47" x14ac:dyDescent="0.2">
      <c r="A334" s="12">
        <v>333</v>
      </c>
      <c r="B334" s="3" t="str">
        <f ca="1">IFERROR(__xludf.DUMMYFUNCTION("""COMPUTED_VALUE"""),"Kholilur Rahman")</f>
        <v>Kholilur Rahman</v>
      </c>
      <c r="C334" s="3" t="str">
        <f ca="1">IFERROR(__xludf.DUMMYFUNCTION("""COMPUTED_VALUE"""),"Kholilur Rahman, Lc., M.A.")</f>
        <v>Kholilur Rahman, Lc., M.A.</v>
      </c>
      <c r="D334" s="3" t="str">
        <f ca="1">IFERROR(__xludf.DUMMYFUNCTION("""COMPUTED_VALUE"""),"Kholilur Rahman, Lc., M.A.")</f>
        <v>Kholilur Rahman, Lc., M.A.</v>
      </c>
      <c r="E334" s="3" t="str">
        <f ca="1">IFERROR(__xludf.DUMMYFUNCTION("""COMPUTED_VALUE"""),"198206162025211014")</f>
        <v>198206162025211014</v>
      </c>
      <c r="F334" s="3" t="str">
        <f ca="1">IFERROR(__xludf.DUMMYFUNCTION("""COMPUTED_VALUE"""),"19820616 202521 1 014")</f>
        <v>19820616 202521 1 014</v>
      </c>
      <c r="G334" s="3">
        <f ca="1">IFERROR(__xludf.DUMMYFUNCTION("""COMPUTED_VALUE"""),2016068203)</f>
        <v>2016068203</v>
      </c>
      <c r="H334" s="6" t="str">
        <f ca="1">IFERROR(__xludf.DUMMYFUNCTION("""COMPUTED_VALUE"""),"5948760661130282")</f>
        <v>5948760661130282</v>
      </c>
      <c r="I334" s="3" t="str">
        <f ca="1">IFERROR(__xludf.DUMMYFUNCTION("""COMPUTED_VALUE"""),"PPPK")</f>
        <v>PPPK</v>
      </c>
      <c r="J334" s="3" t="str">
        <f ca="1">IFERROR(__xludf.DUMMYFUNCTION("""COMPUTED_VALUE"""),"Dosen PPPK")</f>
        <v>Dosen PPPK</v>
      </c>
      <c r="K334" s="5" t="str">
        <f ca="1">IFERROR(__xludf.DUMMYFUNCTION("""COMPUTED_VALUE"""),"L")</f>
        <v>L</v>
      </c>
      <c r="L334" s="3" t="str">
        <f ca="1">IFERROR(__xludf.DUMMYFUNCTION("""COMPUTED_VALUE"""),"Banyumas")</f>
        <v>Banyumas</v>
      </c>
      <c r="M334" s="3" t="str">
        <f ca="1">IFERROR(__xludf.DUMMYFUNCTION("""COMPUTED_VALUE"""),"16-06-1982")</f>
        <v>16-06-1982</v>
      </c>
      <c r="N334" s="4"/>
      <c r="O334" s="3" t="str">
        <f ca="1">IFERROR(__xludf.DUMMYFUNCTION("""COMPUTED_VALUE"""),"X")</f>
        <v>X</v>
      </c>
      <c r="P334" s="7">
        <f ca="1">IFERROR(__xludf.DUMMYFUNCTION("""COMPUTED_VALUE"""),45717)</f>
        <v>45717</v>
      </c>
      <c r="Q334" s="3" t="str">
        <f ca="1">IFERROR(__xludf.DUMMYFUNCTION("""COMPUTED_VALUE"""),"287.35/Un.19/K.AUPK/KP.01.3/02/2025")</f>
        <v>287.35/Un.19/K.AUPK/KP.01.3/02/2025</v>
      </c>
      <c r="R334" s="3" t="str">
        <f ca="1">IFERROR(__xludf.DUMMYFUNCTION("""COMPUTED_VALUE"""),"Asisten Ahli")</f>
        <v>Asisten Ahli</v>
      </c>
      <c r="S334" s="3" t="str">
        <f ca="1">IFERROR(__xludf.DUMMYFUNCTION("""COMPUTED_VALUE"""),"Asisten Ahli")</f>
        <v>Asisten Ahli</v>
      </c>
      <c r="T334" s="7">
        <f ca="1">IFERROR(__xludf.DUMMYFUNCTION("""COMPUTED_VALUE"""),45717)</f>
        <v>45717</v>
      </c>
      <c r="U334" s="3"/>
      <c r="V334" s="7">
        <f ca="1">IFERROR(__xludf.DUMMYFUNCTION("""COMPUTED_VALUE"""),45716)</f>
        <v>45716</v>
      </c>
      <c r="W334" s="3">
        <f ca="1">IFERROR(__xludf.DUMMYFUNCTION("""COMPUTED_VALUE"""),9)</f>
        <v>9</v>
      </c>
      <c r="X334" s="3"/>
      <c r="Y334" s="3" t="str">
        <f ca="1">IFERROR(__xludf.DUMMYFUNCTION("""COMPUTED_VALUE"""),"S-2")</f>
        <v>S-2</v>
      </c>
      <c r="Z334" s="3" t="str">
        <f ca="1">IFERROR(__xludf.DUMMYFUNCTION("""COMPUTED_VALUE"""),"0 Tahun 8 Bulan 1 Hari")</f>
        <v>0 Tahun 8 Bulan 1 Hari</v>
      </c>
      <c r="AA334" s="8">
        <f ca="1">IFERROR(__xludf.DUMMYFUNCTION("""COMPUTED_VALUE"""),53874)</f>
        <v>53874</v>
      </c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4"/>
      <c r="AR334" s="3"/>
      <c r="AS334" s="4"/>
      <c r="AT334" s="3"/>
      <c r="AU334" s="3"/>
    </row>
    <row r="335" spans="1:47" x14ac:dyDescent="0.2">
      <c r="A335" s="12">
        <v>334</v>
      </c>
      <c r="B335" s="3" t="str">
        <f ca="1">IFERROR(__xludf.DUMMYFUNCTION("""COMPUTED_VALUE"""),"Layla Mardliyah")</f>
        <v>Layla Mardliyah</v>
      </c>
      <c r="C335" s="3" t="str">
        <f ca="1">IFERROR(__xludf.DUMMYFUNCTION("""COMPUTED_VALUE"""),"Layla Mardliyah, M.Pd.")</f>
        <v>Layla Mardliyah, M.Pd.</v>
      </c>
      <c r="D335" s="3" t="str">
        <f ca="1">IFERROR(__xludf.DUMMYFUNCTION("""COMPUTED_VALUE"""),"Dr. Layla Mardliyah, M.Pd.")</f>
        <v>Dr. Layla Mardliyah, M.Pd.</v>
      </c>
      <c r="E335" s="3" t="str">
        <f ca="1">IFERROR(__xludf.DUMMYFUNCTION("""COMPUTED_VALUE"""),"197612032023212004")</f>
        <v>197612032023212004</v>
      </c>
      <c r="F335" s="3" t="str">
        <f ca="1">IFERROR(__xludf.DUMMYFUNCTION("""COMPUTED_VALUE"""),"19761203 202321 2 004")</f>
        <v>19761203 202321 2 004</v>
      </c>
      <c r="G335" s="3">
        <f ca="1">IFERROR(__xludf.DUMMYFUNCTION("""COMPUTED_VALUE"""),2003127601)</f>
        <v>2003127601</v>
      </c>
      <c r="H335" s="6" t="str">
        <f ca="1">IFERROR(__xludf.DUMMYFUNCTION("""COMPUTED_VALUE"""),"4535754655230113")</f>
        <v>4535754655230113</v>
      </c>
      <c r="I335" s="3" t="str">
        <f ca="1">IFERROR(__xludf.DUMMYFUNCTION("""COMPUTED_VALUE"""),"PPPK")</f>
        <v>PPPK</v>
      </c>
      <c r="J335" s="3" t="str">
        <f ca="1">IFERROR(__xludf.DUMMYFUNCTION("""COMPUTED_VALUE"""),"Dosen PPPK")</f>
        <v>Dosen PPPK</v>
      </c>
      <c r="K335" s="5" t="str">
        <f ca="1">IFERROR(__xludf.DUMMYFUNCTION("""COMPUTED_VALUE"""),"P")</f>
        <v>P</v>
      </c>
      <c r="L335" s="3" t="str">
        <f ca="1">IFERROR(__xludf.DUMMYFUNCTION("""COMPUTED_VALUE"""),"Banyumas")</f>
        <v>Banyumas</v>
      </c>
      <c r="M335" s="3" t="str">
        <f ca="1">IFERROR(__xludf.DUMMYFUNCTION("""COMPUTED_VALUE"""),"03-12-1976")</f>
        <v>03-12-1976</v>
      </c>
      <c r="N335" s="4"/>
      <c r="O335" s="3" t="str">
        <f ca="1">IFERROR(__xludf.DUMMYFUNCTION("""COMPUTED_VALUE"""),"X")</f>
        <v>X</v>
      </c>
      <c r="P335" s="7">
        <f ca="1">IFERROR(__xludf.DUMMYFUNCTION("""COMPUTED_VALUE"""),45139)</f>
        <v>45139</v>
      </c>
      <c r="Q335" s="3" t="str">
        <f ca="1">IFERROR(__xludf.DUMMYFUNCTION("""COMPUTED_VALUE"""),"976/Un.19/K.AUPK/KP.00.3/07/2023")</f>
        <v>976/Un.19/K.AUPK/KP.00.3/07/2023</v>
      </c>
      <c r="R335" s="3" t="str">
        <f ca="1">IFERROR(__xludf.DUMMYFUNCTION("""COMPUTED_VALUE"""),"Asisten Ahli")</f>
        <v>Asisten Ahli</v>
      </c>
      <c r="S335" s="3" t="str">
        <f ca="1">IFERROR(__xludf.DUMMYFUNCTION("""COMPUTED_VALUE"""),"Asisten Ahli")</f>
        <v>Asisten Ahli</v>
      </c>
      <c r="T335" s="7">
        <f ca="1">IFERROR(__xludf.DUMMYFUNCTION("""COMPUTED_VALUE"""),45139)</f>
        <v>45139</v>
      </c>
      <c r="U335" s="3"/>
      <c r="V335" s="7">
        <f ca="1">IFERROR(__xludf.DUMMYFUNCTION("""COMPUTED_VALUE"""),45138)</f>
        <v>45138</v>
      </c>
      <c r="W335" s="3">
        <f ca="1">IFERROR(__xludf.DUMMYFUNCTION("""COMPUTED_VALUE"""),9)</f>
        <v>9</v>
      </c>
      <c r="X335" s="7" t="str">
        <f ca="1">IFERROR(__xludf.DUMMYFUNCTION("""COMPUTED_VALUE"""),"Sekretaris Program Studi S-2 Pendidikan Guru Madrasah Ibtidaiyyah pada Pascasarjana")</f>
        <v>Sekretaris Program Studi S-2 Pendidikan Guru Madrasah Ibtidaiyyah pada Pascasarjana</v>
      </c>
      <c r="Y335" s="3" t="str">
        <f ca="1">IFERROR(__xludf.DUMMYFUNCTION("""COMPUTED_VALUE"""),"S-3")</f>
        <v>S-3</v>
      </c>
      <c r="Z335" s="3" t="str">
        <f ca="1">IFERROR(__xludf.DUMMYFUNCTION("""COMPUTED_VALUE"""),"2 Tahun 4 Bulan 27 Hari")</f>
        <v>2 Tahun 4 Bulan 27 Hari</v>
      </c>
      <c r="AA335" s="8">
        <f ca="1">IFERROR(__xludf.DUMMYFUNCTION("""COMPUTED_VALUE"""),51867)</f>
        <v>51867</v>
      </c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4"/>
      <c r="AR335" s="3"/>
      <c r="AS335" s="4"/>
      <c r="AT335" s="3"/>
      <c r="AU335" s="3"/>
    </row>
    <row r="336" spans="1:47" x14ac:dyDescent="0.2">
      <c r="A336" s="12">
        <v>335</v>
      </c>
      <c r="B336" s="3" t="str">
        <f ca="1">IFERROR(__xludf.DUMMYFUNCTION("""COMPUTED_VALUE"""),"Ma'fiyatun Insiyah")</f>
        <v>Ma'fiyatun Insiyah</v>
      </c>
      <c r="C336" s="3" t="str">
        <f ca="1">IFERROR(__xludf.DUMMYFUNCTION("""COMPUTED_VALUE"""),"Ma'fiyatun Insiyah, M.Pd.")</f>
        <v>Ma'fiyatun Insiyah, M.Pd.</v>
      </c>
      <c r="D336" s="3" t="str">
        <f ca="1">IFERROR(__xludf.DUMMYFUNCTION("""COMPUTED_VALUE"""),"Ma'fiyatun Insiyah, M.Pd.")</f>
        <v>Ma'fiyatun Insiyah, M.Pd.</v>
      </c>
      <c r="E336" s="3" t="str">
        <f ca="1">IFERROR(__xludf.DUMMYFUNCTION("""COMPUTED_VALUE"""),"199603052025212008")</f>
        <v>199603052025212008</v>
      </c>
      <c r="F336" s="3" t="str">
        <f ca="1">IFERROR(__xludf.DUMMYFUNCTION("""COMPUTED_VALUE"""),"19960305202521 2 008")</f>
        <v>19960305202521 2 008</v>
      </c>
      <c r="G336" s="3">
        <f ca="1">IFERROR(__xludf.DUMMYFUNCTION("""COMPUTED_VALUE"""),2005039601)</f>
        <v>2005039601</v>
      </c>
      <c r="H336" s="6" t="str">
        <f ca="1">IFERROR(__xludf.DUMMYFUNCTION("""COMPUTED_VALUE"""),"2637774675230212")</f>
        <v>2637774675230212</v>
      </c>
      <c r="I336" s="3" t="str">
        <f ca="1">IFERROR(__xludf.DUMMYFUNCTION("""COMPUTED_VALUE"""),"PPPK")</f>
        <v>PPPK</v>
      </c>
      <c r="J336" s="3" t="str">
        <f ca="1">IFERROR(__xludf.DUMMYFUNCTION("""COMPUTED_VALUE"""),"Dosen PPPK")</f>
        <v>Dosen PPPK</v>
      </c>
      <c r="K336" s="5" t="str">
        <f ca="1">IFERROR(__xludf.DUMMYFUNCTION("""COMPUTED_VALUE"""),"P")</f>
        <v>P</v>
      </c>
      <c r="L336" s="3" t="str">
        <f ca="1">IFERROR(__xludf.DUMMYFUNCTION("""COMPUTED_VALUE"""),"Cilacap")</f>
        <v>Cilacap</v>
      </c>
      <c r="M336" s="3" t="str">
        <f ca="1">IFERROR(__xludf.DUMMYFUNCTION("""COMPUTED_VALUE"""),"05-03-1996")</f>
        <v>05-03-1996</v>
      </c>
      <c r="N336" s="4"/>
      <c r="O336" s="3" t="str">
        <f ca="1">IFERROR(__xludf.DUMMYFUNCTION("""COMPUTED_VALUE"""),"X")</f>
        <v>X</v>
      </c>
      <c r="P336" s="7">
        <f ca="1">IFERROR(__xludf.DUMMYFUNCTION("""COMPUTED_VALUE"""),45717)</f>
        <v>45717</v>
      </c>
      <c r="Q336" s="3" t="str">
        <f ca="1">IFERROR(__xludf.DUMMYFUNCTION("""COMPUTED_VALUE"""),"287.36/Un.19/K.AUPK/KP.01.3/02/2025")</f>
        <v>287.36/Un.19/K.AUPK/KP.01.3/02/2025</v>
      </c>
      <c r="R336" s="3" t="str">
        <f ca="1">IFERROR(__xludf.DUMMYFUNCTION("""COMPUTED_VALUE"""),"Asisten Ahli")</f>
        <v>Asisten Ahli</v>
      </c>
      <c r="S336" s="3" t="str">
        <f ca="1">IFERROR(__xludf.DUMMYFUNCTION("""COMPUTED_VALUE"""),"Asisten Ahli")</f>
        <v>Asisten Ahli</v>
      </c>
      <c r="T336" s="7">
        <f ca="1">IFERROR(__xludf.DUMMYFUNCTION("""COMPUTED_VALUE"""),45717)</f>
        <v>45717</v>
      </c>
      <c r="U336" s="3"/>
      <c r="V336" s="7">
        <f ca="1">IFERROR(__xludf.DUMMYFUNCTION("""COMPUTED_VALUE"""),45716)</f>
        <v>45716</v>
      </c>
      <c r="W336" s="3">
        <f ca="1">IFERROR(__xludf.DUMMYFUNCTION("""COMPUTED_VALUE"""),9)</f>
        <v>9</v>
      </c>
      <c r="X336" s="3"/>
      <c r="Y336" s="3" t="str">
        <f ca="1">IFERROR(__xludf.DUMMYFUNCTION("""COMPUTED_VALUE"""),"S-2")</f>
        <v>S-2</v>
      </c>
      <c r="Z336" s="3" t="str">
        <f ca="1">IFERROR(__xludf.DUMMYFUNCTION("""COMPUTED_VALUE"""),"0 Tahun 8 Bulan 1 Hari")</f>
        <v>0 Tahun 8 Bulan 1 Hari</v>
      </c>
      <c r="AA336" s="8">
        <f ca="1">IFERROR(__xludf.DUMMYFUNCTION("""COMPUTED_VALUE"""),58897)</f>
        <v>58897</v>
      </c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4"/>
      <c r="AR336" s="3"/>
      <c r="AS336" s="4"/>
      <c r="AT336" s="3"/>
      <c r="AU336" s="3"/>
    </row>
    <row r="337" spans="1:47" x14ac:dyDescent="0.2">
      <c r="A337" s="12">
        <v>336</v>
      </c>
      <c r="B337" s="3" t="str">
        <f ca="1">IFERROR(__xludf.DUMMYFUNCTION("""COMPUTED_VALUE"""),"Mabarroh Azizah")</f>
        <v>Mabarroh Azizah</v>
      </c>
      <c r="C337" s="3" t="str">
        <f ca="1">IFERROR(__xludf.DUMMYFUNCTION("""COMPUTED_VALUE"""),"‌Mabarroh Azizah, ‌S.H.I., M.H.")</f>
        <v>‌Mabarroh Azizah, ‌S.H.I., M.H.</v>
      </c>
      <c r="D337" s="3" t="str">
        <f ca="1">IFERROR(__xludf.DUMMYFUNCTION("""COMPUTED_VALUE"""),"‌Mabarroh Azizah, ‌S.H.I., M.H.")</f>
        <v>‌Mabarroh Azizah, ‌S.H.I., M.H.</v>
      </c>
      <c r="E337" s="3" t="str">
        <f ca="1">IFERROR(__xludf.DUMMYFUNCTION("""COMPUTED_VALUE"""),"197905032025212004")</f>
        <v>197905032025212004</v>
      </c>
      <c r="F337" s="3" t="str">
        <f ca="1">IFERROR(__xludf.DUMMYFUNCTION("""COMPUTED_VALUE"""),"19790503 202521 2 004")</f>
        <v>19790503 202521 2 004</v>
      </c>
      <c r="G337" s="3">
        <f ca="1">IFERROR(__xludf.DUMMYFUNCTION("""COMPUTED_VALUE"""),2003057904)</f>
        <v>2003057904</v>
      </c>
      <c r="H337" s="6" t="str">
        <f ca="1">IFERROR(__xludf.DUMMYFUNCTION("""COMPUTED_VALUE"""),"6835757658230172")</f>
        <v>6835757658230172</v>
      </c>
      <c r="I337" s="3" t="str">
        <f ca="1">IFERROR(__xludf.DUMMYFUNCTION("""COMPUTED_VALUE"""),"PPPK")</f>
        <v>PPPK</v>
      </c>
      <c r="J337" s="3" t="str">
        <f ca="1">IFERROR(__xludf.DUMMYFUNCTION("""COMPUTED_VALUE"""),"Dosen PPPK")</f>
        <v>Dosen PPPK</v>
      </c>
      <c r="K337" s="5" t="str">
        <f ca="1">IFERROR(__xludf.DUMMYFUNCTION("""COMPUTED_VALUE"""),"P")</f>
        <v>P</v>
      </c>
      <c r="L337" s="3" t="str">
        <f ca="1">IFERROR(__xludf.DUMMYFUNCTION("""COMPUTED_VALUE"""),"Lamongan")</f>
        <v>Lamongan</v>
      </c>
      <c r="M337" s="3" t="str">
        <f ca="1">IFERROR(__xludf.DUMMYFUNCTION("""COMPUTED_VALUE"""),"03-05-1979")</f>
        <v>03-05-1979</v>
      </c>
      <c r="N337" s="4"/>
      <c r="O337" s="3" t="str">
        <f ca="1">IFERROR(__xludf.DUMMYFUNCTION("""COMPUTED_VALUE"""),"X")</f>
        <v>X</v>
      </c>
      <c r="P337" s="7">
        <f ca="1">IFERROR(__xludf.DUMMYFUNCTION("""COMPUTED_VALUE"""),45717)</f>
        <v>45717</v>
      </c>
      <c r="Q337" s="3" t="str">
        <f ca="1">IFERROR(__xludf.DUMMYFUNCTION("""COMPUTED_VALUE"""),"287.37/Un.19/K.AUPK/KP.01.3/02/2025")</f>
        <v>287.37/Un.19/K.AUPK/KP.01.3/02/2025</v>
      </c>
      <c r="R337" s="3" t="str">
        <f ca="1">IFERROR(__xludf.DUMMYFUNCTION("""COMPUTED_VALUE"""),"Asisten Ahli")</f>
        <v>Asisten Ahli</v>
      </c>
      <c r="S337" s="3" t="str">
        <f ca="1">IFERROR(__xludf.DUMMYFUNCTION("""COMPUTED_VALUE"""),"Asisten Ahli")</f>
        <v>Asisten Ahli</v>
      </c>
      <c r="T337" s="7">
        <f ca="1">IFERROR(__xludf.DUMMYFUNCTION("""COMPUTED_VALUE"""),45717)</f>
        <v>45717</v>
      </c>
      <c r="U337" s="3"/>
      <c r="V337" s="7">
        <f ca="1">IFERROR(__xludf.DUMMYFUNCTION("""COMPUTED_VALUE"""),45716)</f>
        <v>45716</v>
      </c>
      <c r="W337" s="3">
        <f ca="1">IFERROR(__xludf.DUMMYFUNCTION("""COMPUTED_VALUE"""),9)</f>
        <v>9</v>
      </c>
      <c r="X337" s="3"/>
      <c r="Y337" s="3" t="str">
        <f ca="1">IFERROR(__xludf.DUMMYFUNCTION("""COMPUTED_VALUE"""),"S-2")</f>
        <v>S-2</v>
      </c>
      <c r="Z337" s="3" t="str">
        <f ca="1">IFERROR(__xludf.DUMMYFUNCTION("""COMPUTED_VALUE"""),"0 Tahun 8 Bulan 1 Hari")</f>
        <v>0 Tahun 8 Bulan 1 Hari</v>
      </c>
      <c r="AA337" s="8">
        <f ca="1">IFERROR(__xludf.DUMMYFUNCTION("""COMPUTED_VALUE"""),52749)</f>
        <v>52749</v>
      </c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4"/>
      <c r="AR337" s="3"/>
      <c r="AS337" s="4"/>
      <c r="AT337" s="3"/>
      <c r="AU337" s="3"/>
    </row>
    <row r="338" spans="1:47" x14ac:dyDescent="0.2">
      <c r="A338" s="12">
        <v>337</v>
      </c>
      <c r="B338" s="3" t="str">
        <f ca="1">IFERROR(__xludf.DUMMYFUNCTION("""COMPUTED_VALUE"""),"Mahardhika Cipta Raharja")</f>
        <v>Mahardhika Cipta Raharja</v>
      </c>
      <c r="C338" s="3" t="str">
        <f ca="1">IFERROR(__xludf.DUMMYFUNCTION("""COMPUTED_VALUE"""),"Mahardhika Cipta Raharja, S.E., M.Si.")</f>
        <v>Mahardhika Cipta Raharja, S.E., M.Si.</v>
      </c>
      <c r="D338" s="3" t="str">
        <f ca="1">IFERROR(__xludf.DUMMYFUNCTION("""COMPUTED_VALUE"""),"Mahardhika Cipta Raharja, S.E., M.Si.")</f>
        <v>Mahardhika Cipta Raharja, S.E., M.Si.</v>
      </c>
      <c r="E338" s="3" t="str">
        <f ca="1">IFERROR(__xludf.DUMMYFUNCTION("""COMPUTED_VALUE"""),"198902102025211014")</f>
        <v>198902102025211014</v>
      </c>
      <c r="F338" s="3" t="str">
        <f ca="1">IFERROR(__xludf.DUMMYFUNCTION("""COMPUTED_VALUE"""),"19890210 202521 1 014")</f>
        <v>19890210 202521 1 014</v>
      </c>
      <c r="G338" s="3">
        <f ca="1">IFERROR(__xludf.DUMMYFUNCTION("""COMPUTED_VALUE"""),2010028901)</f>
        <v>2010028901</v>
      </c>
      <c r="H338" s="6" t="str">
        <f ca="1">IFERROR(__xludf.DUMMYFUNCTION("""COMPUTED_VALUE"""),"4542767668130342")</f>
        <v>4542767668130342</v>
      </c>
      <c r="I338" s="3" t="str">
        <f ca="1">IFERROR(__xludf.DUMMYFUNCTION("""COMPUTED_VALUE"""),"PPPK")</f>
        <v>PPPK</v>
      </c>
      <c r="J338" s="3" t="str">
        <f ca="1">IFERROR(__xludf.DUMMYFUNCTION("""COMPUTED_VALUE"""),"Dosen PPPK")</f>
        <v>Dosen PPPK</v>
      </c>
      <c r="K338" s="5" t="str">
        <f ca="1">IFERROR(__xludf.DUMMYFUNCTION("""COMPUTED_VALUE"""),"L")</f>
        <v>L</v>
      </c>
      <c r="L338" s="3" t="str">
        <f ca="1">IFERROR(__xludf.DUMMYFUNCTION("""COMPUTED_VALUE"""),"Purbalingga")</f>
        <v>Purbalingga</v>
      </c>
      <c r="M338" s="3" t="str">
        <f ca="1">IFERROR(__xludf.DUMMYFUNCTION("""COMPUTED_VALUE"""),"10-02-1989")</f>
        <v>10-02-1989</v>
      </c>
      <c r="N338" s="4"/>
      <c r="O338" s="3" t="str">
        <f ca="1">IFERROR(__xludf.DUMMYFUNCTION("""COMPUTED_VALUE"""),"X")</f>
        <v>X</v>
      </c>
      <c r="P338" s="7">
        <f ca="1">IFERROR(__xludf.DUMMYFUNCTION("""COMPUTED_VALUE"""),45717)</f>
        <v>45717</v>
      </c>
      <c r="Q338" s="3" t="str">
        <f ca="1">IFERROR(__xludf.DUMMYFUNCTION("""COMPUTED_VALUE"""),"287.38/Un.19/K.AUPK/KP.01.3/02/2025")</f>
        <v>287.38/Un.19/K.AUPK/KP.01.3/02/2025</v>
      </c>
      <c r="R338" s="3" t="str">
        <f ca="1">IFERROR(__xludf.DUMMYFUNCTION("""COMPUTED_VALUE"""),"Asisten Ahli")</f>
        <v>Asisten Ahli</v>
      </c>
      <c r="S338" s="3" t="str">
        <f ca="1">IFERROR(__xludf.DUMMYFUNCTION("""COMPUTED_VALUE"""),"Asisten Ahli")</f>
        <v>Asisten Ahli</v>
      </c>
      <c r="T338" s="7">
        <f ca="1">IFERROR(__xludf.DUMMYFUNCTION("""COMPUTED_VALUE"""),45717)</f>
        <v>45717</v>
      </c>
      <c r="U338" s="3"/>
      <c r="V338" s="7">
        <f ca="1">IFERROR(__xludf.DUMMYFUNCTION("""COMPUTED_VALUE"""),45716)</f>
        <v>45716</v>
      </c>
      <c r="W338" s="3">
        <f ca="1">IFERROR(__xludf.DUMMYFUNCTION("""COMPUTED_VALUE"""),9)</f>
        <v>9</v>
      </c>
      <c r="X338" s="7" t="str">
        <f ca="1">IFERROR(__xludf.DUMMYFUNCTION("""COMPUTED_VALUE"""),"Koordinator Program Studi S-1 Manajemen Zakat dan Wakaf Pada Fakultas Ekonomi dan Bisnis Islam")</f>
        <v>Koordinator Program Studi S-1 Manajemen Zakat dan Wakaf Pada Fakultas Ekonomi dan Bisnis Islam</v>
      </c>
      <c r="Y338" s="3" t="str">
        <f ca="1">IFERROR(__xludf.DUMMYFUNCTION("""COMPUTED_VALUE"""),"S-2")</f>
        <v>S-2</v>
      </c>
      <c r="Z338" s="3" t="str">
        <f ca="1">IFERROR(__xludf.DUMMYFUNCTION("""COMPUTED_VALUE"""),"0 Tahun 8 Bulan 1 Hari")</f>
        <v>0 Tahun 8 Bulan 1 Hari</v>
      </c>
      <c r="AA338" s="8">
        <f ca="1">IFERROR(__xludf.DUMMYFUNCTION("""COMPUTED_VALUE"""),56309)</f>
        <v>56309</v>
      </c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4"/>
      <c r="AR338" s="3"/>
      <c r="AS338" s="4"/>
      <c r="AT338" s="3"/>
      <c r="AU338" s="3"/>
    </row>
    <row r="339" spans="1:47" x14ac:dyDescent="0.2">
      <c r="A339" s="12">
        <v>338</v>
      </c>
      <c r="B339" s="3" t="str">
        <f ca="1">IFERROR(__xludf.DUMMYFUNCTION("""COMPUTED_VALUE"""),"Maulana Mualim")</f>
        <v>Maulana Mualim</v>
      </c>
      <c r="C339" s="3" t="str">
        <f ca="1">IFERROR(__xludf.DUMMYFUNCTION("""COMPUTED_VALUE"""),"Maulana Mualim, S.Pd., M.A.")</f>
        <v>Maulana Mualim, S.Pd., M.A.</v>
      </c>
      <c r="D339" s="3" t="str">
        <f ca="1">IFERROR(__xludf.DUMMYFUNCTION("""COMPUTED_VALUE"""),"Dr. Maulana Mualim, S.Pd., M.A.")</f>
        <v>Dr. Maulana Mualim, S.Pd., M.A.</v>
      </c>
      <c r="E339" s="3" t="str">
        <f ca="1">IFERROR(__xludf.DUMMYFUNCTION("""COMPUTED_VALUE"""),"198607142025211011")</f>
        <v>198607142025211011</v>
      </c>
      <c r="F339" s="3" t="str">
        <f ca="1">IFERROR(__xludf.DUMMYFUNCTION("""COMPUTED_VALUE"""),"19860714 202521 1 011")</f>
        <v>19860714 202521 1 011</v>
      </c>
      <c r="G339" s="3">
        <f ca="1">IFERROR(__xludf.DUMMYFUNCTION("""COMPUTED_VALUE"""),2014078601)</f>
        <v>2014078601</v>
      </c>
      <c r="H339" s="6" t="str">
        <f ca="1">IFERROR(__xludf.DUMMYFUNCTION("""COMPUTED_VALUE"""),"7046764665200013")</f>
        <v>7046764665200013</v>
      </c>
      <c r="I339" s="3" t="str">
        <f ca="1">IFERROR(__xludf.DUMMYFUNCTION("""COMPUTED_VALUE"""),"PPPK")</f>
        <v>PPPK</v>
      </c>
      <c r="J339" s="3" t="str">
        <f ca="1">IFERROR(__xludf.DUMMYFUNCTION("""COMPUTED_VALUE"""),"Dosen PPPK")</f>
        <v>Dosen PPPK</v>
      </c>
      <c r="K339" s="5" t="str">
        <f ca="1">IFERROR(__xludf.DUMMYFUNCTION("""COMPUTED_VALUE"""),"L")</f>
        <v>L</v>
      </c>
      <c r="L339" s="3" t="str">
        <f ca="1">IFERROR(__xludf.DUMMYFUNCTION("""COMPUTED_VALUE"""),"Tegal")</f>
        <v>Tegal</v>
      </c>
      <c r="M339" s="3" t="str">
        <f ca="1">IFERROR(__xludf.DUMMYFUNCTION("""COMPUTED_VALUE"""),"14-07-1986")</f>
        <v>14-07-1986</v>
      </c>
      <c r="N339" s="4"/>
      <c r="O339" s="3" t="str">
        <f ca="1">IFERROR(__xludf.DUMMYFUNCTION("""COMPUTED_VALUE"""),"X")</f>
        <v>X</v>
      </c>
      <c r="P339" s="7">
        <f ca="1">IFERROR(__xludf.DUMMYFUNCTION("""COMPUTED_VALUE"""),45717)</f>
        <v>45717</v>
      </c>
      <c r="Q339" s="3" t="str">
        <f ca="1">IFERROR(__xludf.DUMMYFUNCTION("""COMPUTED_VALUE"""),"287.39/Un.19/K.AUPK/KP.01.3/02/2025")</f>
        <v>287.39/Un.19/K.AUPK/KP.01.3/02/2025</v>
      </c>
      <c r="R339" s="3" t="str">
        <f ca="1">IFERROR(__xludf.DUMMYFUNCTION("""COMPUTED_VALUE"""),"Asisten Ahli")</f>
        <v>Asisten Ahli</v>
      </c>
      <c r="S339" s="3" t="str">
        <f ca="1">IFERROR(__xludf.DUMMYFUNCTION("""COMPUTED_VALUE"""),"Asisten Ahli")</f>
        <v>Asisten Ahli</v>
      </c>
      <c r="T339" s="7">
        <f ca="1">IFERROR(__xludf.DUMMYFUNCTION("""COMPUTED_VALUE"""),45717)</f>
        <v>45717</v>
      </c>
      <c r="U339" s="3"/>
      <c r="V339" s="7">
        <f ca="1">IFERROR(__xludf.DUMMYFUNCTION("""COMPUTED_VALUE"""),45716)</f>
        <v>45716</v>
      </c>
      <c r="W339" s="3">
        <f ca="1">IFERROR(__xludf.DUMMYFUNCTION("""COMPUTED_VALUE"""),9)</f>
        <v>9</v>
      </c>
      <c r="X339" s="3"/>
      <c r="Y339" s="3" t="str">
        <f ca="1">IFERROR(__xludf.DUMMYFUNCTION("""COMPUTED_VALUE"""),"S-3")</f>
        <v>S-3</v>
      </c>
      <c r="Z339" s="3" t="str">
        <f ca="1">IFERROR(__xludf.DUMMYFUNCTION("""COMPUTED_VALUE"""),"0 Tahun 8 Bulan 1 Hari")</f>
        <v>0 Tahun 8 Bulan 1 Hari</v>
      </c>
      <c r="AA339" s="8">
        <f ca="1">IFERROR(__xludf.DUMMYFUNCTION("""COMPUTED_VALUE"""),55366)</f>
        <v>55366</v>
      </c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4"/>
      <c r="AR339" s="3"/>
      <c r="AS339" s="4"/>
      <c r="AT339" s="3"/>
      <c r="AU339" s="3"/>
    </row>
    <row r="340" spans="1:47" x14ac:dyDescent="0.2">
      <c r="A340" s="12">
        <v>339</v>
      </c>
      <c r="B340" s="3" t="str">
        <f ca="1">IFERROR(__xludf.DUMMYFUNCTION("""COMPUTED_VALUE"""),"Mohamad Toha Umar")</f>
        <v>Mohamad Toha Umar</v>
      </c>
      <c r="C340" s="3" t="str">
        <f ca="1">IFERROR(__xludf.DUMMYFUNCTION("""COMPUTED_VALUE"""),"Mohamad Toha Umar, S.Ag., M.A.")</f>
        <v>Mohamad Toha Umar, S.Ag., M.A.</v>
      </c>
      <c r="D340" s="3" t="str">
        <f ca="1">IFERROR(__xludf.DUMMYFUNCTION("""COMPUTED_VALUE"""),"Mohamad Toha Umar, S.Ag., M.A.")</f>
        <v>Mohamad Toha Umar, S.Ag., M.A.</v>
      </c>
      <c r="E340" s="3" t="str">
        <f ca="1">IFERROR(__xludf.DUMMYFUNCTION("""COMPUTED_VALUE"""),"197006042023211004")</f>
        <v>197006042023211004</v>
      </c>
      <c r="F340" s="3" t="str">
        <f ca="1">IFERROR(__xludf.DUMMYFUNCTION("""COMPUTED_VALUE"""),"19700604 202321 1004")</f>
        <v>19700604 202321 1004</v>
      </c>
      <c r="G340" s="3">
        <f ca="1">IFERROR(__xludf.DUMMYFUNCTION("""COMPUTED_VALUE"""),2004067002)</f>
        <v>2004067002</v>
      </c>
      <c r="H340" s="6" t="str">
        <f ca="1">IFERROR(__xludf.DUMMYFUNCTION("""COMPUTED_VALUE"""),"2936748649130182")</f>
        <v>2936748649130182</v>
      </c>
      <c r="I340" s="3" t="str">
        <f ca="1">IFERROR(__xludf.DUMMYFUNCTION("""COMPUTED_VALUE"""),"PPPK")</f>
        <v>PPPK</v>
      </c>
      <c r="J340" s="3" t="str">
        <f ca="1">IFERROR(__xludf.DUMMYFUNCTION("""COMPUTED_VALUE"""),"Dosen PPPK")</f>
        <v>Dosen PPPK</v>
      </c>
      <c r="K340" s="5" t="str">
        <f ca="1">IFERROR(__xludf.DUMMYFUNCTION("""COMPUTED_VALUE"""),"L")</f>
        <v>L</v>
      </c>
      <c r="L340" s="3" t="str">
        <f ca="1">IFERROR(__xludf.DUMMYFUNCTION("""COMPUTED_VALUE"""),"Purbalingga")</f>
        <v>Purbalingga</v>
      </c>
      <c r="M340" s="3" t="str">
        <f ca="1">IFERROR(__xludf.DUMMYFUNCTION("""COMPUTED_VALUE"""),"04-06-1970")</f>
        <v>04-06-1970</v>
      </c>
      <c r="N340" s="4"/>
      <c r="O340" s="3" t="str">
        <f ca="1">IFERROR(__xludf.DUMMYFUNCTION("""COMPUTED_VALUE"""),"X")</f>
        <v>X</v>
      </c>
      <c r="P340" s="7">
        <f ca="1">IFERROR(__xludf.DUMMYFUNCTION("""COMPUTED_VALUE"""),45261)</f>
        <v>45261</v>
      </c>
      <c r="Q340" s="3" t="str">
        <f ca="1">IFERROR(__xludf.DUMMYFUNCTION("""COMPUTED_VALUE"""),"1749/Un.19/K.AUPK/KP.00.2/11/2023")</f>
        <v>1749/Un.19/K.AUPK/KP.00.2/11/2023</v>
      </c>
      <c r="R340" s="3" t="str">
        <f ca="1">IFERROR(__xludf.DUMMYFUNCTION("""COMPUTED_VALUE"""),"Asisten Ahli")</f>
        <v>Asisten Ahli</v>
      </c>
      <c r="S340" s="3" t="str">
        <f ca="1">IFERROR(__xludf.DUMMYFUNCTION("""COMPUTED_VALUE"""),"Asisten Ahli")</f>
        <v>Asisten Ahli</v>
      </c>
      <c r="T340" s="7">
        <f ca="1">IFERROR(__xludf.DUMMYFUNCTION("""COMPUTED_VALUE"""),45261)</f>
        <v>45261</v>
      </c>
      <c r="U340" s="3"/>
      <c r="V340" s="7">
        <f ca="1">IFERROR(__xludf.DUMMYFUNCTION("""COMPUTED_VALUE"""),45260)</f>
        <v>45260</v>
      </c>
      <c r="W340" s="3">
        <f ca="1">IFERROR(__xludf.DUMMYFUNCTION("""COMPUTED_VALUE"""),9)</f>
        <v>9</v>
      </c>
      <c r="X340" s="3"/>
      <c r="Y340" s="3" t="str">
        <f ca="1">IFERROR(__xludf.DUMMYFUNCTION("""COMPUTED_VALUE"""),"S-2")</f>
        <v>S-2</v>
      </c>
      <c r="Z340" s="3" t="str">
        <f ca="1">IFERROR(__xludf.DUMMYFUNCTION("""COMPUTED_VALUE"""),"1 Tahun 11 Bulan 27 Hari")</f>
        <v>1 Tahun 11 Bulan 27 Hari</v>
      </c>
      <c r="AA340" s="8">
        <f ca="1">IFERROR(__xludf.DUMMYFUNCTION("""COMPUTED_VALUE"""),49491)</f>
        <v>49491</v>
      </c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4"/>
      <c r="AR340" s="3"/>
      <c r="AS340" s="4"/>
      <c r="AT340" s="3"/>
      <c r="AU340" s="3"/>
    </row>
    <row r="341" spans="1:47" x14ac:dyDescent="0.2">
      <c r="A341" s="12">
        <v>340</v>
      </c>
      <c r="B341" s="3" t="str">
        <f ca="1">IFERROR(__xludf.DUMMYFUNCTION("""COMPUTED_VALUE"""),"Muchimah")</f>
        <v>Muchimah</v>
      </c>
      <c r="C341" s="3" t="str">
        <f ca="1">IFERROR(__xludf.DUMMYFUNCTION("""COMPUTED_VALUE"""),"Muchimah, S.H.I., M.H.")</f>
        <v>Muchimah, S.H.I., M.H.</v>
      </c>
      <c r="D341" s="3" t="str">
        <f ca="1">IFERROR(__xludf.DUMMYFUNCTION("""COMPUTED_VALUE"""),"Muchimah, S.H.I., M.H.")</f>
        <v>Muchimah, S.H.I., M.H.</v>
      </c>
      <c r="E341" s="3" t="str">
        <f ca="1">IFERROR(__xludf.DUMMYFUNCTION("""COMPUTED_VALUE"""),"199307192023212048")</f>
        <v>199307192023212048</v>
      </c>
      <c r="F341" s="3" t="str">
        <f ca="1">IFERROR(__xludf.DUMMYFUNCTION("""COMPUTED_VALUE"""),"‌19930719 202321 2 048")</f>
        <v>‌19930719 202321 2 048</v>
      </c>
      <c r="G341" s="3">
        <f ca="1">IFERROR(__xludf.DUMMYFUNCTION("""COMPUTED_VALUE"""),2019079301)</f>
        <v>2019079301</v>
      </c>
      <c r="H341" s="6" t="str">
        <f ca="1">IFERROR(__xludf.DUMMYFUNCTION("""COMPUTED_VALUE"""),"4051771672230303")</f>
        <v>4051771672230303</v>
      </c>
      <c r="I341" s="3" t="str">
        <f ca="1">IFERROR(__xludf.DUMMYFUNCTION("""COMPUTED_VALUE"""),"PPPK")</f>
        <v>PPPK</v>
      </c>
      <c r="J341" s="3" t="str">
        <f ca="1">IFERROR(__xludf.DUMMYFUNCTION("""COMPUTED_VALUE"""),"Dosen PPPK")</f>
        <v>Dosen PPPK</v>
      </c>
      <c r="K341" s="5" t="str">
        <f ca="1">IFERROR(__xludf.DUMMYFUNCTION("""COMPUTED_VALUE"""),"P")</f>
        <v>P</v>
      </c>
      <c r="L341" s="3" t="str">
        <f ca="1">IFERROR(__xludf.DUMMYFUNCTION("""COMPUTED_VALUE"""),"Cilacap")</f>
        <v>Cilacap</v>
      </c>
      <c r="M341" s="3" t="str">
        <f ca="1">IFERROR(__xludf.DUMMYFUNCTION("""COMPUTED_VALUE"""),"19-07-1993")</f>
        <v>19-07-1993</v>
      </c>
      <c r="N341" s="4"/>
      <c r="O341" s="3" t="str">
        <f ca="1">IFERROR(__xludf.DUMMYFUNCTION("""COMPUTED_VALUE"""),"X")</f>
        <v>X</v>
      </c>
      <c r="P341" s="7">
        <f ca="1">IFERROR(__xludf.DUMMYFUNCTION("""COMPUTED_VALUE"""),45261)</f>
        <v>45261</v>
      </c>
      <c r="Q341" s="3" t="str">
        <f ca="1">IFERROR(__xludf.DUMMYFUNCTION("""COMPUTED_VALUE"""),"1735/Un.19/K.AUPK/KP.00.2/11/2023")</f>
        <v>1735/Un.19/K.AUPK/KP.00.2/11/2023</v>
      </c>
      <c r="R341" s="3" t="str">
        <f ca="1">IFERROR(__xludf.DUMMYFUNCTION("""COMPUTED_VALUE"""),"Asisten Ahli")</f>
        <v>Asisten Ahli</v>
      </c>
      <c r="S341" s="3" t="str">
        <f ca="1">IFERROR(__xludf.DUMMYFUNCTION("""COMPUTED_VALUE"""),"Asisten Ahli")</f>
        <v>Asisten Ahli</v>
      </c>
      <c r="T341" s="7">
        <f ca="1">IFERROR(__xludf.DUMMYFUNCTION("""COMPUTED_VALUE"""),45261)</f>
        <v>45261</v>
      </c>
      <c r="U341" s="3"/>
      <c r="V341" s="7">
        <f ca="1">IFERROR(__xludf.DUMMYFUNCTION("""COMPUTED_VALUE"""),45260)</f>
        <v>45260</v>
      </c>
      <c r="W341" s="3">
        <f ca="1">IFERROR(__xludf.DUMMYFUNCTION("""COMPUTED_VALUE"""),9)</f>
        <v>9</v>
      </c>
      <c r="X341" s="3"/>
      <c r="Y341" s="3" t="str">
        <f ca="1">IFERROR(__xludf.DUMMYFUNCTION("""COMPUTED_VALUE"""),"S-2")</f>
        <v>S-2</v>
      </c>
      <c r="Z341" s="3" t="str">
        <f ca="1">IFERROR(__xludf.DUMMYFUNCTION("""COMPUTED_VALUE"""),"2 Tahun 0 Bulan 27 Hari")</f>
        <v>2 Tahun 0 Bulan 27 Hari</v>
      </c>
      <c r="AA341" s="8">
        <f ca="1">IFERROR(__xludf.DUMMYFUNCTION("""COMPUTED_VALUE"""),57923)</f>
        <v>57923</v>
      </c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4"/>
      <c r="AR341" s="3"/>
      <c r="AS341" s="4"/>
      <c r="AT341" s="3"/>
      <c r="AU341" s="3"/>
    </row>
    <row r="342" spans="1:47" x14ac:dyDescent="0.2">
      <c r="A342" s="12">
        <v>341</v>
      </c>
      <c r="B342" s="3" t="str">
        <f ca="1">IFERROR(__xludf.DUMMYFUNCTION("""COMPUTED_VALUE"""),"Muh. Hikamudin Suyuti")</f>
        <v>Muh. Hikamudin Suyuti</v>
      </c>
      <c r="C342" s="3" t="str">
        <f ca="1">IFERROR(__xludf.DUMMYFUNCTION("""COMPUTED_VALUE"""),"Muh. Hikamudin Suyuti, S.S., M.S.I.")</f>
        <v>Muh. Hikamudin Suyuti, S.S., M.S.I.</v>
      </c>
      <c r="D342" s="3" t="str">
        <f ca="1">IFERROR(__xludf.DUMMYFUNCTION("""COMPUTED_VALUE"""),"Muh. Hikamudin Suyuti, S.S., M.S.I.")</f>
        <v>Muh. Hikamudin Suyuti, S.S., M.S.I.</v>
      </c>
      <c r="E342" s="3" t="str">
        <f ca="1">IFERROR(__xludf.DUMMYFUNCTION("""COMPUTED_VALUE"""),"198301212023211010")</f>
        <v>198301212023211010</v>
      </c>
      <c r="F342" s="3" t="str">
        <f ca="1">IFERROR(__xludf.DUMMYFUNCTION("""COMPUTED_VALUE"""),"‌19830121 202321 1 010")</f>
        <v>‌19830121 202321 1 010</v>
      </c>
      <c r="G342" s="3">
        <f ca="1">IFERROR(__xludf.DUMMYFUNCTION("""COMPUTED_VALUE"""),2021018302)</f>
        <v>2021018302</v>
      </c>
      <c r="H342" s="6" t="str">
        <f ca="1">IFERROR(__xludf.DUMMYFUNCTION("""COMPUTED_VALUE"""),"7453761662130212")</f>
        <v>7453761662130212</v>
      </c>
      <c r="I342" s="3" t="str">
        <f ca="1">IFERROR(__xludf.DUMMYFUNCTION("""COMPUTED_VALUE"""),"PPPK")</f>
        <v>PPPK</v>
      </c>
      <c r="J342" s="3" t="str">
        <f ca="1">IFERROR(__xludf.DUMMYFUNCTION("""COMPUTED_VALUE"""),"Dosen PPPK")</f>
        <v>Dosen PPPK</v>
      </c>
      <c r="K342" s="5" t="str">
        <f ca="1">IFERROR(__xludf.DUMMYFUNCTION("""COMPUTED_VALUE"""),"L")</f>
        <v>L</v>
      </c>
      <c r="L342" s="3" t="str">
        <f ca="1">IFERROR(__xludf.DUMMYFUNCTION("""COMPUTED_VALUE"""),"Banyumas")</f>
        <v>Banyumas</v>
      </c>
      <c r="M342" s="3" t="str">
        <f ca="1">IFERROR(__xludf.DUMMYFUNCTION("""COMPUTED_VALUE"""),"21-01-1983")</f>
        <v>21-01-1983</v>
      </c>
      <c r="N342" s="4"/>
      <c r="O342" s="3" t="str">
        <f ca="1">IFERROR(__xludf.DUMMYFUNCTION("""COMPUTED_VALUE"""),"X")</f>
        <v>X</v>
      </c>
      <c r="P342" s="7">
        <f ca="1">IFERROR(__xludf.DUMMYFUNCTION("""COMPUTED_VALUE"""),45261)</f>
        <v>45261</v>
      </c>
      <c r="Q342" s="3" t="str">
        <f ca="1">IFERROR(__xludf.DUMMYFUNCTION("""COMPUTED_VALUE"""),"1747/Un.19/K.AUPK/KP.00.2/11/2023")</f>
        <v>1747/Un.19/K.AUPK/KP.00.2/11/2023</v>
      </c>
      <c r="R342" s="3" t="str">
        <f ca="1">IFERROR(__xludf.DUMMYFUNCTION("""COMPUTED_VALUE"""),"Asisten Ahli")</f>
        <v>Asisten Ahli</v>
      </c>
      <c r="S342" s="3" t="str">
        <f ca="1">IFERROR(__xludf.DUMMYFUNCTION("""COMPUTED_VALUE"""),"Asisten Ahli")</f>
        <v>Asisten Ahli</v>
      </c>
      <c r="T342" s="7">
        <f ca="1">IFERROR(__xludf.DUMMYFUNCTION("""COMPUTED_VALUE"""),45261)</f>
        <v>45261</v>
      </c>
      <c r="U342" s="3"/>
      <c r="V342" s="7">
        <f ca="1">IFERROR(__xludf.DUMMYFUNCTION("""COMPUTED_VALUE"""),45260)</f>
        <v>45260</v>
      </c>
      <c r="W342" s="3">
        <f ca="1">IFERROR(__xludf.DUMMYFUNCTION("""COMPUTED_VALUE"""),9)</f>
        <v>9</v>
      </c>
      <c r="X342" s="3"/>
      <c r="Y342" s="3" t="str">
        <f ca="1">IFERROR(__xludf.DUMMYFUNCTION("""COMPUTED_VALUE"""),"S-2")</f>
        <v>S-2</v>
      </c>
      <c r="Z342" s="3" t="str">
        <f ca="1">IFERROR(__xludf.DUMMYFUNCTION("""COMPUTED_VALUE"""),"2 Tahun 0 Bulan 27 Hari")</f>
        <v>2 Tahun 0 Bulan 27 Hari</v>
      </c>
      <c r="AA342" s="8">
        <f ca="1">IFERROR(__xludf.DUMMYFUNCTION("""COMPUTED_VALUE"""),54089)</f>
        <v>54089</v>
      </c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4"/>
      <c r="AR342" s="3"/>
      <c r="AS342" s="4"/>
      <c r="AT342" s="3"/>
      <c r="AU342" s="3"/>
    </row>
    <row r="343" spans="1:47" x14ac:dyDescent="0.2">
      <c r="A343" s="12">
        <v>342</v>
      </c>
      <c r="B343" s="3" t="str">
        <f ca="1">IFERROR(__xludf.DUMMYFUNCTION("""COMPUTED_VALUE"""),"Muhammad 'Azmi Nuha")</f>
        <v>Muhammad 'Azmi Nuha</v>
      </c>
      <c r="C343" s="3" t="str">
        <f ca="1">IFERROR(__xludf.DUMMYFUNCTION("""COMPUTED_VALUE"""),"Muhammad 'Azmi Nuha, M.Pd.")</f>
        <v>Muhammad 'Azmi Nuha, M.Pd.</v>
      </c>
      <c r="D343" s="3" t="str">
        <f ca="1">IFERROR(__xludf.DUMMYFUNCTION("""COMPUTED_VALUE"""),"Muhammad 'Azmi Nuha, M.Pd.")</f>
        <v>Muhammad 'Azmi Nuha, M.Pd.</v>
      </c>
      <c r="E343" s="3" t="str">
        <f ca="1">IFERROR(__xludf.DUMMYFUNCTION("""COMPUTED_VALUE"""),"199309152023211020")</f>
        <v>199309152023211020</v>
      </c>
      <c r="F343" s="3" t="str">
        <f ca="1">IFERROR(__xludf.DUMMYFUNCTION("""COMPUTED_VALUE"""),"‌19930915 202321 1 020")</f>
        <v>‌19930915 202321 1 020</v>
      </c>
      <c r="G343" s="3">
        <f ca="1">IFERROR(__xludf.DUMMYFUNCTION("""COMPUTED_VALUE"""),2005099301)</f>
        <v>2005099301</v>
      </c>
      <c r="H343" s="6" t="str">
        <f ca="1">IFERROR(__xludf.DUMMYFUNCTION("""COMPUTED_VALUE"""),"6247771672130293")</f>
        <v>6247771672130293</v>
      </c>
      <c r="I343" s="3" t="str">
        <f ca="1">IFERROR(__xludf.DUMMYFUNCTION("""COMPUTED_VALUE"""),"PPPK")</f>
        <v>PPPK</v>
      </c>
      <c r="J343" s="3" t="str">
        <f ca="1">IFERROR(__xludf.DUMMYFUNCTION("""COMPUTED_VALUE"""),"Dosen PPPK")</f>
        <v>Dosen PPPK</v>
      </c>
      <c r="K343" s="5" t="str">
        <f ca="1">IFERROR(__xludf.DUMMYFUNCTION("""COMPUTED_VALUE"""),"L")</f>
        <v>L</v>
      </c>
      <c r="L343" s="3" t="str">
        <f ca="1">IFERROR(__xludf.DUMMYFUNCTION("""COMPUTED_VALUE"""),"Banyumas")</f>
        <v>Banyumas</v>
      </c>
      <c r="M343" s="3" t="str">
        <f ca="1">IFERROR(__xludf.DUMMYFUNCTION("""COMPUTED_VALUE"""),"15-09-1993")</f>
        <v>15-09-1993</v>
      </c>
      <c r="N343" s="4"/>
      <c r="O343" s="3" t="str">
        <f ca="1">IFERROR(__xludf.DUMMYFUNCTION("""COMPUTED_VALUE"""),"X")</f>
        <v>X</v>
      </c>
      <c r="P343" s="7">
        <f ca="1">IFERROR(__xludf.DUMMYFUNCTION("""COMPUTED_VALUE"""),45261)</f>
        <v>45261</v>
      </c>
      <c r="Q343" s="3" t="str">
        <f ca="1">IFERROR(__xludf.DUMMYFUNCTION("""COMPUTED_VALUE"""),"1738/Un.19/K.AUPK/KP.00.2/11/2023")</f>
        <v>1738/Un.19/K.AUPK/KP.00.2/11/2023</v>
      </c>
      <c r="R343" s="3" t="str">
        <f ca="1">IFERROR(__xludf.DUMMYFUNCTION("""COMPUTED_VALUE"""),"Asisten Ahli")</f>
        <v>Asisten Ahli</v>
      </c>
      <c r="S343" s="3" t="str">
        <f ca="1">IFERROR(__xludf.DUMMYFUNCTION("""COMPUTED_VALUE"""),"Asisten Ahli")</f>
        <v>Asisten Ahli</v>
      </c>
      <c r="T343" s="7">
        <f ca="1">IFERROR(__xludf.DUMMYFUNCTION("""COMPUTED_VALUE"""),45261)</f>
        <v>45261</v>
      </c>
      <c r="U343" s="3"/>
      <c r="V343" s="7">
        <f ca="1">IFERROR(__xludf.DUMMYFUNCTION("""COMPUTED_VALUE"""),45260)</f>
        <v>45260</v>
      </c>
      <c r="W343" s="3">
        <f ca="1">IFERROR(__xludf.DUMMYFUNCTION("""COMPUTED_VALUE"""),9)</f>
        <v>9</v>
      </c>
      <c r="X343" s="3"/>
      <c r="Y343" s="3" t="str">
        <f ca="1">IFERROR(__xludf.DUMMYFUNCTION("""COMPUTED_VALUE"""),"S-2")</f>
        <v>S-2</v>
      </c>
      <c r="Z343" s="3" t="str">
        <f ca="1">IFERROR(__xludf.DUMMYFUNCTION("""COMPUTED_VALUE"""),"2 Tahun 0 Bulan 27 Hari")</f>
        <v>2 Tahun 0 Bulan 27 Hari</v>
      </c>
      <c r="AA343" s="8">
        <f ca="1">IFERROR(__xludf.DUMMYFUNCTION("""COMPUTED_VALUE"""),57984)</f>
        <v>57984</v>
      </c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4"/>
      <c r="AR343" s="3"/>
      <c r="AS343" s="4"/>
      <c r="AT343" s="3"/>
      <c r="AU343" s="3"/>
    </row>
    <row r="344" spans="1:47" x14ac:dyDescent="0.2">
      <c r="A344" s="12">
        <v>343</v>
      </c>
      <c r="B344" s="3" t="str">
        <f ca="1">IFERROR(__xludf.DUMMYFUNCTION("""COMPUTED_VALUE"""),"Muhammad Fuad Zain")</f>
        <v>Muhammad Fuad Zain</v>
      </c>
      <c r="C344" s="3" t="str">
        <f ca="1">IFERROR(__xludf.DUMMYFUNCTION("""COMPUTED_VALUE"""),"Muhammad Fuad Zain, M.Sy.")</f>
        <v>Muhammad Fuad Zain, M.Sy.</v>
      </c>
      <c r="D344" s="3" t="str">
        <f ca="1">IFERROR(__xludf.DUMMYFUNCTION("""COMPUTED_VALUE"""),"Muhammad Fuad Zain, M.Sy.")</f>
        <v>Muhammad Fuad Zain, M.Sy.</v>
      </c>
      <c r="E344" s="3" t="str">
        <f ca="1">IFERROR(__xludf.DUMMYFUNCTION("""COMPUTED_VALUE"""),"198108162023211011")</f>
        <v>198108162023211011</v>
      </c>
      <c r="F344" s="3" t="str">
        <f ca="1">IFERROR(__xludf.DUMMYFUNCTION("""COMPUTED_VALUE"""),"19810816 202321 1 011")</f>
        <v>19810816 202321 1 011</v>
      </c>
      <c r="G344" s="3">
        <f ca="1">IFERROR(__xludf.DUMMYFUNCTION("""COMPUTED_VALUE"""),2016088104)</f>
        <v>2016088104</v>
      </c>
      <c r="H344" s="6" t="str">
        <f ca="1">IFERROR(__xludf.DUMMYFUNCTION("""COMPUTED_VALUE"""),"4148759660137123")</f>
        <v>4148759660137123</v>
      </c>
      <c r="I344" s="3" t="str">
        <f ca="1">IFERROR(__xludf.DUMMYFUNCTION("""COMPUTED_VALUE"""),"PPPK")</f>
        <v>PPPK</v>
      </c>
      <c r="J344" s="3" t="str">
        <f ca="1">IFERROR(__xludf.DUMMYFUNCTION("""COMPUTED_VALUE"""),"Dosen PPPK")</f>
        <v>Dosen PPPK</v>
      </c>
      <c r="K344" s="5" t="str">
        <f ca="1">IFERROR(__xludf.DUMMYFUNCTION("""COMPUTED_VALUE"""),"L")</f>
        <v>L</v>
      </c>
      <c r="L344" s="3" t="str">
        <f ca="1">IFERROR(__xludf.DUMMYFUNCTION("""COMPUTED_VALUE"""),"Semarang")</f>
        <v>Semarang</v>
      </c>
      <c r="M344" s="3" t="str">
        <f ca="1">IFERROR(__xludf.DUMMYFUNCTION("""COMPUTED_VALUE"""),"16-08-1981")</f>
        <v>16-08-1981</v>
      </c>
      <c r="N344" s="4"/>
      <c r="O344" s="3" t="str">
        <f ca="1">IFERROR(__xludf.DUMMYFUNCTION("""COMPUTED_VALUE"""),"X")</f>
        <v>X</v>
      </c>
      <c r="P344" s="7">
        <f ca="1">IFERROR(__xludf.DUMMYFUNCTION("""COMPUTED_VALUE"""),45139)</f>
        <v>45139</v>
      </c>
      <c r="Q344" s="3" t="str">
        <f ca="1">IFERROR(__xludf.DUMMYFUNCTION("""COMPUTED_VALUE"""),"977/Un.19/K.AUPK/KP.00.3/07/2023")</f>
        <v>977/Un.19/K.AUPK/KP.00.3/07/2023</v>
      </c>
      <c r="R344" s="3" t="str">
        <f ca="1">IFERROR(__xludf.DUMMYFUNCTION("""COMPUTED_VALUE"""),"Asisten Ahli")</f>
        <v>Asisten Ahli</v>
      </c>
      <c r="S344" s="3" t="str">
        <f ca="1">IFERROR(__xludf.DUMMYFUNCTION("""COMPUTED_VALUE"""),"Asisten Ahli")</f>
        <v>Asisten Ahli</v>
      </c>
      <c r="T344" s="7">
        <f ca="1">IFERROR(__xludf.DUMMYFUNCTION("""COMPUTED_VALUE"""),45139)</f>
        <v>45139</v>
      </c>
      <c r="U344" s="3"/>
      <c r="V344" s="7">
        <f ca="1">IFERROR(__xludf.DUMMYFUNCTION("""COMPUTED_VALUE"""),45138)</f>
        <v>45138</v>
      </c>
      <c r="W344" s="3">
        <f ca="1">IFERROR(__xludf.DUMMYFUNCTION("""COMPUTED_VALUE"""),9)</f>
        <v>9</v>
      </c>
      <c r="X344" s="7" t="str">
        <f ca="1">IFERROR(__xludf.DUMMYFUNCTION("""COMPUTED_VALUE"""),"Sekretaris Jurusan Ilmu-Ilmu Syariah Pada Fakultas Syariah")</f>
        <v>Sekretaris Jurusan Ilmu-Ilmu Syariah Pada Fakultas Syariah</v>
      </c>
      <c r="Y344" s="3" t="str">
        <f ca="1">IFERROR(__xludf.DUMMYFUNCTION("""COMPUTED_VALUE"""),"S-2")</f>
        <v>S-2</v>
      </c>
      <c r="Z344" s="3" t="str">
        <f ca="1">IFERROR(__xludf.DUMMYFUNCTION("""COMPUTED_VALUE"""),"2 Tahun 4 Bulan 27 Hari")</f>
        <v>2 Tahun 4 Bulan 27 Hari</v>
      </c>
      <c r="AA344" s="8">
        <f ca="1">IFERROR(__xludf.DUMMYFUNCTION("""COMPUTED_VALUE"""),53571)</f>
        <v>53571</v>
      </c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4"/>
      <c r="AR344" s="3"/>
      <c r="AS344" s="4"/>
      <c r="AT344" s="3"/>
      <c r="AU344" s="3"/>
    </row>
    <row r="345" spans="1:47" x14ac:dyDescent="0.2">
      <c r="A345" s="12">
        <v>344</v>
      </c>
      <c r="B345" s="3" t="str">
        <f ca="1">IFERROR(__xludf.DUMMYFUNCTION("""COMPUTED_VALUE"""),"Muhammad Labib Syauqi")</f>
        <v>Muhammad Labib Syauqi</v>
      </c>
      <c r="C345" s="3" t="str">
        <f ca="1">IFERROR(__xludf.DUMMYFUNCTION("""COMPUTED_VALUE"""),"‌Muhammad Labib Syauqi, ‌S.Th.I., M.A.")</f>
        <v>‌Muhammad Labib Syauqi, ‌S.Th.I., M.A.</v>
      </c>
      <c r="D345" s="3" t="str">
        <f ca="1">IFERROR(__xludf.DUMMYFUNCTION("""COMPUTED_VALUE"""),"D‌r. Muhammad Labib Syauqi, ‌S.Th.I., M.A.")</f>
        <v>D‌r. Muhammad Labib Syauqi, ‌S.Th.I., M.A.</v>
      </c>
      <c r="E345" s="3" t="str">
        <f ca="1">IFERROR(__xludf.DUMMYFUNCTION("""COMPUTED_VALUE"""),"198204302025211010")</f>
        <v>198204302025211010</v>
      </c>
      <c r="F345" s="3" t="str">
        <f ca="1">IFERROR(__xludf.DUMMYFUNCTION("""COMPUTED_VALUE"""),"19820430 202521 1 010")</f>
        <v>19820430 202521 1 010</v>
      </c>
      <c r="G345" s="3">
        <f ca="1">IFERROR(__xludf.DUMMYFUNCTION("""COMPUTED_VALUE"""),2030048202)</f>
        <v>2030048202</v>
      </c>
      <c r="H345" s="6" t="str">
        <f ca="1">IFERROR(__xludf.DUMMYFUNCTION("""COMPUTED_VALUE"""),"0762760661130212")</f>
        <v>0762760661130212</v>
      </c>
      <c r="I345" s="3" t="str">
        <f ca="1">IFERROR(__xludf.DUMMYFUNCTION("""COMPUTED_VALUE"""),"PPPK")</f>
        <v>PPPK</v>
      </c>
      <c r="J345" s="3" t="str">
        <f ca="1">IFERROR(__xludf.DUMMYFUNCTION("""COMPUTED_VALUE"""),"Dosen PPPK")</f>
        <v>Dosen PPPK</v>
      </c>
      <c r="K345" s="5" t="str">
        <f ca="1">IFERROR(__xludf.DUMMYFUNCTION("""COMPUTED_VALUE"""),"L")</f>
        <v>L</v>
      </c>
      <c r="L345" s="3" t="str">
        <f ca="1">IFERROR(__xludf.DUMMYFUNCTION("""COMPUTED_VALUE"""),"Jepara")</f>
        <v>Jepara</v>
      </c>
      <c r="M345" s="3" t="str">
        <f ca="1">IFERROR(__xludf.DUMMYFUNCTION("""COMPUTED_VALUE"""),"30-04-1982")</f>
        <v>30-04-1982</v>
      </c>
      <c r="N345" s="4"/>
      <c r="O345" s="3" t="str">
        <f ca="1">IFERROR(__xludf.DUMMYFUNCTION("""COMPUTED_VALUE"""),"X")</f>
        <v>X</v>
      </c>
      <c r="P345" s="7">
        <f ca="1">IFERROR(__xludf.DUMMYFUNCTION("""COMPUTED_VALUE"""),45717)</f>
        <v>45717</v>
      </c>
      <c r="Q345" s="3" t="str">
        <f ca="1">IFERROR(__xludf.DUMMYFUNCTION("""COMPUTED_VALUE"""),"287.40/Un.19/K.AUPK/KP.01.3/02/2025")</f>
        <v>287.40/Un.19/K.AUPK/KP.01.3/02/2025</v>
      </c>
      <c r="R345" s="3" t="str">
        <f ca="1">IFERROR(__xludf.DUMMYFUNCTION("""COMPUTED_VALUE"""),"Asisten Ahli")</f>
        <v>Asisten Ahli</v>
      </c>
      <c r="S345" s="3" t="str">
        <f ca="1">IFERROR(__xludf.DUMMYFUNCTION("""COMPUTED_VALUE"""),"Asisten Ahli")</f>
        <v>Asisten Ahli</v>
      </c>
      <c r="T345" s="7">
        <f ca="1">IFERROR(__xludf.DUMMYFUNCTION("""COMPUTED_VALUE"""),45717)</f>
        <v>45717</v>
      </c>
      <c r="U345" s="3"/>
      <c r="V345" s="7">
        <f ca="1">IFERROR(__xludf.DUMMYFUNCTION("""COMPUTED_VALUE"""),45716)</f>
        <v>45716</v>
      </c>
      <c r="W345" s="3">
        <f ca="1">IFERROR(__xludf.DUMMYFUNCTION("""COMPUTED_VALUE"""),9)</f>
        <v>9</v>
      </c>
      <c r="X345" s="3"/>
      <c r="Y345" s="3" t="str">
        <f ca="1">IFERROR(__xludf.DUMMYFUNCTION("""COMPUTED_VALUE"""),"S-3")</f>
        <v>S-3</v>
      </c>
      <c r="Z345" s="3" t="str">
        <f ca="1">IFERROR(__xludf.DUMMYFUNCTION("""COMPUTED_VALUE"""),"0 Tahun 8 Bulan 1 Hari")</f>
        <v>0 Tahun 8 Bulan 1 Hari</v>
      </c>
      <c r="AA345" s="8">
        <f ca="1">IFERROR(__xludf.DUMMYFUNCTION("""COMPUTED_VALUE"""),53813)</f>
        <v>53813</v>
      </c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4"/>
      <c r="AR345" s="3"/>
      <c r="AS345" s="4"/>
      <c r="AT345" s="3"/>
      <c r="AU345" s="3"/>
    </row>
    <row r="346" spans="1:47" x14ac:dyDescent="0.2">
      <c r="A346" s="12">
        <v>345</v>
      </c>
      <c r="B346" s="3" t="str">
        <f ca="1">IFERROR(__xludf.DUMMYFUNCTION("""COMPUTED_VALUE"""),"Muhammad Wildan")</f>
        <v>Muhammad Wildan</v>
      </c>
      <c r="C346" s="3" t="str">
        <f ca="1">IFERROR(__xludf.DUMMYFUNCTION("""COMPUTED_VALUE"""),"Muhammad Wildan, S.E.Sy., M.Sy.")</f>
        <v>Muhammad Wildan, S.E.Sy., M.Sy.</v>
      </c>
      <c r="D346" s="3" t="str">
        <f ca="1">IFERROR(__xludf.DUMMYFUNCTION("""COMPUTED_VALUE"""),"Muhammad Wildan, S.E.Sy., M.Sy.")</f>
        <v>Muhammad Wildan, S.E.Sy., M.Sy.</v>
      </c>
      <c r="E346" s="3" t="str">
        <f ca="1">IFERROR(__xludf.DUMMYFUNCTION("""COMPUTED_VALUE"""),"198908212025211007")</f>
        <v>198908212025211007</v>
      </c>
      <c r="F346" s="3" t="str">
        <f ca="1">IFERROR(__xludf.DUMMYFUNCTION("""COMPUTED_VALUE"""),"19890821 202521 1 007")</f>
        <v>19890821 202521 1 007</v>
      </c>
      <c r="G346" s="3">
        <f ca="1">IFERROR(__xludf.DUMMYFUNCTION("""COMPUTED_VALUE"""),2021088901)</f>
        <v>2021088901</v>
      </c>
      <c r="H346" s="6" t="str">
        <f ca="1">IFERROR(__xludf.DUMMYFUNCTION("""COMPUTED_VALUE"""),"2153767668130283")</f>
        <v>2153767668130283</v>
      </c>
      <c r="I346" s="3" t="str">
        <f ca="1">IFERROR(__xludf.DUMMYFUNCTION("""COMPUTED_VALUE"""),"PPPK")</f>
        <v>PPPK</v>
      </c>
      <c r="J346" s="3" t="str">
        <f ca="1">IFERROR(__xludf.DUMMYFUNCTION("""COMPUTED_VALUE"""),"Dosen PPPK")</f>
        <v>Dosen PPPK</v>
      </c>
      <c r="K346" s="5" t="str">
        <f ca="1">IFERROR(__xludf.DUMMYFUNCTION("""COMPUTED_VALUE"""),"L")</f>
        <v>L</v>
      </c>
      <c r="L346" s="3" t="str">
        <f ca="1">IFERROR(__xludf.DUMMYFUNCTION("""COMPUTED_VALUE"""),"Brebes")</f>
        <v>Brebes</v>
      </c>
      <c r="M346" s="3" t="str">
        <f ca="1">IFERROR(__xludf.DUMMYFUNCTION("""COMPUTED_VALUE"""),"21-08-1989")</f>
        <v>21-08-1989</v>
      </c>
      <c r="N346" s="4"/>
      <c r="O346" s="3" t="str">
        <f ca="1">IFERROR(__xludf.DUMMYFUNCTION("""COMPUTED_VALUE"""),"X")</f>
        <v>X</v>
      </c>
      <c r="P346" s="7">
        <f ca="1">IFERROR(__xludf.DUMMYFUNCTION("""COMPUTED_VALUE"""),45717)</f>
        <v>45717</v>
      </c>
      <c r="Q346" s="3" t="str">
        <f ca="1">IFERROR(__xludf.DUMMYFUNCTION("""COMPUTED_VALUE"""),"287.41/Un.19/K.AUPK/KP.01.3/02/2025")</f>
        <v>287.41/Un.19/K.AUPK/KP.01.3/02/2025</v>
      </c>
      <c r="R346" s="3" t="str">
        <f ca="1">IFERROR(__xludf.DUMMYFUNCTION("""COMPUTED_VALUE"""),"Asisten Ahli")</f>
        <v>Asisten Ahli</v>
      </c>
      <c r="S346" s="3" t="str">
        <f ca="1">IFERROR(__xludf.DUMMYFUNCTION("""COMPUTED_VALUE"""),"Asisten Ahli")</f>
        <v>Asisten Ahli</v>
      </c>
      <c r="T346" s="7">
        <f ca="1">IFERROR(__xludf.DUMMYFUNCTION("""COMPUTED_VALUE"""),45717)</f>
        <v>45717</v>
      </c>
      <c r="U346" s="3"/>
      <c r="V346" s="7">
        <f ca="1">IFERROR(__xludf.DUMMYFUNCTION("""COMPUTED_VALUE"""),45716)</f>
        <v>45716</v>
      </c>
      <c r="W346" s="3">
        <f ca="1">IFERROR(__xludf.DUMMYFUNCTION("""COMPUTED_VALUE"""),9)</f>
        <v>9</v>
      </c>
      <c r="X346" s="3"/>
      <c r="Y346" s="3" t="str">
        <f ca="1">IFERROR(__xludf.DUMMYFUNCTION("""COMPUTED_VALUE"""),"S-2")</f>
        <v>S-2</v>
      </c>
      <c r="Z346" s="3" t="str">
        <f ca="1">IFERROR(__xludf.DUMMYFUNCTION("""COMPUTED_VALUE"""),"0 Tahun 8 Bulan 1 Hari")</f>
        <v>0 Tahun 8 Bulan 1 Hari</v>
      </c>
      <c r="AA346" s="8">
        <f ca="1">IFERROR(__xludf.DUMMYFUNCTION("""COMPUTED_VALUE"""),56493)</f>
        <v>56493</v>
      </c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4"/>
      <c r="AR346" s="3"/>
      <c r="AS346" s="4"/>
      <c r="AT346" s="3"/>
      <c r="AU346" s="3"/>
    </row>
    <row r="347" spans="1:47" x14ac:dyDescent="0.2">
      <c r="A347" s="12">
        <v>346</v>
      </c>
      <c r="B347" s="3" t="str">
        <f ca="1">IFERROR(__xludf.DUMMYFUNCTION("""COMPUTED_VALUE"""),"Novi Mayasari")</f>
        <v>Novi Mayasari</v>
      </c>
      <c r="C347" s="3" t="str">
        <f ca="1">IFERROR(__xludf.DUMMYFUNCTION("""COMPUTED_VALUE"""),"Novi Mayasari, M.Pd.")</f>
        <v>Novi Mayasari, M.Pd.</v>
      </c>
      <c r="D347" s="3" t="str">
        <f ca="1">IFERROR(__xludf.DUMMYFUNCTION("""COMPUTED_VALUE"""),"Novi Mayasari, M.Pd.")</f>
        <v>Novi Mayasari, M.Pd.</v>
      </c>
      <c r="E347" s="3" t="str">
        <f ca="1">IFERROR(__xludf.DUMMYFUNCTION("""COMPUTED_VALUE"""),"198911112023212053")</f>
        <v>198911112023212053</v>
      </c>
      <c r="F347" s="3" t="str">
        <f ca="1">IFERROR(__xludf.DUMMYFUNCTION("""COMPUTED_VALUE"""),"19891111 202321 2 053")</f>
        <v>19891111 202321 2 053</v>
      </c>
      <c r="G347" s="3" t="str">
        <f ca="1">IFERROR(__xludf.DUMMYFUNCTION("""COMPUTED_VALUE"""),"0611118901")</f>
        <v>0611118901</v>
      </c>
      <c r="H347" s="6" t="str">
        <f ca="1">IFERROR(__xludf.DUMMYFUNCTION("""COMPUTED_VALUE"""),"4443767668230413")</f>
        <v>4443767668230413</v>
      </c>
      <c r="I347" s="3" t="str">
        <f ca="1">IFERROR(__xludf.DUMMYFUNCTION("""COMPUTED_VALUE"""),"PPPK")</f>
        <v>PPPK</v>
      </c>
      <c r="J347" s="3" t="str">
        <f ca="1">IFERROR(__xludf.DUMMYFUNCTION("""COMPUTED_VALUE"""),"Dosen PPPK")</f>
        <v>Dosen PPPK</v>
      </c>
      <c r="K347" s="5" t="str">
        <f ca="1">IFERROR(__xludf.DUMMYFUNCTION("""COMPUTED_VALUE"""),"P")</f>
        <v>P</v>
      </c>
      <c r="L347" s="3" t="str">
        <f ca="1">IFERROR(__xludf.DUMMYFUNCTION("""COMPUTED_VALUE"""),"Kebumen")</f>
        <v>Kebumen</v>
      </c>
      <c r="M347" s="3" t="str">
        <f ca="1">IFERROR(__xludf.DUMMYFUNCTION("""COMPUTED_VALUE"""),"11-11-1989")</f>
        <v>11-11-1989</v>
      </c>
      <c r="N347" s="4"/>
      <c r="O347" s="3" t="str">
        <f ca="1">IFERROR(__xludf.DUMMYFUNCTION("""COMPUTED_VALUE"""),"X")</f>
        <v>X</v>
      </c>
      <c r="P347" s="7">
        <f ca="1">IFERROR(__xludf.DUMMYFUNCTION("""COMPUTED_VALUE"""),45139)</f>
        <v>45139</v>
      </c>
      <c r="Q347" s="3" t="str">
        <f ca="1">IFERROR(__xludf.DUMMYFUNCTION("""COMPUTED_VALUE"""),"982/Un.19/K.AUPK/KP.00.3/07/2023")</f>
        <v>982/Un.19/K.AUPK/KP.00.3/07/2023</v>
      </c>
      <c r="R347" s="3" t="str">
        <f ca="1">IFERROR(__xludf.DUMMYFUNCTION("""COMPUTED_VALUE"""),"Asisten Ahli")</f>
        <v>Asisten Ahli</v>
      </c>
      <c r="S347" s="3" t="str">
        <f ca="1">IFERROR(__xludf.DUMMYFUNCTION("""COMPUTED_VALUE"""),"Asisten Ahli")</f>
        <v>Asisten Ahli</v>
      </c>
      <c r="T347" s="7">
        <f ca="1">IFERROR(__xludf.DUMMYFUNCTION("""COMPUTED_VALUE"""),45139)</f>
        <v>45139</v>
      </c>
      <c r="U347" s="3"/>
      <c r="V347" s="7">
        <f ca="1">IFERROR(__xludf.DUMMYFUNCTION("""COMPUTED_VALUE"""),45138)</f>
        <v>45138</v>
      </c>
      <c r="W347" s="3">
        <f ca="1">IFERROR(__xludf.DUMMYFUNCTION("""COMPUTED_VALUE"""),9)</f>
        <v>9</v>
      </c>
      <c r="X347" s="3"/>
      <c r="Y347" s="3" t="str">
        <f ca="1">IFERROR(__xludf.DUMMYFUNCTION("""COMPUTED_VALUE"""),"S-2")</f>
        <v>S-2</v>
      </c>
      <c r="Z347" s="3" t="str">
        <f ca="1">IFERROR(__xludf.DUMMYFUNCTION("""COMPUTED_VALUE"""),"2 Tahun 4 Bulan 27 Hari")</f>
        <v>2 Tahun 4 Bulan 27 Hari</v>
      </c>
      <c r="AA347" s="8">
        <f ca="1">IFERROR(__xludf.DUMMYFUNCTION("""COMPUTED_VALUE"""),56584)</f>
        <v>56584</v>
      </c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4"/>
      <c r="AR347" s="3"/>
      <c r="AS347" s="4"/>
      <c r="AT347" s="3"/>
      <c r="AU347" s="3"/>
    </row>
    <row r="348" spans="1:47" x14ac:dyDescent="0.2">
      <c r="A348" s="12">
        <v>347</v>
      </c>
      <c r="B348" s="3" t="str">
        <f ca="1">IFERROR(__xludf.DUMMYFUNCTION("""COMPUTED_VALUE"""),"Nurul Khotimah")</f>
        <v>Nurul Khotimah</v>
      </c>
      <c r="C348" s="3" t="str">
        <f ca="1">IFERROR(__xludf.DUMMYFUNCTION("""COMPUTED_VALUE"""),"Nurul Khotimah, M.Sos.")</f>
        <v>Nurul Khotimah, M.Sos.</v>
      </c>
      <c r="D348" s="3" t="str">
        <f ca="1">IFERROR(__xludf.DUMMYFUNCTION("""COMPUTED_VALUE"""),"Nurul Khotimah, M.Sos.")</f>
        <v>Nurul Khotimah, M.Sos.</v>
      </c>
      <c r="E348" s="3" t="str">
        <f ca="1">IFERROR(__xludf.DUMMYFUNCTION("""COMPUTED_VALUE"""),"199408152023212041")</f>
        <v>199408152023212041</v>
      </c>
      <c r="F348" s="3" t="str">
        <f ca="1">IFERROR(__xludf.DUMMYFUNCTION("""COMPUTED_VALUE"""),"19940815 202321 2 041")</f>
        <v>19940815 202321 2 041</v>
      </c>
      <c r="G348" s="3">
        <f ca="1">IFERROR(__xludf.DUMMYFUNCTION("""COMPUTED_VALUE"""),2015089401)</f>
        <v>2015089401</v>
      </c>
      <c r="H348" s="6" t="str">
        <f ca="1">IFERROR(__xludf.DUMMYFUNCTION("""COMPUTED_VALUE"""),"9147772673230293")</f>
        <v>9147772673230293</v>
      </c>
      <c r="I348" s="3" t="str">
        <f ca="1">IFERROR(__xludf.DUMMYFUNCTION("""COMPUTED_VALUE"""),"PPPK")</f>
        <v>PPPK</v>
      </c>
      <c r="J348" s="3" t="str">
        <f ca="1">IFERROR(__xludf.DUMMYFUNCTION("""COMPUTED_VALUE"""),"Dosen PPPK")</f>
        <v>Dosen PPPK</v>
      </c>
      <c r="K348" s="5" t="str">
        <f ca="1">IFERROR(__xludf.DUMMYFUNCTION("""COMPUTED_VALUE"""),"P")</f>
        <v>P</v>
      </c>
      <c r="L348" s="3" t="str">
        <f ca="1">IFERROR(__xludf.DUMMYFUNCTION("""COMPUTED_VALUE"""),"Grobogan")</f>
        <v>Grobogan</v>
      </c>
      <c r="M348" s="3" t="str">
        <f ca="1">IFERROR(__xludf.DUMMYFUNCTION("""COMPUTED_VALUE"""),"15-08-1994")</f>
        <v>15-08-1994</v>
      </c>
      <c r="N348" s="4"/>
      <c r="O348" s="3" t="str">
        <f ca="1">IFERROR(__xludf.DUMMYFUNCTION("""COMPUTED_VALUE"""),"X")</f>
        <v>X</v>
      </c>
      <c r="P348" s="7">
        <f ca="1">IFERROR(__xludf.DUMMYFUNCTION("""COMPUTED_VALUE"""),45139)</f>
        <v>45139</v>
      </c>
      <c r="Q348" s="3" t="str">
        <f ca="1">IFERROR(__xludf.DUMMYFUNCTION("""COMPUTED_VALUE"""),"990/Un.19/K.AUPK/KP.00.3/07/2023")</f>
        <v>990/Un.19/K.AUPK/KP.00.3/07/2023</v>
      </c>
      <c r="R348" s="3" t="str">
        <f ca="1">IFERROR(__xludf.DUMMYFUNCTION("""COMPUTED_VALUE"""),"Asisten Ahli")</f>
        <v>Asisten Ahli</v>
      </c>
      <c r="S348" s="3" t="str">
        <f ca="1">IFERROR(__xludf.DUMMYFUNCTION("""COMPUTED_VALUE"""),"Asisten Ahli")</f>
        <v>Asisten Ahli</v>
      </c>
      <c r="T348" s="7">
        <f ca="1">IFERROR(__xludf.DUMMYFUNCTION("""COMPUTED_VALUE"""),45139)</f>
        <v>45139</v>
      </c>
      <c r="U348" s="3"/>
      <c r="V348" s="7">
        <f ca="1">IFERROR(__xludf.DUMMYFUNCTION("""COMPUTED_VALUE"""),45138)</f>
        <v>45138</v>
      </c>
      <c r="W348" s="3">
        <f ca="1">IFERROR(__xludf.DUMMYFUNCTION("""COMPUTED_VALUE"""),9)</f>
        <v>9</v>
      </c>
      <c r="X348" s="3"/>
      <c r="Y348" s="3" t="str">
        <f ca="1">IFERROR(__xludf.DUMMYFUNCTION("""COMPUTED_VALUE"""),"S-2")</f>
        <v>S-2</v>
      </c>
      <c r="Z348" s="3" t="str">
        <f ca="1">IFERROR(__xludf.DUMMYFUNCTION("""COMPUTED_VALUE"""),"2 Tahun 4 Bulan 27 Hari")</f>
        <v>2 Tahun 4 Bulan 27 Hari</v>
      </c>
      <c r="AA348" s="8">
        <f ca="1">IFERROR(__xludf.DUMMYFUNCTION("""COMPUTED_VALUE"""),58319)</f>
        <v>58319</v>
      </c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4"/>
      <c r="AR348" s="3"/>
      <c r="AS348" s="4"/>
      <c r="AT348" s="3"/>
      <c r="AU348" s="3"/>
    </row>
    <row r="349" spans="1:47" x14ac:dyDescent="0.2">
      <c r="A349" s="12">
        <v>348</v>
      </c>
      <c r="B349" s="3" t="str">
        <f ca="1">IFERROR(__xludf.DUMMYFUNCTION("""COMPUTED_VALUE"""),"Oki Edi Purwoko")</f>
        <v>Oki Edi Purwoko</v>
      </c>
      <c r="C349" s="3" t="str">
        <f ca="1">IFERROR(__xludf.DUMMYFUNCTION("""COMPUTED_VALUE"""),"Oki Edi Purwoko, S.Farm., M.Si.")</f>
        <v>Oki Edi Purwoko, S.Farm., M.Si.</v>
      </c>
      <c r="D349" s="3" t="str">
        <f ca="1">IFERROR(__xludf.DUMMYFUNCTION("""COMPUTED_VALUE"""),"Oki Edi Purwoko, S.Farm., M.Si.")</f>
        <v>Oki Edi Purwoko, S.Farm., M.Si.</v>
      </c>
      <c r="E349" s="3" t="str">
        <f ca="1">IFERROR(__xludf.DUMMYFUNCTION("""COMPUTED_VALUE"""),"198110132023211006")</f>
        <v>198110132023211006</v>
      </c>
      <c r="F349" s="3" t="str">
        <f ca="1">IFERROR(__xludf.DUMMYFUNCTION("""COMPUTED_VALUE"""),"19811013 202321 1 006")</f>
        <v>19811013 202321 1 006</v>
      </c>
      <c r="G349" s="3">
        <f ca="1">IFERROR(__xludf.DUMMYFUNCTION("""COMPUTED_VALUE"""),2113108101)</f>
        <v>2113108101</v>
      </c>
      <c r="H349" s="6" t="str">
        <f ca="1">IFERROR(__xludf.DUMMYFUNCTION("""COMPUTED_VALUE"""),"5345759660130173")</f>
        <v>5345759660130173</v>
      </c>
      <c r="I349" s="3" t="str">
        <f ca="1">IFERROR(__xludf.DUMMYFUNCTION("""COMPUTED_VALUE"""),"PPPK")</f>
        <v>PPPK</v>
      </c>
      <c r="J349" s="3" t="str">
        <f ca="1">IFERROR(__xludf.DUMMYFUNCTION("""COMPUTED_VALUE"""),"Dosen PPPK")</f>
        <v>Dosen PPPK</v>
      </c>
      <c r="K349" s="5" t="str">
        <f ca="1">IFERROR(__xludf.DUMMYFUNCTION("""COMPUTED_VALUE"""),"L")</f>
        <v>L</v>
      </c>
      <c r="L349" s="3" t="str">
        <f ca="1">IFERROR(__xludf.DUMMYFUNCTION("""COMPUTED_VALUE"""),"Cilacap")</f>
        <v>Cilacap</v>
      </c>
      <c r="M349" s="3" t="str">
        <f ca="1">IFERROR(__xludf.DUMMYFUNCTION("""COMPUTED_VALUE"""),"13-10-1981")</f>
        <v>13-10-1981</v>
      </c>
      <c r="N349" s="4"/>
      <c r="O349" s="3" t="str">
        <f ca="1">IFERROR(__xludf.DUMMYFUNCTION("""COMPUTED_VALUE"""),"X")</f>
        <v>X</v>
      </c>
      <c r="P349" s="7">
        <f ca="1">IFERROR(__xludf.DUMMYFUNCTION("""COMPUTED_VALUE"""),45139)</f>
        <v>45139</v>
      </c>
      <c r="Q349" s="3" t="str">
        <f ca="1">IFERROR(__xludf.DUMMYFUNCTION("""COMPUTED_VALUE"""),"978/Un.19/K.AUPK/KP.00.3/07/2023")</f>
        <v>978/Un.19/K.AUPK/KP.00.3/07/2023</v>
      </c>
      <c r="R349" s="3" t="str">
        <f ca="1">IFERROR(__xludf.DUMMYFUNCTION("""COMPUTED_VALUE"""),"Asisten Ahli")</f>
        <v>Asisten Ahli</v>
      </c>
      <c r="S349" s="3" t="str">
        <f ca="1">IFERROR(__xludf.DUMMYFUNCTION("""COMPUTED_VALUE"""),"Asisten Ahli")</f>
        <v>Asisten Ahli</v>
      </c>
      <c r="T349" s="7">
        <f ca="1">IFERROR(__xludf.DUMMYFUNCTION("""COMPUTED_VALUE"""),45139)</f>
        <v>45139</v>
      </c>
      <c r="U349" s="3"/>
      <c r="V349" s="7">
        <f ca="1">IFERROR(__xludf.DUMMYFUNCTION("""COMPUTED_VALUE"""),45138)</f>
        <v>45138</v>
      </c>
      <c r="W349" s="3">
        <f ca="1">IFERROR(__xludf.DUMMYFUNCTION("""COMPUTED_VALUE"""),9)</f>
        <v>9</v>
      </c>
      <c r="X349" s="3"/>
      <c r="Y349" s="3" t="str">
        <f ca="1">IFERROR(__xludf.DUMMYFUNCTION("""COMPUTED_VALUE"""),"S-2")</f>
        <v>S-2</v>
      </c>
      <c r="Z349" s="3" t="str">
        <f ca="1">IFERROR(__xludf.DUMMYFUNCTION("""COMPUTED_VALUE"""),"2 Tahun 4 Bulan 27 Hari")</f>
        <v>2 Tahun 4 Bulan 27 Hari</v>
      </c>
      <c r="AA349" s="8">
        <f ca="1">IFERROR(__xludf.DUMMYFUNCTION("""COMPUTED_VALUE"""),53632)</f>
        <v>53632</v>
      </c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4"/>
      <c r="AR349" s="3"/>
      <c r="AS349" s="4"/>
      <c r="AT349" s="3"/>
      <c r="AU349" s="3"/>
    </row>
    <row r="350" spans="1:47" x14ac:dyDescent="0.2">
      <c r="A350" s="12">
        <v>349</v>
      </c>
      <c r="B350" s="3" t="str">
        <f ca="1">IFERROR(__xludf.DUMMYFUNCTION("""COMPUTED_VALUE"""),"Sarmo")</f>
        <v>Sarmo</v>
      </c>
      <c r="C350" s="3" t="str">
        <f ca="1">IFERROR(__xludf.DUMMYFUNCTION("""COMPUTED_VALUE"""),"Sarmo, M.H.I.")</f>
        <v>Sarmo, M.H.I.</v>
      </c>
      <c r="D350" s="3" t="str">
        <f ca="1">IFERROR(__xludf.DUMMYFUNCTION("""COMPUTED_VALUE"""),"Sarmo, M.H.I.")</f>
        <v>Sarmo, M.H.I.</v>
      </c>
      <c r="E350" s="3" t="str">
        <f ca="1">IFERROR(__xludf.DUMMYFUNCTION("""COMPUTED_VALUE"""),"198812062023211012")</f>
        <v>198812062023211012</v>
      </c>
      <c r="F350" s="3" t="str">
        <f ca="1">IFERROR(__xludf.DUMMYFUNCTION("""COMPUTED_VALUE"""),"‌19881206 202321 1 012")</f>
        <v>‌19881206 202321 1 012</v>
      </c>
      <c r="G350" s="3">
        <f ca="1">IFERROR(__xludf.DUMMYFUNCTION("""COMPUTED_VALUE"""),2006128802)</f>
        <v>2006128802</v>
      </c>
      <c r="H350" s="6" t="str">
        <f ca="1">IFERROR(__xludf.DUMMYFUNCTION("""COMPUTED_VALUE"""),"7538766667130253")</f>
        <v>7538766667130253</v>
      </c>
      <c r="I350" s="3" t="str">
        <f ca="1">IFERROR(__xludf.DUMMYFUNCTION("""COMPUTED_VALUE"""),"PPPK")</f>
        <v>PPPK</v>
      </c>
      <c r="J350" s="3" t="str">
        <f ca="1">IFERROR(__xludf.DUMMYFUNCTION("""COMPUTED_VALUE"""),"Dosen PPPK")</f>
        <v>Dosen PPPK</v>
      </c>
      <c r="K350" s="5" t="str">
        <f ca="1">IFERROR(__xludf.DUMMYFUNCTION("""COMPUTED_VALUE"""),"L")</f>
        <v>L</v>
      </c>
      <c r="L350" s="3" t="str">
        <f ca="1">IFERROR(__xludf.DUMMYFUNCTION("""COMPUTED_VALUE"""),"Duria Asi")</f>
        <v>Duria Asi</v>
      </c>
      <c r="M350" s="3" t="str">
        <f ca="1">IFERROR(__xludf.DUMMYFUNCTION("""COMPUTED_VALUE"""),"06-12-1988")</f>
        <v>06-12-1988</v>
      </c>
      <c r="N350" s="4"/>
      <c r="O350" s="3" t="str">
        <f ca="1">IFERROR(__xludf.DUMMYFUNCTION("""COMPUTED_VALUE"""),"X")</f>
        <v>X</v>
      </c>
      <c r="P350" s="7">
        <f ca="1">IFERROR(__xludf.DUMMYFUNCTION("""COMPUTED_VALUE"""),45261)</f>
        <v>45261</v>
      </c>
      <c r="Q350" s="3" t="str">
        <f ca="1">IFERROR(__xludf.DUMMYFUNCTION("""COMPUTED_VALUE"""),"1737/Un.19/K.AUPK/KP.00.2/11/2023")</f>
        <v>1737/Un.19/K.AUPK/KP.00.2/11/2023</v>
      </c>
      <c r="R350" s="3" t="str">
        <f ca="1">IFERROR(__xludf.DUMMYFUNCTION("""COMPUTED_VALUE"""),"Asisten Ahli")</f>
        <v>Asisten Ahli</v>
      </c>
      <c r="S350" s="3" t="str">
        <f ca="1">IFERROR(__xludf.DUMMYFUNCTION("""COMPUTED_VALUE"""),"Asisten Ahli")</f>
        <v>Asisten Ahli</v>
      </c>
      <c r="T350" s="7">
        <f ca="1">IFERROR(__xludf.DUMMYFUNCTION("""COMPUTED_VALUE"""),45261)</f>
        <v>45261</v>
      </c>
      <c r="U350" s="3"/>
      <c r="V350" s="7">
        <f ca="1">IFERROR(__xludf.DUMMYFUNCTION("""COMPUTED_VALUE"""),45260)</f>
        <v>45260</v>
      </c>
      <c r="W350" s="3">
        <f ca="1">IFERROR(__xludf.DUMMYFUNCTION("""COMPUTED_VALUE"""),9)</f>
        <v>9</v>
      </c>
      <c r="X350" s="3"/>
      <c r="Y350" s="3" t="str">
        <f ca="1">IFERROR(__xludf.DUMMYFUNCTION("""COMPUTED_VALUE"""),"S-2")</f>
        <v>S-2</v>
      </c>
      <c r="Z350" s="3" t="str">
        <f ca="1">IFERROR(__xludf.DUMMYFUNCTION("""COMPUTED_VALUE"""),"2 Tahun 0 Bulan 27 Hari")</f>
        <v>2 Tahun 0 Bulan 27 Hari</v>
      </c>
      <c r="AA350" s="8">
        <f ca="1">IFERROR(__xludf.DUMMYFUNCTION("""COMPUTED_VALUE"""),56250)</f>
        <v>56250</v>
      </c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4"/>
      <c r="AR350" s="3"/>
      <c r="AS350" s="4"/>
      <c r="AT350" s="3"/>
      <c r="AU350" s="3"/>
    </row>
    <row r="351" spans="1:47" x14ac:dyDescent="0.2">
      <c r="A351" s="12">
        <v>350</v>
      </c>
      <c r="B351" s="3" t="str">
        <f ca="1">IFERROR(__xludf.DUMMYFUNCTION("""COMPUTED_VALUE"""),"Siti Nurmahyati")</f>
        <v>Siti Nurmahyati</v>
      </c>
      <c r="C351" s="3" t="str">
        <f ca="1">IFERROR(__xludf.DUMMYFUNCTION("""COMPUTED_VALUE"""),"Siti Nurmahyati, S.Sos.I., M.S.I.")</f>
        <v>Siti Nurmahyati, S.Sos.I., M.S.I.</v>
      </c>
      <c r="D351" s="3" t="str">
        <f ca="1">IFERROR(__xludf.DUMMYFUNCTION("""COMPUTED_VALUE"""),"Siti Nurmahyati, S.Sos.I., M.S.I.")</f>
        <v>Siti Nurmahyati, S.Sos.I., M.S.I.</v>
      </c>
      <c r="E351" s="3" t="str">
        <f ca="1">IFERROR(__xludf.DUMMYFUNCTION("""COMPUTED_VALUE"""),"198904092025212013")</f>
        <v>198904092025212013</v>
      </c>
      <c r="F351" s="3" t="str">
        <f ca="1">IFERROR(__xludf.DUMMYFUNCTION("""COMPUTED_VALUE"""),"19890409 202521 2 013")</f>
        <v>19890409 202521 2 013</v>
      </c>
      <c r="G351" s="3">
        <f ca="1">IFERROR(__xludf.DUMMYFUNCTION("""COMPUTED_VALUE"""),2116078901)</f>
        <v>2116078901</v>
      </c>
      <c r="H351" s="6" t="str">
        <f ca="1">IFERROR(__xludf.DUMMYFUNCTION("""COMPUTED_VALUE"""),"8741767668230332")</f>
        <v>8741767668230332</v>
      </c>
      <c r="I351" s="3" t="str">
        <f ca="1">IFERROR(__xludf.DUMMYFUNCTION("""COMPUTED_VALUE"""),"PPPK")</f>
        <v>PPPK</v>
      </c>
      <c r="J351" s="3" t="str">
        <f ca="1">IFERROR(__xludf.DUMMYFUNCTION("""COMPUTED_VALUE"""),"Dosen PPPK")</f>
        <v>Dosen PPPK</v>
      </c>
      <c r="K351" s="5" t="str">
        <f ca="1">IFERROR(__xludf.DUMMYFUNCTION("""COMPUTED_VALUE"""),"P")</f>
        <v>P</v>
      </c>
      <c r="L351" s="3" t="str">
        <f ca="1">IFERROR(__xludf.DUMMYFUNCTION("""COMPUTED_VALUE"""),"Banyumas")</f>
        <v>Banyumas</v>
      </c>
      <c r="M351" s="3" t="str">
        <f ca="1">IFERROR(__xludf.DUMMYFUNCTION("""COMPUTED_VALUE"""),"09-04-1989")</f>
        <v>09-04-1989</v>
      </c>
      <c r="N351" s="4"/>
      <c r="O351" s="3" t="str">
        <f ca="1">IFERROR(__xludf.DUMMYFUNCTION("""COMPUTED_VALUE"""),"X")</f>
        <v>X</v>
      </c>
      <c r="P351" s="7">
        <f ca="1">IFERROR(__xludf.DUMMYFUNCTION("""COMPUTED_VALUE"""),45717)</f>
        <v>45717</v>
      </c>
      <c r="Q351" s="3" t="str">
        <f ca="1">IFERROR(__xludf.DUMMYFUNCTION("""COMPUTED_VALUE"""),"287.42/Un.19/K.AUPK/KP.01.3/02/2025")</f>
        <v>287.42/Un.19/K.AUPK/KP.01.3/02/2025</v>
      </c>
      <c r="R351" s="3" t="str">
        <f ca="1">IFERROR(__xludf.DUMMYFUNCTION("""COMPUTED_VALUE"""),"Asisten Ahli")</f>
        <v>Asisten Ahli</v>
      </c>
      <c r="S351" s="3" t="str">
        <f ca="1">IFERROR(__xludf.DUMMYFUNCTION("""COMPUTED_VALUE"""),"Asisten Ahli")</f>
        <v>Asisten Ahli</v>
      </c>
      <c r="T351" s="7">
        <f ca="1">IFERROR(__xludf.DUMMYFUNCTION("""COMPUTED_VALUE"""),45717)</f>
        <v>45717</v>
      </c>
      <c r="U351" s="3"/>
      <c r="V351" s="7">
        <f ca="1">IFERROR(__xludf.DUMMYFUNCTION("""COMPUTED_VALUE"""),45716)</f>
        <v>45716</v>
      </c>
      <c r="W351" s="3">
        <f ca="1">IFERROR(__xludf.DUMMYFUNCTION("""COMPUTED_VALUE"""),9)</f>
        <v>9</v>
      </c>
      <c r="X351" s="3"/>
      <c r="Y351" s="3" t="str">
        <f ca="1">IFERROR(__xludf.DUMMYFUNCTION("""COMPUTED_VALUE"""),"S-2")</f>
        <v>S-2</v>
      </c>
      <c r="Z351" s="3" t="str">
        <f ca="1">IFERROR(__xludf.DUMMYFUNCTION("""COMPUTED_VALUE"""),"0 Tahun 8 Bulan 1 Hari")</f>
        <v>0 Tahun 8 Bulan 1 Hari</v>
      </c>
      <c r="AA351" s="8">
        <f ca="1">IFERROR(__xludf.DUMMYFUNCTION("""COMPUTED_VALUE"""),56370)</f>
        <v>56370</v>
      </c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4"/>
      <c r="AR351" s="3"/>
      <c r="AS351" s="4"/>
      <c r="AT351" s="3"/>
      <c r="AU351" s="3"/>
    </row>
    <row r="352" spans="1:47" x14ac:dyDescent="0.2">
      <c r="A352" s="12">
        <v>351</v>
      </c>
      <c r="B352" s="3" t="str">
        <f ca="1">IFERROR(__xludf.DUMMYFUNCTION("""COMPUTED_VALUE"""),"Siti Ma'sumah")</f>
        <v>Siti Ma'sumah</v>
      </c>
      <c r="C352" s="3" t="str">
        <f ca="1">IFERROR(__xludf.DUMMYFUNCTION("""COMPUTED_VALUE"""),"Siti Ma'sumah, S.E., M.Si.")</f>
        <v>Siti Ma'sumah, S.E., M.Si.</v>
      </c>
      <c r="D352" s="3" t="str">
        <f ca="1">IFERROR(__xludf.DUMMYFUNCTION("""COMPUTED_VALUE"""),"Dr. Siti Ma'sumah, S.E., M.Si.")</f>
        <v>Dr. Siti Ma'sumah, S.E., M.Si.</v>
      </c>
      <c r="E352" s="3" t="str">
        <f ca="1">IFERROR(__xludf.DUMMYFUNCTION("""COMPUTED_VALUE"""),"198305102023212033")</f>
        <v>198305102023212033</v>
      </c>
      <c r="F352" s="3" t="str">
        <f ca="1">IFERROR(__xludf.DUMMYFUNCTION("""COMPUTED_VALUE"""),"19830510 202321 2 033")</f>
        <v>19830510 202321 2 033</v>
      </c>
      <c r="G352" s="3">
        <f ca="1">IFERROR(__xludf.DUMMYFUNCTION("""COMPUTED_VALUE"""),2010038303)</f>
        <v>2010038303</v>
      </c>
      <c r="H352" s="6" t="str">
        <f ca="1">IFERROR(__xludf.DUMMYFUNCTION("""COMPUTED_VALUE"""),"6842761662230302")</f>
        <v>6842761662230302</v>
      </c>
      <c r="I352" s="3" t="str">
        <f ca="1">IFERROR(__xludf.DUMMYFUNCTION("""COMPUTED_VALUE"""),"PPPK")</f>
        <v>PPPK</v>
      </c>
      <c r="J352" s="3" t="str">
        <f ca="1">IFERROR(__xludf.DUMMYFUNCTION("""COMPUTED_VALUE"""),"Dosen PPPK")</f>
        <v>Dosen PPPK</v>
      </c>
      <c r="K352" s="5" t="str">
        <f ca="1">IFERROR(__xludf.DUMMYFUNCTION("""COMPUTED_VALUE"""),"P")</f>
        <v>P</v>
      </c>
      <c r="L352" s="3" t="str">
        <f ca="1">IFERROR(__xludf.DUMMYFUNCTION("""COMPUTED_VALUE"""),"Cilacap")</f>
        <v>Cilacap</v>
      </c>
      <c r="M352" s="3" t="str">
        <f ca="1">IFERROR(__xludf.DUMMYFUNCTION("""COMPUTED_VALUE"""),"10-05-1983")</f>
        <v>10-05-1983</v>
      </c>
      <c r="N352" s="4"/>
      <c r="O352" s="3" t="str">
        <f ca="1">IFERROR(__xludf.DUMMYFUNCTION("""COMPUTED_VALUE"""),"X")</f>
        <v>X</v>
      </c>
      <c r="P352" s="7">
        <f ca="1">IFERROR(__xludf.DUMMYFUNCTION("""COMPUTED_VALUE"""),45139)</f>
        <v>45139</v>
      </c>
      <c r="Q352" s="3" t="str">
        <f ca="1">IFERROR(__xludf.DUMMYFUNCTION("""COMPUTED_VALUE"""),"979/Un.19/K.AUPK/KP.00.3/07/2023")</f>
        <v>979/Un.19/K.AUPK/KP.00.3/07/2023</v>
      </c>
      <c r="R352" s="3" t="str">
        <f ca="1">IFERROR(__xludf.DUMMYFUNCTION("""COMPUTED_VALUE"""),"Asisten Ahli")</f>
        <v>Asisten Ahli</v>
      </c>
      <c r="S352" s="3" t="str">
        <f ca="1">IFERROR(__xludf.DUMMYFUNCTION("""COMPUTED_VALUE"""),"Asisten Ahli")</f>
        <v>Asisten Ahli</v>
      </c>
      <c r="T352" s="7">
        <f ca="1">IFERROR(__xludf.DUMMYFUNCTION("""COMPUTED_VALUE"""),45139)</f>
        <v>45139</v>
      </c>
      <c r="U352" s="3"/>
      <c r="V352" s="7">
        <f ca="1">IFERROR(__xludf.DUMMYFUNCTION("""COMPUTED_VALUE"""),45138)</f>
        <v>45138</v>
      </c>
      <c r="W352" s="3">
        <f ca="1">IFERROR(__xludf.DUMMYFUNCTION("""COMPUTED_VALUE"""),9)</f>
        <v>9</v>
      </c>
      <c r="X352" s="3"/>
      <c r="Y352" s="3" t="str">
        <f ca="1">IFERROR(__xludf.DUMMYFUNCTION("""COMPUTED_VALUE"""),"S-3")</f>
        <v>S-3</v>
      </c>
      <c r="Z352" s="3" t="str">
        <f ca="1">IFERROR(__xludf.DUMMYFUNCTION("""COMPUTED_VALUE"""),"2 Tahun 4 Bulan 27 Hari")</f>
        <v>2 Tahun 4 Bulan 27 Hari</v>
      </c>
      <c r="AA352" s="8">
        <f ca="1">IFERROR(__xludf.DUMMYFUNCTION("""COMPUTED_VALUE"""),54210)</f>
        <v>54210</v>
      </c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4"/>
      <c r="AR352" s="3"/>
      <c r="AS352" s="4"/>
      <c r="AT352" s="3"/>
      <c r="AU352" s="3"/>
    </row>
    <row r="353" spans="1:47" x14ac:dyDescent="0.2">
      <c r="A353" s="12">
        <v>352</v>
      </c>
      <c r="B353" s="3" t="str">
        <f ca="1">IFERROR(__xludf.DUMMYFUNCTION("""COMPUTED_VALUE"""),"Sulasih")</f>
        <v>Sulasih</v>
      </c>
      <c r="C353" s="3" t="str">
        <f ca="1">IFERROR(__xludf.DUMMYFUNCTION("""COMPUTED_VALUE"""),"Sulasih, S.E., M.Si.")</f>
        <v>Sulasih, S.E., M.Si.</v>
      </c>
      <c r="D353" s="3" t="str">
        <f ca="1">IFERROR(__xludf.DUMMYFUNCTION("""COMPUTED_VALUE"""),"Dr.M. Sulasih, S.E., M.Si.")</f>
        <v>Dr.M. Sulasih, S.E., M.Si.</v>
      </c>
      <c r="E353" s="3" t="str">
        <f ca="1">IFERROR(__xludf.DUMMYFUNCTION("""COMPUTED_VALUE"""),"198001192023212017")</f>
        <v>198001192023212017</v>
      </c>
      <c r="F353" s="3" t="str">
        <f ca="1">IFERROR(__xludf.DUMMYFUNCTION("""COMPUTED_VALUE"""),"‌19800119 202321 2 017")</f>
        <v>‌19800119 202321 2 017</v>
      </c>
      <c r="G353" s="3" t="str">
        <f ca="1">IFERROR(__xludf.DUMMYFUNCTION("""COMPUTED_VALUE"""),"0619018002")</f>
        <v>0619018002</v>
      </c>
      <c r="H353" s="6" t="str">
        <f ca="1">IFERROR(__xludf.DUMMYFUNCTION("""COMPUTED_VALUE"""),"8451758659230142")</f>
        <v>8451758659230142</v>
      </c>
      <c r="I353" s="3" t="str">
        <f ca="1">IFERROR(__xludf.DUMMYFUNCTION("""COMPUTED_VALUE"""),"PPPK")</f>
        <v>PPPK</v>
      </c>
      <c r="J353" s="3" t="str">
        <f ca="1">IFERROR(__xludf.DUMMYFUNCTION("""COMPUTED_VALUE"""),"Dosen PPPK")</f>
        <v>Dosen PPPK</v>
      </c>
      <c r="K353" s="5" t="str">
        <f ca="1">IFERROR(__xludf.DUMMYFUNCTION("""COMPUTED_VALUE"""),"P")</f>
        <v>P</v>
      </c>
      <c r="L353" s="3" t="str">
        <f ca="1">IFERROR(__xludf.DUMMYFUNCTION("""COMPUTED_VALUE"""),"Magetan")</f>
        <v>Magetan</v>
      </c>
      <c r="M353" s="3" t="str">
        <f ca="1">IFERROR(__xludf.DUMMYFUNCTION("""COMPUTED_VALUE"""),"19-01-1980")</f>
        <v>19-01-1980</v>
      </c>
      <c r="N353" s="4"/>
      <c r="O353" s="3" t="str">
        <f ca="1">IFERROR(__xludf.DUMMYFUNCTION("""COMPUTED_VALUE"""),"X")</f>
        <v>X</v>
      </c>
      <c r="P353" s="7">
        <f ca="1">IFERROR(__xludf.DUMMYFUNCTION("""COMPUTED_VALUE"""),45261)</f>
        <v>45261</v>
      </c>
      <c r="Q353" s="3" t="str">
        <f ca="1">IFERROR(__xludf.DUMMYFUNCTION("""COMPUTED_VALUE"""),"1745/Un.19/K.AUPK/KP.00.2/11/2023")</f>
        <v>1745/Un.19/K.AUPK/KP.00.2/11/2023</v>
      </c>
      <c r="R353" s="3" t="str">
        <f ca="1">IFERROR(__xludf.DUMMYFUNCTION("""COMPUTED_VALUE"""),"Asisten Ahli")</f>
        <v>Asisten Ahli</v>
      </c>
      <c r="S353" s="3" t="str">
        <f ca="1">IFERROR(__xludf.DUMMYFUNCTION("""COMPUTED_VALUE"""),"Asisten Ahli")</f>
        <v>Asisten Ahli</v>
      </c>
      <c r="T353" s="7">
        <f ca="1">IFERROR(__xludf.DUMMYFUNCTION("""COMPUTED_VALUE"""),45261)</f>
        <v>45261</v>
      </c>
      <c r="U353" s="3"/>
      <c r="V353" s="7">
        <f ca="1">IFERROR(__xludf.DUMMYFUNCTION("""COMPUTED_VALUE"""),45260)</f>
        <v>45260</v>
      </c>
      <c r="W353" s="3">
        <f ca="1">IFERROR(__xludf.DUMMYFUNCTION("""COMPUTED_VALUE"""),9)</f>
        <v>9</v>
      </c>
      <c r="X353" s="3"/>
      <c r="Y353" s="3" t="str">
        <f ca="1">IFERROR(__xludf.DUMMYFUNCTION("""COMPUTED_VALUE"""),"S-3")</f>
        <v>S-3</v>
      </c>
      <c r="Z353" s="3" t="str">
        <f ca="1">IFERROR(__xludf.DUMMYFUNCTION("""COMPUTED_VALUE"""),"2 Tahun 0 Bulan 27 Hari")</f>
        <v>2 Tahun 0 Bulan 27 Hari</v>
      </c>
      <c r="AA353" s="8">
        <f ca="1">IFERROR(__xludf.DUMMYFUNCTION("""COMPUTED_VALUE"""),52994)</f>
        <v>52994</v>
      </c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4"/>
      <c r="AR353" s="3"/>
      <c r="AS353" s="4"/>
      <c r="AT353" s="3"/>
      <c r="AU353" s="3"/>
    </row>
    <row r="354" spans="1:47" x14ac:dyDescent="0.2">
      <c r="A354" s="12">
        <v>353</v>
      </c>
      <c r="B354" s="3" t="str">
        <f ca="1">IFERROR(__xludf.DUMMYFUNCTION("""COMPUTED_VALUE"""),"Syifaun Nada")</f>
        <v>Syifaun Nada</v>
      </c>
      <c r="C354" s="3" t="str">
        <f ca="1">IFERROR(__xludf.DUMMYFUNCTION("""COMPUTED_VALUE"""),"Syifaun Nada, S.Sy., M.H.")</f>
        <v>Syifaun Nada, S.Sy., M.H.</v>
      </c>
      <c r="D354" s="3" t="str">
        <f ca="1">IFERROR(__xludf.DUMMYFUNCTION("""COMPUTED_VALUE"""),"Syifaun Nada, S.Sy., M.H.")</f>
        <v>Syifaun Nada, S.Sy., M.H.</v>
      </c>
      <c r="E354" s="3" t="str">
        <f ca="1">IFERROR(__xludf.DUMMYFUNCTION("""COMPUTED_VALUE"""),"199308232023211021")</f>
        <v>199308232023211021</v>
      </c>
      <c r="F354" s="3" t="str">
        <f ca="1">IFERROR(__xludf.DUMMYFUNCTION("""COMPUTED_VALUE"""),"‌19930823 202321 1 021")</f>
        <v>‌19930823 202321 1 021</v>
      </c>
      <c r="G354" s="3">
        <f ca="1">IFERROR(__xludf.DUMMYFUNCTION("""COMPUTED_VALUE"""),2023089301)</f>
        <v>2023089301</v>
      </c>
      <c r="H354" s="6" t="str">
        <f ca="1">IFERROR(__xludf.DUMMYFUNCTION("""COMPUTED_VALUE"""),"2155771672130313")</f>
        <v>2155771672130313</v>
      </c>
      <c r="I354" s="3" t="str">
        <f ca="1">IFERROR(__xludf.DUMMYFUNCTION("""COMPUTED_VALUE"""),"PPPK")</f>
        <v>PPPK</v>
      </c>
      <c r="J354" s="3" t="str">
        <f ca="1">IFERROR(__xludf.DUMMYFUNCTION("""COMPUTED_VALUE"""),"Dosen PPPK")</f>
        <v>Dosen PPPK</v>
      </c>
      <c r="K354" s="5" t="str">
        <f ca="1">IFERROR(__xludf.DUMMYFUNCTION("""COMPUTED_VALUE"""),"L")</f>
        <v>L</v>
      </c>
      <c r="L354" s="3" t="str">
        <f ca="1">IFERROR(__xludf.DUMMYFUNCTION("""COMPUTED_VALUE"""),"Sleman")</f>
        <v>Sleman</v>
      </c>
      <c r="M354" s="3" t="str">
        <f ca="1">IFERROR(__xludf.DUMMYFUNCTION("""COMPUTED_VALUE"""),"23-08-1993")</f>
        <v>23-08-1993</v>
      </c>
      <c r="N354" s="4"/>
      <c r="O354" s="3" t="str">
        <f ca="1">IFERROR(__xludf.DUMMYFUNCTION("""COMPUTED_VALUE"""),"X")</f>
        <v>X</v>
      </c>
      <c r="P354" s="7">
        <f ca="1">IFERROR(__xludf.DUMMYFUNCTION("""COMPUTED_VALUE"""),45261)</f>
        <v>45261</v>
      </c>
      <c r="Q354" s="3" t="str">
        <f ca="1">IFERROR(__xludf.DUMMYFUNCTION("""COMPUTED_VALUE"""),"1742/Un.19/K.AUPK/KP.00.2/11/2023")</f>
        <v>1742/Un.19/K.AUPK/KP.00.2/11/2023</v>
      </c>
      <c r="R354" s="3" t="str">
        <f ca="1">IFERROR(__xludf.DUMMYFUNCTION("""COMPUTED_VALUE"""),"Asisten Ahli")</f>
        <v>Asisten Ahli</v>
      </c>
      <c r="S354" s="3" t="str">
        <f ca="1">IFERROR(__xludf.DUMMYFUNCTION("""COMPUTED_VALUE"""),"Asisten Ahli")</f>
        <v>Asisten Ahli</v>
      </c>
      <c r="T354" s="7">
        <f ca="1">IFERROR(__xludf.DUMMYFUNCTION("""COMPUTED_VALUE"""),45261)</f>
        <v>45261</v>
      </c>
      <c r="U354" s="3"/>
      <c r="V354" s="7">
        <f ca="1">IFERROR(__xludf.DUMMYFUNCTION("""COMPUTED_VALUE"""),45260)</f>
        <v>45260</v>
      </c>
      <c r="W354" s="3">
        <f ca="1">IFERROR(__xludf.DUMMYFUNCTION("""COMPUTED_VALUE"""),9)</f>
        <v>9</v>
      </c>
      <c r="X354" s="3"/>
      <c r="Y354" s="3" t="str">
        <f ca="1">IFERROR(__xludf.DUMMYFUNCTION("""COMPUTED_VALUE"""),"S-2")</f>
        <v>S-2</v>
      </c>
      <c r="Z354" s="3" t="str">
        <f ca="1">IFERROR(__xludf.DUMMYFUNCTION("""COMPUTED_VALUE"""),"2 Tahun 0 Bulan 27 Hari")</f>
        <v>2 Tahun 0 Bulan 27 Hari</v>
      </c>
      <c r="AA354" s="8">
        <f ca="1">IFERROR(__xludf.DUMMYFUNCTION("""COMPUTED_VALUE"""),57954)</f>
        <v>57954</v>
      </c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4"/>
      <c r="AR354" s="3"/>
      <c r="AS354" s="4"/>
      <c r="AT354" s="3"/>
      <c r="AU354" s="3"/>
    </row>
    <row r="355" spans="1:47" x14ac:dyDescent="0.2">
      <c r="A355" s="12">
        <v>354</v>
      </c>
      <c r="B355" s="3" t="str">
        <f ca="1">IFERROR(__xludf.DUMMYFUNCTION("""COMPUTED_VALUE"""),"Tarto")</f>
        <v>Tarto</v>
      </c>
      <c r="C355" s="3" t="str">
        <f ca="1">IFERROR(__xludf.DUMMYFUNCTION("""COMPUTED_VALUE"""),"Tarto, M.Hum.")</f>
        <v>Tarto, M.Hum.</v>
      </c>
      <c r="D355" s="3" t="str">
        <f ca="1">IFERROR(__xludf.DUMMYFUNCTION("""COMPUTED_VALUE"""),"Tarto, M.Hum.")</f>
        <v>Tarto, M.Hum.</v>
      </c>
      <c r="E355" s="3" t="str">
        <f ca="1">IFERROR(__xludf.DUMMYFUNCTION("""COMPUTED_VALUE"""),"198706162023211020")</f>
        <v>198706162023211020</v>
      </c>
      <c r="F355" s="3" t="str">
        <f ca="1">IFERROR(__xludf.DUMMYFUNCTION("""COMPUTED_VALUE"""),"19870616 202321 1 020")</f>
        <v>19870616 202321 1 020</v>
      </c>
      <c r="G355" s="3">
        <f ca="1">IFERROR(__xludf.DUMMYFUNCTION("""COMPUTED_VALUE"""),2116068702)</f>
        <v>2116068702</v>
      </c>
      <c r="H355" s="6" t="str">
        <f ca="1">IFERROR(__xludf.DUMMYFUNCTION("""COMPUTED_VALUE"""),"6948765666130342")</f>
        <v>6948765666130342</v>
      </c>
      <c r="I355" s="3" t="str">
        <f ca="1">IFERROR(__xludf.DUMMYFUNCTION("""COMPUTED_VALUE"""),"PPPK")</f>
        <v>PPPK</v>
      </c>
      <c r="J355" s="3" t="str">
        <f ca="1">IFERROR(__xludf.DUMMYFUNCTION("""COMPUTED_VALUE"""),"Dosen PPPK")</f>
        <v>Dosen PPPK</v>
      </c>
      <c r="K355" s="5" t="str">
        <f ca="1">IFERROR(__xludf.DUMMYFUNCTION("""COMPUTED_VALUE"""),"L")</f>
        <v>L</v>
      </c>
      <c r="L355" s="3" t="str">
        <f ca="1">IFERROR(__xludf.DUMMYFUNCTION("""COMPUTED_VALUE"""),"Banyumas")</f>
        <v>Banyumas</v>
      </c>
      <c r="M355" s="3" t="str">
        <f ca="1">IFERROR(__xludf.DUMMYFUNCTION("""COMPUTED_VALUE"""),"16-06-1987")</f>
        <v>16-06-1987</v>
      </c>
      <c r="N355" s="4"/>
      <c r="O355" s="3" t="str">
        <f ca="1">IFERROR(__xludf.DUMMYFUNCTION("""COMPUTED_VALUE"""),"X")</f>
        <v>X</v>
      </c>
      <c r="P355" s="7">
        <f ca="1">IFERROR(__xludf.DUMMYFUNCTION("""COMPUTED_VALUE"""),45139)</f>
        <v>45139</v>
      </c>
      <c r="Q355" s="3" t="str">
        <f ca="1">IFERROR(__xludf.DUMMYFUNCTION("""COMPUTED_VALUE"""),"980/Un.19/K.AUPK/KP.00.3/07/2023")</f>
        <v>980/Un.19/K.AUPK/KP.00.3/07/2023</v>
      </c>
      <c r="R355" s="3" t="str">
        <f ca="1">IFERROR(__xludf.DUMMYFUNCTION("""COMPUTED_VALUE"""),"Asisten Ahli")</f>
        <v>Asisten Ahli</v>
      </c>
      <c r="S355" s="3" t="str">
        <f ca="1">IFERROR(__xludf.DUMMYFUNCTION("""COMPUTED_VALUE"""),"Asisten Ahli")</f>
        <v>Asisten Ahli</v>
      </c>
      <c r="T355" s="7">
        <f ca="1">IFERROR(__xludf.DUMMYFUNCTION("""COMPUTED_VALUE"""),45139)</f>
        <v>45139</v>
      </c>
      <c r="U355" s="3"/>
      <c r="V355" s="7">
        <f ca="1">IFERROR(__xludf.DUMMYFUNCTION("""COMPUTED_VALUE"""),45138)</f>
        <v>45138</v>
      </c>
      <c r="W355" s="3">
        <f ca="1">IFERROR(__xludf.DUMMYFUNCTION("""COMPUTED_VALUE"""),9)</f>
        <v>9</v>
      </c>
      <c r="X355" s="3"/>
      <c r="Y355" s="3" t="str">
        <f ca="1">IFERROR(__xludf.DUMMYFUNCTION("""COMPUTED_VALUE"""),"S-2")</f>
        <v>S-2</v>
      </c>
      <c r="Z355" s="3" t="str">
        <f ca="1">IFERROR(__xludf.DUMMYFUNCTION("""COMPUTED_VALUE"""),"2 Tahun 4 Bulan 27 Hari")</f>
        <v>2 Tahun 4 Bulan 27 Hari</v>
      </c>
      <c r="AA355" s="8">
        <f ca="1">IFERROR(__xludf.DUMMYFUNCTION("""COMPUTED_VALUE"""),55701)</f>
        <v>55701</v>
      </c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4"/>
      <c r="AR355" s="3"/>
      <c r="AS355" s="4"/>
      <c r="AT355" s="3"/>
      <c r="AU355" s="3"/>
    </row>
    <row r="356" spans="1:47" x14ac:dyDescent="0.2">
      <c r="A356" s="12">
        <v>355</v>
      </c>
      <c r="B356" s="3" t="str">
        <f ca="1">IFERROR(__xludf.DUMMYFUNCTION("""COMPUTED_VALUE"""),"Ubaidillah")</f>
        <v>Ubaidillah</v>
      </c>
      <c r="C356" s="3" t="str">
        <f ca="1">IFERROR(__xludf.DUMMYFUNCTION("""COMPUTED_VALUE"""),"Ubaidillah, S.Pd.I., M.A.")</f>
        <v>Ubaidillah, S.Pd.I., M.A.</v>
      </c>
      <c r="D356" s="3" t="str">
        <f ca="1">IFERROR(__xludf.DUMMYFUNCTION("""COMPUTED_VALUE"""),"Ubaidillah, S.Pd.I., M.A.")</f>
        <v>Ubaidillah, S.Pd.I., M.A.</v>
      </c>
      <c r="E356" s="3" t="str">
        <f ca="1">IFERROR(__xludf.DUMMYFUNCTION("""COMPUTED_VALUE"""),"198201212025211008")</f>
        <v>198201212025211008</v>
      </c>
      <c r="F356" s="3" t="str">
        <f ca="1">IFERROR(__xludf.DUMMYFUNCTION("""COMPUTED_VALUE"""),"19820121 202521 1 008")</f>
        <v>19820121 202521 1 008</v>
      </c>
      <c r="G356" s="3">
        <f ca="1">IFERROR(__xludf.DUMMYFUNCTION("""COMPUTED_VALUE"""),2121018201)</f>
        <v>2121018201</v>
      </c>
      <c r="H356" s="6" t="str">
        <f ca="1">IFERROR(__xludf.DUMMYFUNCTION("""COMPUTED_VALUE"""),"4256766667130233")</f>
        <v>4256766667130233</v>
      </c>
      <c r="I356" s="3" t="str">
        <f ca="1">IFERROR(__xludf.DUMMYFUNCTION("""COMPUTED_VALUE"""),"PPPK")</f>
        <v>PPPK</v>
      </c>
      <c r="J356" s="3" t="str">
        <f ca="1">IFERROR(__xludf.DUMMYFUNCTION("""COMPUTED_VALUE"""),"Dosen PPPK")</f>
        <v>Dosen PPPK</v>
      </c>
      <c r="K356" s="5" t="str">
        <f ca="1">IFERROR(__xludf.DUMMYFUNCTION("""COMPUTED_VALUE"""),"L")</f>
        <v>L</v>
      </c>
      <c r="L356" s="3" t="str">
        <f ca="1">IFERROR(__xludf.DUMMYFUNCTION("""COMPUTED_VALUE"""),"Kebumen")</f>
        <v>Kebumen</v>
      </c>
      <c r="M356" s="3" t="str">
        <f ca="1">IFERROR(__xludf.DUMMYFUNCTION("""COMPUTED_VALUE"""),"21-01-1982")</f>
        <v>21-01-1982</v>
      </c>
      <c r="N356" s="4"/>
      <c r="O356" s="3" t="str">
        <f ca="1">IFERROR(__xludf.DUMMYFUNCTION("""COMPUTED_VALUE"""),"X")</f>
        <v>X</v>
      </c>
      <c r="P356" s="7">
        <f ca="1">IFERROR(__xludf.DUMMYFUNCTION("""COMPUTED_VALUE"""),45717)</f>
        <v>45717</v>
      </c>
      <c r="Q356" s="3" t="str">
        <f ca="1">IFERROR(__xludf.DUMMYFUNCTION("""COMPUTED_VALUE"""),"287.43/Un.19/K.AUPK/KP.01.3/02/2025")</f>
        <v>287.43/Un.19/K.AUPK/KP.01.3/02/2025</v>
      </c>
      <c r="R356" s="3" t="str">
        <f ca="1">IFERROR(__xludf.DUMMYFUNCTION("""COMPUTED_VALUE"""),"Asisten Ahli")</f>
        <v>Asisten Ahli</v>
      </c>
      <c r="S356" s="3" t="str">
        <f ca="1">IFERROR(__xludf.DUMMYFUNCTION("""COMPUTED_VALUE"""),"Asisten Ahli")</f>
        <v>Asisten Ahli</v>
      </c>
      <c r="T356" s="7">
        <f ca="1">IFERROR(__xludf.DUMMYFUNCTION("""COMPUTED_VALUE"""),45717)</f>
        <v>45717</v>
      </c>
      <c r="U356" s="3"/>
      <c r="V356" s="7">
        <f ca="1">IFERROR(__xludf.DUMMYFUNCTION("""COMPUTED_VALUE"""),45716)</f>
        <v>45716</v>
      </c>
      <c r="W356" s="3">
        <f ca="1">IFERROR(__xludf.DUMMYFUNCTION("""COMPUTED_VALUE"""),9)</f>
        <v>9</v>
      </c>
      <c r="X356" s="7" t="str">
        <f ca="1">IFERROR(__xludf.DUMMYFUNCTION("""COMPUTED_VALUE"""),"Koordinator Program Studi S-1 Studi Agama Agama Pada Fakultas Ushuluddin, Adab, dan Humaniora")</f>
        <v>Koordinator Program Studi S-1 Studi Agama Agama Pada Fakultas Ushuluddin, Adab, dan Humaniora</v>
      </c>
      <c r="Y356" s="3" t="str">
        <f ca="1">IFERROR(__xludf.DUMMYFUNCTION("""COMPUTED_VALUE"""),"S-2")</f>
        <v>S-2</v>
      </c>
      <c r="Z356" s="3" t="str">
        <f ca="1">IFERROR(__xludf.DUMMYFUNCTION("""COMPUTED_VALUE"""),"0 Tahun 8 Bulan 1 Hari")</f>
        <v>0 Tahun 8 Bulan 1 Hari</v>
      </c>
      <c r="AA356" s="8">
        <f ca="1">IFERROR(__xludf.DUMMYFUNCTION("""COMPUTED_VALUE"""),53724)</f>
        <v>53724</v>
      </c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4"/>
      <c r="AR356" s="3"/>
      <c r="AS356" s="4"/>
      <c r="AT356" s="3"/>
      <c r="AU356" s="3"/>
    </row>
    <row r="357" spans="1:47" x14ac:dyDescent="0.2">
      <c r="A357" s="12">
        <v>356</v>
      </c>
      <c r="B357" s="3" t="str">
        <f ca="1">IFERROR(__xludf.DUMMYFUNCTION("""COMPUTED_VALUE"""),"Ulpah Maspupah")</f>
        <v>Ulpah Maspupah</v>
      </c>
      <c r="C357" s="3" t="str">
        <f ca="1">IFERROR(__xludf.DUMMYFUNCTION("""COMPUTED_VALUE"""),"Ulpah Maspupah, M.Pd.I.")</f>
        <v>Ulpah Maspupah, M.Pd.I.</v>
      </c>
      <c r="D357" s="3" t="str">
        <f ca="1">IFERROR(__xludf.DUMMYFUNCTION("""COMPUTED_VALUE"""),"Ulpah Maspupah, M.Pd.I.")</f>
        <v>Ulpah Maspupah, M.Pd.I.</v>
      </c>
      <c r="E357" s="3" t="str">
        <f ca="1">IFERROR(__xludf.DUMMYFUNCTION("""COMPUTED_VALUE"""),"199001062023212033")</f>
        <v>199001062023212033</v>
      </c>
      <c r="F357" s="3" t="str">
        <f ca="1">IFERROR(__xludf.DUMMYFUNCTION("""COMPUTED_VALUE"""),"19900106 202321 2 033")</f>
        <v>19900106 202321 2 033</v>
      </c>
      <c r="G357" s="3">
        <f ca="1">IFERROR(__xludf.DUMMYFUNCTION("""COMPUTED_VALUE"""),2006019001)</f>
        <v>2006019001</v>
      </c>
      <c r="H357" s="6" t="str">
        <f ca="1">IFERROR(__xludf.DUMMYFUNCTION("""COMPUTED_VALUE"""),"5438768669230272")</f>
        <v>5438768669230272</v>
      </c>
      <c r="I357" s="3" t="str">
        <f ca="1">IFERROR(__xludf.DUMMYFUNCTION("""COMPUTED_VALUE"""),"PPPK")</f>
        <v>PPPK</v>
      </c>
      <c r="J357" s="3" t="str">
        <f ca="1">IFERROR(__xludf.DUMMYFUNCTION("""COMPUTED_VALUE"""),"Dosen PPPK")</f>
        <v>Dosen PPPK</v>
      </c>
      <c r="K357" s="5" t="str">
        <f ca="1">IFERROR(__xludf.DUMMYFUNCTION("""COMPUTED_VALUE"""),"P")</f>
        <v>P</v>
      </c>
      <c r="L357" s="3" t="str">
        <f ca="1">IFERROR(__xludf.DUMMYFUNCTION("""COMPUTED_VALUE"""),"Cikalong")</f>
        <v>Cikalong</v>
      </c>
      <c r="M357" s="3" t="str">
        <f ca="1">IFERROR(__xludf.DUMMYFUNCTION("""COMPUTED_VALUE"""),"06-01-1990")</f>
        <v>06-01-1990</v>
      </c>
      <c r="N357" s="4"/>
      <c r="O357" s="3" t="str">
        <f ca="1">IFERROR(__xludf.DUMMYFUNCTION("""COMPUTED_VALUE"""),"X")</f>
        <v>X</v>
      </c>
      <c r="P357" s="7">
        <f ca="1">IFERROR(__xludf.DUMMYFUNCTION("""COMPUTED_VALUE"""),45139)</f>
        <v>45139</v>
      </c>
      <c r="Q357" s="3" t="str">
        <f ca="1">IFERROR(__xludf.DUMMYFUNCTION("""COMPUTED_VALUE"""),"983/Un.19/K.AUPK/KP.00.3/07/2023")</f>
        <v>983/Un.19/K.AUPK/KP.00.3/07/2023</v>
      </c>
      <c r="R357" s="3" t="str">
        <f ca="1">IFERROR(__xludf.DUMMYFUNCTION("""COMPUTED_VALUE"""),"Asisten Ahli")</f>
        <v>Asisten Ahli</v>
      </c>
      <c r="S357" s="3" t="str">
        <f ca="1">IFERROR(__xludf.DUMMYFUNCTION("""COMPUTED_VALUE"""),"Asisten Ahli")</f>
        <v>Asisten Ahli</v>
      </c>
      <c r="T357" s="7">
        <f ca="1">IFERROR(__xludf.DUMMYFUNCTION("""COMPUTED_VALUE"""),45139)</f>
        <v>45139</v>
      </c>
      <c r="U357" s="3"/>
      <c r="V357" s="7">
        <f ca="1">IFERROR(__xludf.DUMMYFUNCTION("""COMPUTED_VALUE"""),45138)</f>
        <v>45138</v>
      </c>
      <c r="W357" s="3">
        <f ca="1">IFERROR(__xludf.DUMMYFUNCTION("""COMPUTED_VALUE"""),9)</f>
        <v>9</v>
      </c>
      <c r="X357" s="3"/>
      <c r="Y357" s="3" t="str">
        <f ca="1">IFERROR(__xludf.DUMMYFUNCTION("""COMPUTED_VALUE"""),"S-2")</f>
        <v>S-2</v>
      </c>
      <c r="Z357" s="3" t="str">
        <f ca="1">IFERROR(__xludf.DUMMYFUNCTION("""COMPUTED_VALUE"""),"2 Tahun 4 Bulan 27 Hari")</f>
        <v>2 Tahun 4 Bulan 27 Hari</v>
      </c>
      <c r="AA357" s="8">
        <f ca="1">IFERROR(__xludf.DUMMYFUNCTION("""COMPUTED_VALUE"""),56646)</f>
        <v>56646</v>
      </c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4"/>
      <c r="AR357" s="3"/>
      <c r="AS357" s="4"/>
      <c r="AT357" s="3"/>
      <c r="AU357" s="3"/>
    </row>
    <row r="358" spans="1:47" x14ac:dyDescent="0.2">
      <c r="A358" s="12">
        <v>357</v>
      </c>
      <c r="B358" s="3" t="str">
        <f ca="1">IFERROR(__xludf.DUMMYFUNCTION("""COMPUTED_VALUE"""),"Yusuf Heriyanto")</f>
        <v>Yusuf Heriyanto</v>
      </c>
      <c r="C358" s="3" t="str">
        <f ca="1">IFERROR(__xludf.DUMMYFUNCTION("""COMPUTED_VALUE"""),"Yusuf Heriyanto, M.Kom.")</f>
        <v>Yusuf Heriyanto, M.Kom.</v>
      </c>
      <c r="D358" s="3" t="str">
        <f ca="1">IFERROR(__xludf.DUMMYFUNCTION("""COMPUTED_VALUE"""),"Yusuf Heriyanto, M.Kom.")</f>
        <v>Yusuf Heriyanto, M.Kom.</v>
      </c>
      <c r="E358" s="3" t="str">
        <f ca="1">IFERROR(__xludf.DUMMYFUNCTION("""COMPUTED_VALUE"""),"198110042023211012")</f>
        <v>198110042023211012</v>
      </c>
      <c r="F358" s="3" t="str">
        <f ca="1">IFERROR(__xludf.DUMMYFUNCTION("""COMPUTED_VALUE"""),"‌19811004 202321 1 012")</f>
        <v>‌19811004 202321 1 012</v>
      </c>
      <c r="G358" s="3">
        <f ca="1">IFERROR(__xludf.DUMMYFUNCTION("""COMPUTED_VALUE"""),2004108101)</f>
        <v>2004108101</v>
      </c>
      <c r="H358" s="6" t="str">
        <f ca="1">IFERROR(__xludf.DUMMYFUNCTION("""COMPUTED_VALUE"""),"2336759662200003")</f>
        <v>2336759662200003</v>
      </c>
      <c r="I358" s="3" t="str">
        <f ca="1">IFERROR(__xludf.DUMMYFUNCTION("""COMPUTED_VALUE"""),"PPPK")</f>
        <v>PPPK</v>
      </c>
      <c r="J358" s="3" t="str">
        <f ca="1">IFERROR(__xludf.DUMMYFUNCTION("""COMPUTED_VALUE"""),"Dosen PPPK")</f>
        <v>Dosen PPPK</v>
      </c>
      <c r="K358" s="5" t="str">
        <f ca="1">IFERROR(__xludf.DUMMYFUNCTION("""COMPUTED_VALUE"""),"L")</f>
        <v>L</v>
      </c>
      <c r="L358" s="3" t="str">
        <f ca="1">IFERROR(__xludf.DUMMYFUNCTION("""COMPUTED_VALUE"""),"Purbalingga")</f>
        <v>Purbalingga</v>
      </c>
      <c r="M358" s="3" t="str">
        <f ca="1">IFERROR(__xludf.DUMMYFUNCTION("""COMPUTED_VALUE"""),"04-10-1981")</f>
        <v>04-10-1981</v>
      </c>
      <c r="N358" s="4"/>
      <c r="O358" s="3" t="str">
        <f ca="1">IFERROR(__xludf.DUMMYFUNCTION("""COMPUTED_VALUE"""),"X")</f>
        <v>X</v>
      </c>
      <c r="P358" s="7">
        <f ca="1">IFERROR(__xludf.DUMMYFUNCTION("""COMPUTED_VALUE"""),45261)</f>
        <v>45261</v>
      </c>
      <c r="Q358" s="3" t="str">
        <f ca="1">IFERROR(__xludf.DUMMYFUNCTION("""COMPUTED_VALUE"""),"1733/Un.19/K.AUPK/KP.00.2/11/2023")</f>
        <v>1733/Un.19/K.AUPK/KP.00.2/11/2023</v>
      </c>
      <c r="R358" s="3" t="str">
        <f ca="1">IFERROR(__xludf.DUMMYFUNCTION("""COMPUTED_VALUE"""),"Asisten Ahli")</f>
        <v>Asisten Ahli</v>
      </c>
      <c r="S358" s="3" t="str">
        <f ca="1">IFERROR(__xludf.DUMMYFUNCTION("""COMPUTED_VALUE"""),"Asisten Ahli")</f>
        <v>Asisten Ahli</v>
      </c>
      <c r="T358" s="7">
        <f ca="1">IFERROR(__xludf.DUMMYFUNCTION("""COMPUTED_VALUE"""),45261)</f>
        <v>45261</v>
      </c>
      <c r="U358" s="3"/>
      <c r="V358" s="7">
        <f ca="1">IFERROR(__xludf.DUMMYFUNCTION("""COMPUTED_VALUE"""),45260)</f>
        <v>45260</v>
      </c>
      <c r="W358" s="3">
        <f ca="1">IFERROR(__xludf.DUMMYFUNCTION("""COMPUTED_VALUE"""),9)</f>
        <v>9</v>
      </c>
      <c r="X358" s="3"/>
      <c r="Y358" s="3" t="str">
        <f ca="1">IFERROR(__xludf.DUMMYFUNCTION("""COMPUTED_VALUE"""),"S-2")</f>
        <v>S-2</v>
      </c>
      <c r="Z358" s="3" t="str">
        <f ca="1">IFERROR(__xludf.DUMMYFUNCTION("""COMPUTED_VALUE"""),"2 Tahun 0 Bulan 27 Hari")</f>
        <v>2 Tahun 0 Bulan 27 Hari</v>
      </c>
      <c r="AA358" s="8">
        <f ca="1">IFERROR(__xludf.DUMMYFUNCTION("""COMPUTED_VALUE"""),53632)</f>
        <v>53632</v>
      </c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4"/>
      <c r="AR358" s="3"/>
      <c r="AS358" s="4"/>
      <c r="AT358" s="3"/>
      <c r="AU358" s="3"/>
    </row>
    <row r="359" spans="1:47" x14ac:dyDescent="0.2">
      <c r="A359" s="12">
        <v>358</v>
      </c>
      <c r="B359" s="3" t="str">
        <f ca="1">IFERROR(__xludf.DUMMYFUNCTION("""COMPUTED_VALUE"""),"Anas Azhimi Qalban")</f>
        <v>Anas Azhimi Qalban</v>
      </c>
      <c r="C359" s="3" t="str">
        <f ca="1">IFERROR(__xludf.DUMMYFUNCTION("""COMPUTED_VALUE"""),"Anas Azhimi Qalban, M.Kom.")</f>
        <v>Anas Azhimi Qalban, M.Kom.</v>
      </c>
      <c r="D359" s="3" t="str">
        <f ca="1">IFERROR(__xludf.DUMMYFUNCTION("""COMPUTED_VALUE"""),"Anas Azhimi Qalban, M.Kom.")</f>
        <v>Anas Azhimi Qalban, M.Kom.</v>
      </c>
      <c r="E359" s="3" t="str">
        <f ca="1">IFERROR(__xludf.DUMMYFUNCTION("""COMPUTED_VALUE"""),"199204122025211063")</f>
        <v>199204122025211063</v>
      </c>
      <c r="F359" s="3" t="str">
        <f ca="1">IFERROR(__xludf.DUMMYFUNCTION("""COMPUTED_VALUE"""),"19920412 202521 1 063")</f>
        <v>19920412 202521 1 063</v>
      </c>
      <c r="G359" s="3">
        <f ca="1">IFERROR(__xludf.DUMMYFUNCTION("""COMPUTED_VALUE"""),2012049202)</f>
        <v>2012049202</v>
      </c>
      <c r="H359" s="6" t="str">
        <f ca="1">IFERROR(__xludf.DUMMYFUNCTION("""COMPUTED_VALUE"""),"3744770671130412")</f>
        <v>3744770671130412</v>
      </c>
      <c r="I359" s="3" t="str">
        <f ca="1">IFERROR(__xludf.DUMMYFUNCTION("""COMPUTED_VALUE"""),"PPPK")</f>
        <v>PPPK</v>
      </c>
      <c r="J359" s="3" t="str">
        <f ca="1">IFERROR(__xludf.DUMMYFUNCTION("""COMPUTED_VALUE"""),"Dosen PPPK")</f>
        <v>Dosen PPPK</v>
      </c>
      <c r="K359" s="5" t="str">
        <f ca="1">IFERROR(__xludf.DUMMYFUNCTION("""COMPUTED_VALUE"""),"L")</f>
        <v>L</v>
      </c>
      <c r="L359" s="3" t="str">
        <f ca="1">IFERROR(__xludf.DUMMYFUNCTION("""COMPUTED_VALUE"""),"Baturaja")</f>
        <v>Baturaja</v>
      </c>
      <c r="M359" s="3" t="str">
        <f ca="1">IFERROR(__xludf.DUMMYFUNCTION("""COMPUTED_VALUE"""),"12-04-1992")</f>
        <v>12-04-1992</v>
      </c>
      <c r="N359" s="4"/>
      <c r="O359" s="3" t="str">
        <f ca="1">IFERROR(__xludf.DUMMYFUNCTION("""COMPUTED_VALUE"""),"X")</f>
        <v>X</v>
      </c>
      <c r="P359" s="11">
        <f ca="1">IFERROR(__xludf.DUMMYFUNCTION("""COMPUTED_VALUE"""),45931)</f>
        <v>45931</v>
      </c>
      <c r="Q359" s="3" t="str">
        <f ca="1">IFERROR(__xludf.DUMMYFUNCTION("""COMPUTED_VALUE"""),"SK.P2-002270/B.II/KP.00.3/09/2025")</f>
        <v>SK.P2-002270/B.II/KP.00.3/09/2025</v>
      </c>
      <c r="R359" s="3" t="str">
        <f ca="1">IFERROR(__xludf.DUMMYFUNCTION("""COMPUTED_VALUE"""),"Asisten Ahli")</f>
        <v>Asisten Ahli</v>
      </c>
      <c r="S359" s="3" t="str">
        <f ca="1">IFERROR(__xludf.DUMMYFUNCTION("""COMPUTED_VALUE"""),"Asisten Ahli")</f>
        <v>Asisten Ahli</v>
      </c>
      <c r="T359" s="11">
        <f ca="1">IFERROR(__xludf.DUMMYFUNCTION("""COMPUTED_VALUE"""),45931)</f>
        <v>45931</v>
      </c>
      <c r="U359" s="3" t="str">
        <f ca="1">IFERROR(__xludf.DUMMYFUNCTION("""COMPUTED_VALUE"""),"SK.P2-002270/B.II/KP.00.3/09/2025")</f>
        <v>SK.P2-002270/B.II/KP.00.3/09/2025</v>
      </c>
      <c r="V359" s="7">
        <f ca="1">IFERROR(__xludf.DUMMYFUNCTION("""COMPUTED_VALUE"""),45922)</f>
        <v>45922</v>
      </c>
      <c r="W359" s="3">
        <f ca="1">IFERROR(__xludf.DUMMYFUNCTION("""COMPUTED_VALUE"""),9)</f>
        <v>9</v>
      </c>
      <c r="X359" s="3" t="str">
        <f ca="1">IFERROR(__xludf.DUMMYFUNCTION("""COMPUTED_VALUE"""),"Koordinator Program Studi S-1 Informatika Pada Fakultas Dakwah")</f>
        <v>Koordinator Program Studi S-1 Informatika Pada Fakultas Dakwah</v>
      </c>
      <c r="Y359" s="3" t="str">
        <f ca="1">IFERROR(__xludf.DUMMYFUNCTION("""COMPUTED_VALUE"""),"S-2")</f>
        <v>S-2</v>
      </c>
      <c r="Z359" s="3" t="str">
        <f ca="1">IFERROR(__xludf.DUMMYFUNCTION("""COMPUTED_VALUE"""),"0 Tahun 3 Bulan 5 Hari")</f>
        <v>0 Tahun 3 Bulan 5 Hari</v>
      </c>
      <c r="AA359" s="8">
        <f ca="1">IFERROR(__xludf.DUMMYFUNCTION("""COMPUTED_VALUE"""),57466)</f>
        <v>57466</v>
      </c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4"/>
      <c r="AR359" s="3"/>
      <c r="AS359" s="4"/>
      <c r="AT359" s="3"/>
      <c r="AU359" s="3"/>
    </row>
    <row r="360" spans="1:47" x14ac:dyDescent="0.2">
      <c r="A360" s="12">
        <v>359</v>
      </c>
      <c r="B360" s="3" t="str">
        <f ca="1">IFERROR(__xludf.DUMMYFUNCTION("""COMPUTED_VALUE"""),"Aufannuha Ihsani")</f>
        <v>Aufannuha Ihsani</v>
      </c>
      <c r="C360" s="3" t="str">
        <f ca="1">IFERROR(__xludf.DUMMYFUNCTION("""COMPUTED_VALUE"""),"Aufannuha Ihsani, M.A.")</f>
        <v>Aufannuha Ihsani, M.A.</v>
      </c>
      <c r="D360" s="3" t="str">
        <f ca="1">IFERROR(__xludf.DUMMYFUNCTION("""COMPUTED_VALUE"""),"Aufannuha Ihsani, M.A.")</f>
        <v>Aufannuha Ihsani, M.A.</v>
      </c>
      <c r="E360" s="3" t="str">
        <f ca="1">IFERROR(__xludf.DUMMYFUNCTION("""COMPUTED_VALUE"""),"199009292025211048")</f>
        <v>199009292025211048</v>
      </c>
      <c r="F360" s="3" t="str">
        <f ca="1">IFERROR(__xludf.DUMMYFUNCTION("""COMPUTED_VALUE"""),"19900929 202521 1 048")</f>
        <v>19900929 202521 1 048</v>
      </c>
      <c r="G360" s="3">
        <f ca="1">IFERROR(__xludf.DUMMYFUNCTION("""COMPUTED_VALUE"""),2029099004)</f>
        <v>2029099004</v>
      </c>
      <c r="H360" s="6" t="str">
        <f ca="1">IFERROR(__xludf.DUMMYFUNCTION("""COMPUTED_VALUE"""),"9261768669130403")</f>
        <v>9261768669130403</v>
      </c>
      <c r="I360" s="3" t="str">
        <f ca="1">IFERROR(__xludf.DUMMYFUNCTION("""COMPUTED_VALUE"""),"PPPK")</f>
        <v>PPPK</v>
      </c>
      <c r="J360" s="3" t="str">
        <f ca="1">IFERROR(__xludf.DUMMYFUNCTION("""COMPUTED_VALUE"""),"Dosen PPPK")</f>
        <v>Dosen PPPK</v>
      </c>
      <c r="K360" s="5" t="str">
        <f ca="1">IFERROR(__xludf.DUMMYFUNCTION("""COMPUTED_VALUE"""),"L")</f>
        <v>L</v>
      </c>
      <c r="L360" s="3" t="str">
        <f ca="1">IFERROR(__xludf.DUMMYFUNCTION("""COMPUTED_VALUE"""),"Semarang")</f>
        <v>Semarang</v>
      </c>
      <c r="M360" s="3" t="str">
        <f ca="1">IFERROR(__xludf.DUMMYFUNCTION("""COMPUTED_VALUE"""),"29-09-1990")</f>
        <v>29-09-1990</v>
      </c>
      <c r="N360" s="4"/>
      <c r="O360" s="3" t="str">
        <f ca="1">IFERROR(__xludf.DUMMYFUNCTION("""COMPUTED_VALUE"""),"X")</f>
        <v>X</v>
      </c>
      <c r="P360" s="11">
        <f ca="1">IFERROR(__xludf.DUMMYFUNCTION("""COMPUTED_VALUE"""),45931)</f>
        <v>45931</v>
      </c>
      <c r="Q360" s="3" t="str">
        <f ca="1">IFERROR(__xludf.DUMMYFUNCTION("""COMPUTED_VALUE"""),"SK.P2-002271/B.II/KP.00.3/09/2025")</f>
        <v>SK.P2-002271/B.II/KP.00.3/09/2025</v>
      </c>
      <c r="R360" s="3" t="str">
        <f ca="1">IFERROR(__xludf.DUMMYFUNCTION("""COMPUTED_VALUE"""),"Asisten Ahli")</f>
        <v>Asisten Ahli</v>
      </c>
      <c r="S360" s="3" t="str">
        <f ca="1">IFERROR(__xludf.DUMMYFUNCTION("""COMPUTED_VALUE"""),"Asisten Ahli")</f>
        <v>Asisten Ahli</v>
      </c>
      <c r="T360" s="11">
        <f ca="1">IFERROR(__xludf.DUMMYFUNCTION("""COMPUTED_VALUE"""),45931)</f>
        <v>45931</v>
      </c>
      <c r="U360" s="3" t="str">
        <f ca="1">IFERROR(__xludf.DUMMYFUNCTION("""COMPUTED_VALUE"""),"SK.P2-002271/B.II/KP.00.3/09/2025")</f>
        <v>SK.P2-002271/B.II/KP.00.3/09/2025</v>
      </c>
      <c r="V360" s="7">
        <f ca="1">IFERROR(__xludf.DUMMYFUNCTION("""COMPUTED_VALUE"""),45922)</f>
        <v>45922</v>
      </c>
      <c r="W360" s="3">
        <f ca="1">IFERROR(__xludf.DUMMYFUNCTION("""COMPUTED_VALUE"""),9)</f>
        <v>9</v>
      </c>
      <c r="X360" s="3"/>
      <c r="Y360" s="3" t="str">
        <f ca="1">IFERROR(__xludf.DUMMYFUNCTION("""COMPUTED_VALUE"""),"S-2")</f>
        <v>S-2</v>
      </c>
      <c r="Z360" s="3" t="str">
        <f ca="1">IFERROR(__xludf.DUMMYFUNCTION("""COMPUTED_VALUE"""),"0 Tahun 3 Bulan 5 Hari")</f>
        <v>0 Tahun 3 Bulan 5 Hari</v>
      </c>
      <c r="AA360" s="8">
        <f ca="1">IFERROR(__xludf.DUMMYFUNCTION("""COMPUTED_VALUE"""),56888)</f>
        <v>56888</v>
      </c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4"/>
      <c r="AR360" s="3"/>
      <c r="AS360" s="4"/>
      <c r="AT360" s="3"/>
      <c r="AU360" s="3"/>
    </row>
    <row r="361" spans="1:47" x14ac:dyDescent="0.2">
      <c r="A361" s="12">
        <v>360</v>
      </c>
      <c r="B361" s="3" t="str">
        <f ca="1">IFERROR(__xludf.DUMMYFUNCTION("""COMPUTED_VALUE"""),"Fariz Nizar")</f>
        <v>Fariz Nizar</v>
      </c>
      <c r="C361" s="3" t="str">
        <f ca="1">IFERROR(__xludf.DUMMYFUNCTION("""COMPUTED_VALUE"""),"Fariz Nizar, M.Ars.")</f>
        <v>Fariz Nizar, M.Ars.</v>
      </c>
      <c r="D361" s="3" t="str">
        <f ca="1">IFERROR(__xludf.DUMMYFUNCTION("""COMPUTED_VALUE"""),"Fariz Nizar, M.Ars.")</f>
        <v>Fariz Nizar, M.Ars.</v>
      </c>
      <c r="E361" s="3" t="str">
        <f ca="1">IFERROR(__xludf.DUMMYFUNCTION("""COMPUTED_VALUE"""),"199606202025211040")</f>
        <v>199606202025211040</v>
      </c>
      <c r="F361" s="3" t="str">
        <f ca="1">IFERROR(__xludf.DUMMYFUNCTION("""COMPUTED_VALUE"""),"19960620 202521 1 040")</f>
        <v>19960620 202521 1 040</v>
      </c>
      <c r="G361" s="3">
        <f ca="1">IFERROR(__xludf.DUMMYFUNCTION("""COMPUTED_VALUE"""),2020069601)</f>
        <v>2020069601</v>
      </c>
      <c r="H361" s="6" t="str">
        <f ca="1">IFERROR(__xludf.DUMMYFUNCTION("""COMPUTED_VALUE"""),"1952774675130262")</f>
        <v>1952774675130262</v>
      </c>
      <c r="I361" s="3" t="str">
        <f ca="1">IFERROR(__xludf.DUMMYFUNCTION("""COMPUTED_VALUE"""),"PPPK")</f>
        <v>PPPK</v>
      </c>
      <c r="J361" s="3" t="str">
        <f ca="1">IFERROR(__xludf.DUMMYFUNCTION("""COMPUTED_VALUE"""),"Dosen PPPK")</f>
        <v>Dosen PPPK</v>
      </c>
      <c r="K361" s="5" t="str">
        <f ca="1">IFERROR(__xludf.DUMMYFUNCTION("""COMPUTED_VALUE"""),"L")</f>
        <v>L</v>
      </c>
      <c r="L361" s="3" t="str">
        <f ca="1">IFERROR(__xludf.DUMMYFUNCTION("""COMPUTED_VALUE"""),"Subang")</f>
        <v>Subang</v>
      </c>
      <c r="M361" s="3" t="str">
        <f ca="1">IFERROR(__xludf.DUMMYFUNCTION("""COMPUTED_VALUE"""),"20-06-1996")</f>
        <v>20-06-1996</v>
      </c>
      <c r="N361" s="4"/>
      <c r="O361" s="3" t="str">
        <f ca="1">IFERROR(__xludf.DUMMYFUNCTION("""COMPUTED_VALUE"""),"X")</f>
        <v>X</v>
      </c>
      <c r="P361" s="11">
        <f ca="1">IFERROR(__xludf.DUMMYFUNCTION("""COMPUTED_VALUE"""),45931)</f>
        <v>45931</v>
      </c>
      <c r="Q361" s="3" t="str">
        <f ca="1">IFERROR(__xludf.DUMMYFUNCTION("""COMPUTED_VALUE"""),"SK.P2-002273/B.II/KP.00.3/09/2025")</f>
        <v>SK.P2-002273/B.II/KP.00.3/09/2025</v>
      </c>
      <c r="R361" s="3" t="str">
        <f ca="1">IFERROR(__xludf.DUMMYFUNCTION("""COMPUTED_VALUE"""),"Asisten Ahli")</f>
        <v>Asisten Ahli</v>
      </c>
      <c r="S361" s="3" t="str">
        <f ca="1">IFERROR(__xludf.DUMMYFUNCTION("""COMPUTED_VALUE"""),"Asisten Ahli")</f>
        <v>Asisten Ahli</v>
      </c>
      <c r="T361" s="11">
        <f ca="1">IFERROR(__xludf.DUMMYFUNCTION("""COMPUTED_VALUE"""),45931)</f>
        <v>45931</v>
      </c>
      <c r="U361" s="3" t="str">
        <f ca="1">IFERROR(__xludf.DUMMYFUNCTION("""COMPUTED_VALUE"""),"SK.P2-002273/B.II/KP.00.3/09/2025")</f>
        <v>SK.P2-002273/B.II/KP.00.3/09/2025</v>
      </c>
      <c r="V361" s="7">
        <f ca="1">IFERROR(__xludf.DUMMYFUNCTION("""COMPUTED_VALUE"""),45922)</f>
        <v>45922</v>
      </c>
      <c r="W361" s="3">
        <f ca="1">IFERROR(__xludf.DUMMYFUNCTION("""COMPUTED_VALUE"""),9)</f>
        <v>9</v>
      </c>
      <c r="X361" s="3" t="str">
        <f ca="1">IFERROR(__xludf.DUMMYFUNCTION("""COMPUTED_VALUE"""),"Koordinator Program Studi S-1 Arsitektur Pada Fakultas Dakwah")</f>
        <v>Koordinator Program Studi S-1 Arsitektur Pada Fakultas Dakwah</v>
      </c>
      <c r="Y361" s="3" t="str">
        <f ca="1">IFERROR(__xludf.DUMMYFUNCTION("""COMPUTED_VALUE"""),"S-2")</f>
        <v>S-2</v>
      </c>
      <c r="Z361" s="3" t="str">
        <f ca="1">IFERROR(__xludf.DUMMYFUNCTION("""COMPUTED_VALUE"""),"0 Tahun 3 Bulan 5 Hari")</f>
        <v>0 Tahun 3 Bulan 5 Hari</v>
      </c>
      <c r="AA361" s="8">
        <f ca="1">IFERROR(__xludf.DUMMYFUNCTION("""COMPUTED_VALUE"""),58988)</f>
        <v>58988</v>
      </c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4"/>
      <c r="AR361" s="3"/>
      <c r="AS361" s="4"/>
      <c r="AT361" s="3"/>
      <c r="AU361" s="3"/>
    </row>
    <row r="362" spans="1:47" x14ac:dyDescent="0.2">
      <c r="A362" s="12">
        <v>361</v>
      </c>
      <c r="B362" s="3" t="str">
        <f ca="1">IFERROR(__xludf.DUMMYFUNCTION("""COMPUTED_VALUE"""),"Iif Alfiatul Mukaromah")</f>
        <v>Iif Alfiatul Mukaromah</v>
      </c>
      <c r="C362" s="3" t="str">
        <f ca="1">IFERROR(__xludf.DUMMYFUNCTION("""COMPUTED_VALUE"""),"Iif Alfiatul Mukaromah, S.Pd., M.Kom.")</f>
        <v>Iif Alfiatul Mukaromah, S.Pd., M.Kom.</v>
      </c>
      <c r="D362" s="3" t="str">
        <f ca="1">IFERROR(__xludf.DUMMYFUNCTION("""COMPUTED_VALUE"""),"Iif Alfiatul Mukaromah, S.Pd., M.Kom.")</f>
        <v>Iif Alfiatul Mukaromah, S.Pd., M.Kom.</v>
      </c>
      <c r="E362" s="3" t="str">
        <f ca="1">IFERROR(__xludf.DUMMYFUNCTION("""COMPUTED_VALUE"""),"199504162025212044")</f>
        <v>199504162025212044</v>
      </c>
      <c r="F362" s="3" t="str">
        <f ca="1">IFERROR(__xludf.DUMMYFUNCTION("""COMPUTED_VALUE"""),"19950416 202521 2 044")</f>
        <v>19950416 202521 2 044</v>
      </c>
      <c r="G362" s="3" t="str">
        <f ca="1">IFERROR(__xludf.DUMMYFUNCTION("""COMPUTED_VALUE"""),"0616049501")</f>
        <v>0616049501</v>
      </c>
      <c r="H362" s="6" t="str">
        <f ca="1">IFERROR(__xludf.DUMMYFUNCTION("""COMPUTED_VALUE"""),"9748773674230252")</f>
        <v>9748773674230252</v>
      </c>
      <c r="I362" s="3" t="str">
        <f ca="1">IFERROR(__xludf.DUMMYFUNCTION("""COMPUTED_VALUE"""),"PPPK")</f>
        <v>PPPK</v>
      </c>
      <c r="J362" s="3" t="str">
        <f ca="1">IFERROR(__xludf.DUMMYFUNCTION("""COMPUTED_VALUE"""),"Dosen PPPK")</f>
        <v>Dosen PPPK</v>
      </c>
      <c r="K362" s="5" t="str">
        <f ca="1">IFERROR(__xludf.DUMMYFUNCTION("""COMPUTED_VALUE"""),"P")</f>
        <v>P</v>
      </c>
      <c r="L362" s="3" t="str">
        <f ca="1">IFERROR(__xludf.DUMMYFUNCTION("""COMPUTED_VALUE"""),"Brebes")</f>
        <v>Brebes</v>
      </c>
      <c r="M362" s="3" t="str">
        <f ca="1">IFERROR(__xludf.DUMMYFUNCTION("""COMPUTED_VALUE"""),"16-04-1995")</f>
        <v>16-04-1995</v>
      </c>
      <c r="N362" s="4"/>
      <c r="O362" s="3" t="str">
        <f ca="1">IFERROR(__xludf.DUMMYFUNCTION("""COMPUTED_VALUE"""),"X")</f>
        <v>X</v>
      </c>
      <c r="P362" s="11">
        <f ca="1">IFERROR(__xludf.DUMMYFUNCTION("""COMPUTED_VALUE"""),45931)</f>
        <v>45931</v>
      </c>
      <c r="Q362" s="3" t="str">
        <f ca="1">IFERROR(__xludf.DUMMYFUNCTION("""COMPUTED_VALUE"""),"SK.P2-002274/B.II/KP.00.3/09/2025")</f>
        <v>SK.P2-002274/B.II/KP.00.3/09/2025</v>
      </c>
      <c r="R362" s="3" t="str">
        <f ca="1">IFERROR(__xludf.DUMMYFUNCTION("""COMPUTED_VALUE"""),"Asisten Ahli")</f>
        <v>Asisten Ahli</v>
      </c>
      <c r="S362" s="3" t="str">
        <f ca="1">IFERROR(__xludf.DUMMYFUNCTION("""COMPUTED_VALUE"""),"Asisten Ahli")</f>
        <v>Asisten Ahli</v>
      </c>
      <c r="T362" s="11">
        <f ca="1">IFERROR(__xludf.DUMMYFUNCTION("""COMPUTED_VALUE"""),45931)</f>
        <v>45931</v>
      </c>
      <c r="U362" s="3" t="str">
        <f ca="1">IFERROR(__xludf.DUMMYFUNCTION("""COMPUTED_VALUE"""),"SK.P2-002274/B.II/KP.00.3/09/2025")</f>
        <v>SK.P2-002274/B.II/KP.00.3/09/2025</v>
      </c>
      <c r="V362" s="7">
        <f ca="1">IFERROR(__xludf.DUMMYFUNCTION("""COMPUTED_VALUE"""),45922)</f>
        <v>45922</v>
      </c>
      <c r="W362" s="3">
        <f ca="1">IFERROR(__xludf.DUMMYFUNCTION("""COMPUTED_VALUE"""),9)</f>
        <v>9</v>
      </c>
      <c r="X362" s="3"/>
      <c r="Y362" s="3" t="str">
        <f ca="1">IFERROR(__xludf.DUMMYFUNCTION("""COMPUTED_VALUE"""),"S-2")</f>
        <v>S-2</v>
      </c>
      <c r="Z362" s="3" t="str">
        <f ca="1">IFERROR(__xludf.DUMMYFUNCTION("""COMPUTED_VALUE"""),"0 Tahun 3 Bulan 5 Hari")</f>
        <v>0 Tahun 3 Bulan 5 Hari</v>
      </c>
      <c r="AA362" s="8">
        <f ca="1">IFERROR(__xludf.DUMMYFUNCTION("""COMPUTED_VALUE"""),58562)</f>
        <v>58562</v>
      </c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4"/>
      <c r="AR362" s="3"/>
      <c r="AS362" s="4"/>
      <c r="AT362" s="3"/>
      <c r="AU362" s="3"/>
    </row>
    <row r="363" spans="1:47" x14ac:dyDescent="0.2">
      <c r="A363" s="12">
        <v>362</v>
      </c>
      <c r="B363" s="3" t="str">
        <f ca="1">IFERROR(__xludf.DUMMYFUNCTION("""COMPUTED_VALUE"""),"‌Muhamad Nasim")</f>
        <v>‌Muhamad Nasim</v>
      </c>
      <c r="C363" s="3" t="str">
        <f ca="1">IFERROR(__xludf.DUMMYFUNCTION("""COMPUTED_VALUE"""),"‌Muhamad Nasim, M.Kom.")</f>
        <v>‌Muhamad Nasim, M.Kom.</v>
      </c>
      <c r="D363" s="3" t="str">
        <f ca="1">IFERROR(__xludf.DUMMYFUNCTION("""COMPUTED_VALUE"""),"‌Muhamad Nasim, M.Kom.")</f>
        <v>‌Muhamad Nasim, M.Kom.</v>
      </c>
      <c r="E363" s="3" t="str">
        <f ca="1">IFERROR(__xludf.DUMMYFUNCTION("""COMPUTED_VALUE"""),"198310242025211034")</f>
        <v>198310242025211034</v>
      </c>
      <c r="F363" s="3" t="str">
        <f ca="1">IFERROR(__xludf.DUMMYFUNCTION("""COMPUTED_VALUE"""),"19831024 202521 1 034")</f>
        <v>19831024 202521 1 034</v>
      </c>
      <c r="G363" s="3"/>
      <c r="H363" s="3" t="str">
        <f ca="1">IFERROR(__xludf.DUMMYFUNCTION("""COMPUTED_VALUE"""),"4356761664200013")</f>
        <v>4356761664200013</v>
      </c>
      <c r="I363" s="3" t="str">
        <f ca="1">IFERROR(__xludf.DUMMYFUNCTION("""COMPUTED_VALUE"""),"PPPK")</f>
        <v>PPPK</v>
      </c>
      <c r="J363" s="3" t="str">
        <f ca="1">IFERROR(__xludf.DUMMYFUNCTION("""COMPUTED_VALUE"""),"Dosen PPPK")</f>
        <v>Dosen PPPK</v>
      </c>
      <c r="K363" s="5" t="str">
        <f ca="1">IFERROR(__xludf.DUMMYFUNCTION("""COMPUTED_VALUE"""),"L")</f>
        <v>L</v>
      </c>
      <c r="L363" s="3" t="str">
        <f ca="1">IFERROR(__xludf.DUMMYFUNCTION("""COMPUTED_VALUE"""),"Pekalongan")</f>
        <v>Pekalongan</v>
      </c>
      <c r="M363" s="9">
        <f ca="1">IFERROR(__xludf.DUMMYFUNCTION("""COMPUTED_VALUE"""),30613)</f>
        <v>30613</v>
      </c>
      <c r="N363" s="4"/>
      <c r="O363" s="3" t="str">
        <f ca="1">IFERROR(__xludf.DUMMYFUNCTION("""COMPUTED_VALUE"""),"X")</f>
        <v>X</v>
      </c>
      <c r="P363" s="11">
        <f ca="1">IFERROR(__xludf.DUMMYFUNCTION("""COMPUTED_VALUE"""),45931)</f>
        <v>45931</v>
      </c>
      <c r="Q363" s="3" t="str">
        <f ca="1">IFERROR(__xludf.DUMMYFUNCTION("""COMPUTED_VALUE"""),"SK.P2-002275/B.II/KP.00.3/09/2025")</f>
        <v>SK.P2-002275/B.II/KP.00.3/09/2025</v>
      </c>
      <c r="R363" s="3" t="str">
        <f ca="1">IFERROR(__xludf.DUMMYFUNCTION("""COMPUTED_VALUE"""),"Asisten Ahli")</f>
        <v>Asisten Ahli</v>
      </c>
      <c r="S363" s="3" t="str">
        <f ca="1">IFERROR(__xludf.DUMMYFUNCTION("""COMPUTED_VALUE"""),"Asisten Ahli")</f>
        <v>Asisten Ahli</v>
      </c>
      <c r="T363" s="11">
        <f ca="1">IFERROR(__xludf.DUMMYFUNCTION("""COMPUTED_VALUE"""),45931)</f>
        <v>45931</v>
      </c>
      <c r="U363" s="3" t="str">
        <f ca="1">IFERROR(__xludf.DUMMYFUNCTION("""COMPUTED_VALUE"""),"SK.P2-002275/B.II/KP.00.3/09/2025")</f>
        <v>SK.P2-002275/B.II/KP.00.3/09/2025</v>
      </c>
      <c r="V363" s="7">
        <f ca="1">IFERROR(__xludf.DUMMYFUNCTION("""COMPUTED_VALUE"""),45922)</f>
        <v>45922</v>
      </c>
      <c r="W363" s="3">
        <f ca="1">IFERROR(__xludf.DUMMYFUNCTION("""COMPUTED_VALUE"""),9)</f>
        <v>9</v>
      </c>
      <c r="X363" s="3"/>
      <c r="Y363" s="3" t="str">
        <f ca="1">IFERROR(__xludf.DUMMYFUNCTION("""COMPUTED_VALUE"""),"S-2")</f>
        <v>S-2</v>
      </c>
      <c r="Z363" s="3" t="str">
        <f ca="1">IFERROR(__xludf.DUMMYFUNCTION("""COMPUTED_VALUE"""),"0 Tahun 3 Bulan 5 Hari")</f>
        <v>0 Tahun 3 Bulan 5 Hari</v>
      </c>
      <c r="AA363" s="8">
        <f ca="1">IFERROR(__xludf.DUMMYFUNCTION("""COMPUTED_VALUE"""),54363)</f>
        <v>54363</v>
      </c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4"/>
      <c r="AR363" s="3"/>
      <c r="AS363" s="4"/>
      <c r="AT363" s="3"/>
      <c r="AU363" s="3"/>
    </row>
    <row r="364" spans="1:47" x14ac:dyDescent="0.2">
      <c r="A364" s="12">
        <v>363</v>
      </c>
      <c r="B364" s="3" t="str">
        <f ca="1">IFERROR(__xludf.DUMMYFUNCTION("""COMPUTED_VALUE"""),"‌Benny Krisbiantoro")</f>
        <v>‌Benny Krisbiantoro</v>
      </c>
      <c r="C364" s="3" t="str">
        <f ca="1">IFERROR(__xludf.DUMMYFUNCTION("""COMPUTED_VALUE"""),"‌Benny Krisbiantoro, S.Pd., M.Pd.")</f>
        <v>‌Benny Krisbiantoro, S.Pd., M.Pd.</v>
      </c>
      <c r="D364" s="3" t="str">
        <f ca="1">IFERROR(__xludf.DUMMYFUNCTION("""COMPUTED_VALUE"""),"‌Benny Krisbiantoro, S.Pd., M.Pd.")</f>
        <v>‌Benny Krisbiantoro, S.Pd., M.Pd.</v>
      </c>
      <c r="E364" s="3" t="str">
        <f ca="1">IFERROR(__xludf.DUMMYFUNCTION("""COMPUTED_VALUE"""),"198506102025211065")</f>
        <v>198506102025211065</v>
      </c>
      <c r="F364" s="3" t="str">
        <f ca="1">IFERROR(__xludf.DUMMYFUNCTION("""COMPUTED_VALUE"""),"19850610 202521 1 065")</f>
        <v>19850610 202521 1 065</v>
      </c>
      <c r="G364" s="3"/>
      <c r="H364" s="3" t="str">
        <f ca="1">IFERROR(__xludf.DUMMYFUNCTION("""COMPUTED_VALUE"""),"6942763664130352")</f>
        <v>6942763664130352</v>
      </c>
      <c r="I364" s="3" t="str">
        <f ca="1">IFERROR(__xludf.DUMMYFUNCTION("""COMPUTED_VALUE"""),"PPPK")</f>
        <v>PPPK</v>
      </c>
      <c r="J364" s="3" t="str">
        <f ca="1">IFERROR(__xludf.DUMMYFUNCTION("""COMPUTED_VALUE"""),"Dosen PPPK")</f>
        <v>Dosen PPPK</v>
      </c>
      <c r="K364" s="5" t="str">
        <f ca="1">IFERROR(__xludf.DUMMYFUNCTION("""COMPUTED_VALUE"""),"L")</f>
        <v>L</v>
      </c>
      <c r="L364" s="3" t="str">
        <f ca="1">IFERROR(__xludf.DUMMYFUNCTION("""COMPUTED_VALUE"""),"Brebes")</f>
        <v>Brebes</v>
      </c>
      <c r="M364" s="7">
        <f ca="1">IFERROR(__xludf.DUMMYFUNCTION("""COMPUTED_VALUE"""),31208)</f>
        <v>31208</v>
      </c>
      <c r="N364" s="4"/>
      <c r="O364" s="3" t="str">
        <f ca="1">IFERROR(__xludf.DUMMYFUNCTION("""COMPUTED_VALUE"""),"X")</f>
        <v>X</v>
      </c>
      <c r="P364" s="11">
        <f ca="1">IFERROR(__xludf.DUMMYFUNCTION("""COMPUTED_VALUE"""),45931)</f>
        <v>45931</v>
      </c>
      <c r="Q364" s="3" t="str">
        <f ca="1">IFERROR(__xludf.DUMMYFUNCTION("""COMPUTED_VALUE"""),"SK.P2-002272/B.II/KP.00.3/09/2025")</f>
        <v>SK.P2-002272/B.II/KP.00.3/09/2025</v>
      </c>
      <c r="R364" s="3" t="str">
        <f ca="1">IFERROR(__xludf.DUMMYFUNCTION("""COMPUTED_VALUE"""),"Asisten Ahli")</f>
        <v>Asisten Ahli</v>
      </c>
      <c r="S364" s="3" t="str">
        <f ca="1">IFERROR(__xludf.DUMMYFUNCTION("""COMPUTED_VALUE"""),"Asisten Ahli")</f>
        <v>Asisten Ahli</v>
      </c>
      <c r="T364" s="11">
        <f ca="1">IFERROR(__xludf.DUMMYFUNCTION("""COMPUTED_VALUE"""),45931)</f>
        <v>45931</v>
      </c>
      <c r="U364" s="3" t="str">
        <f ca="1">IFERROR(__xludf.DUMMYFUNCTION("""COMPUTED_VALUE"""),"SK.P2-002272/B.II/KP.00.3/09/2025")</f>
        <v>SK.P2-002272/B.II/KP.00.3/09/2025</v>
      </c>
      <c r="V364" s="7">
        <f ca="1">IFERROR(__xludf.DUMMYFUNCTION("""COMPUTED_VALUE"""),45922)</f>
        <v>45922</v>
      </c>
      <c r="W364" s="3">
        <f ca="1">IFERROR(__xludf.DUMMYFUNCTION("""COMPUTED_VALUE"""),9)</f>
        <v>9</v>
      </c>
      <c r="X364" s="3"/>
      <c r="Y364" s="3" t="str">
        <f ca="1">IFERROR(__xludf.DUMMYFUNCTION("""COMPUTED_VALUE"""),"S-2")</f>
        <v>S-2</v>
      </c>
      <c r="Z364" s="3" t="str">
        <f ca="1">IFERROR(__xludf.DUMMYFUNCTION("""COMPUTED_VALUE"""),"0 Tahun 3 Bulan 5 Hari")</f>
        <v>0 Tahun 3 Bulan 5 Hari</v>
      </c>
      <c r="AA364" s="8">
        <f ca="1">IFERROR(__xludf.DUMMYFUNCTION("""COMPUTED_VALUE"""),54970)</f>
        <v>54970</v>
      </c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4"/>
      <c r="AR364" s="3"/>
      <c r="AS364" s="4"/>
      <c r="AT364" s="3"/>
      <c r="AU364" s="3"/>
    </row>
    <row r="365" spans="1:47" x14ac:dyDescent="0.2">
      <c r="A365" s="12">
        <v>364</v>
      </c>
      <c r="B365" s="3" t="str">
        <f ca="1">IFERROR(__xludf.DUMMYFUNCTION("""COMPUTED_VALUE"""),"Rudy Kristyanto Prabowo")</f>
        <v>Rudy Kristyanto Prabowo</v>
      </c>
      <c r="C365" s="3" t="str">
        <f ca="1">IFERROR(__xludf.DUMMYFUNCTION("""COMPUTED_VALUE"""),"Rudy Kristyanto Prabowo, M.Pd.")</f>
        <v>Rudy Kristyanto Prabowo, M.Pd.</v>
      </c>
      <c r="D365" s="3" t="str">
        <f ca="1">IFERROR(__xludf.DUMMYFUNCTION("""COMPUTED_VALUE"""),"Rudy Kristyanto Prabowo, M.Pd.")</f>
        <v>Rudy Kristyanto Prabowo, M.Pd.</v>
      </c>
      <c r="E365" s="3" t="str">
        <f ca="1">IFERROR(__xludf.DUMMYFUNCTION("""COMPUTED_VALUE"""),"198403082025211055")</f>
        <v>198403082025211055</v>
      </c>
      <c r="F365" s="3" t="str">
        <f ca="1">IFERROR(__xludf.DUMMYFUNCTION("""COMPUTED_VALUE"""),"198403082025211055")</f>
        <v>198403082025211055</v>
      </c>
      <c r="G365" s="3"/>
      <c r="H365" s="3"/>
      <c r="I365" s="3" t="str">
        <f ca="1">IFERROR(__xludf.DUMMYFUNCTION("""COMPUTED_VALUE"""),"PPPK")</f>
        <v>PPPK</v>
      </c>
      <c r="J365" s="3" t="str">
        <f ca="1">IFERROR(__xludf.DUMMYFUNCTION("""COMPUTED_VALUE"""),"Dosen PPPK")</f>
        <v>Dosen PPPK</v>
      </c>
      <c r="K365" s="5" t="str">
        <f ca="1">IFERROR(__xludf.DUMMYFUNCTION("""COMPUTED_VALUE"""),"L")</f>
        <v>L</v>
      </c>
      <c r="L365" s="3" t="str">
        <f ca="1">IFERROR(__xludf.DUMMYFUNCTION("""COMPUTED_VALUE"""),"Kota Pekalongan")</f>
        <v>Kota Pekalongan</v>
      </c>
      <c r="M365" s="7">
        <f ca="1">IFERROR(__xludf.DUMMYFUNCTION("""COMPUTED_VALUE"""),30749)</f>
        <v>30749</v>
      </c>
      <c r="N365" s="4"/>
      <c r="O365" s="3" t="str">
        <f ca="1">IFERROR(__xludf.DUMMYFUNCTION("""COMPUTED_VALUE"""),"X")</f>
        <v>X</v>
      </c>
      <c r="P365" s="11">
        <f ca="1">IFERROR(__xludf.DUMMYFUNCTION("""COMPUTED_VALUE"""),45931)</f>
        <v>45931</v>
      </c>
      <c r="Q365" s="3" t="str">
        <f ca="1">IFERROR(__xludf.DUMMYFUNCTION("""COMPUTED_VALUE"""),"SK.P2A-000412/B.II/KP.00.3/09/2025")</f>
        <v>SK.P2A-000412/B.II/KP.00.3/09/2025</v>
      </c>
      <c r="R365" s="3" t="str">
        <f ca="1">IFERROR(__xludf.DUMMYFUNCTION("""COMPUTED_VALUE"""),"Asisten Ahli")</f>
        <v>Asisten Ahli</v>
      </c>
      <c r="S365" s="3" t="str">
        <f ca="1">IFERROR(__xludf.DUMMYFUNCTION("""COMPUTED_VALUE"""),"Asisten Ahli")</f>
        <v>Asisten Ahli</v>
      </c>
      <c r="T365" s="11">
        <f ca="1">IFERROR(__xludf.DUMMYFUNCTION("""COMPUTED_VALUE"""),45931)</f>
        <v>45931</v>
      </c>
      <c r="U365" s="3" t="str">
        <f ca="1">IFERROR(__xludf.DUMMYFUNCTION("""COMPUTED_VALUE"""),"SK.P2A-000412/B.II/KP.00.3/09/2025")</f>
        <v>SK.P2A-000412/B.II/KP.00.3/09/2025</v>
      </c>
      <c r="V365" s="7">
        <f ca="1">IFERROR(__xludf.DUMMYFUNCTION("""COMPUTED_VALUE"""),45929)</f>
        <v>45929</v>
      </c>
      <c r="W365" s="3">
        <f ca="1">IFERROR(__xludf.DUMMYFUNCTION("""COMPUTED_VALUE"""),9)</f>
        <v>9</v>
      </c>
      <c r="X365" s="3"/>
      <c r="Y365" s="3" t="str">
        <f ca="1">IFERROR(__xludf.DUMMYFUNCTION("""COMPUTED_VALUE"""),"S-2")</f>
        <v>S-2</v>
      </c>
      <c r="Z365" s="3" t="str">
        <f ca="1">IFERROR(__xludf.DUMMYFUNCTION("""COMPUTED_VALUE"""),"0 Tahun 2 Bulan 1 Hari")</f>
        <v>0 Tahun 2 Bulan 1 Hari</v>
      </c>
      <c r="AA365" s="8">
        <f ca="1">IFERROR(__xludf.DUMMYFUNCTION("""COMPUTED_VALUE"""),54514)</f>
        <v>54514</v>
      </c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4"/>
      <c r="AR365" s="3"/>
      <c r="AS365" s="4"/>
      <c r="AT365" s="3"/>
      <c r="AU365" s="3"/>
    </row>
    <row r="366" spans="1:47" x14ac:dyDescent="0.2">
      <c r="A366" s="12">
        <v>365</v>
      </c>
      <c r="B366" s="3" t="str">
        <f ca="1">IFERROR(__xludf.DUMMYFUNCTION("""COMPUTED_VALUE"""),"Afrian Restu Utama")</f>
        <v>Afrian Restu Utama</v>
      </c>
      <c r="C366" s="3" t="str">
        <f ca="1">IFERROR(__xludf.DUMMYFUNCTION("""COMPUTED_VALUE"""),"Afrian Restu Utama, M.Pd.")</f>
        <v>Afrian Restu Utama, M.Pd.</v>
      </c>
      <c r="D366" s="3" t="str">
        <f ca="1">IFERROR(__xludf.DUMMYFUNCTION("""COMPUTED_VALUE"""),"Afrian Restu Utama, M.Pd.")</f>
        <v>Afrian Restu Utama, M.Pd.</v>
      </c>
      <c r="E366" s="3" t="str">
        <f ca="1">IFERROR(__xludf.DUMMYFUNCTION("""COMPUTED_VALUE"""),"199204252025211067")</f>
        <v>199204252025211067</v>
      </c>
      <c r="F366" s="3" t="str">
        <f ca="1">IFERROR(__xludf.DUMMYFUNCTION("""COMPUTED_VALUE"""),"199204252025211067")</f>
        <v>199204252025211067</v>
      </c>
      <c r="G366" s="3"/>
      <c r="H366" s="3"/>
      <c r="I366" s="3" t="str">
        <f ca="1">IFERROR(__xludf.DUMMYFUNCTION("""COMPUTED_VALUE"""),"PPPK")</f>
        <v>PPPK</v>
      </c>
      <c r="J366" s="3" t="str">
        <f ca="1">IFERROR(__xludf.DUMMYFUNCTION("""COMPUTED_VALUE"""),"Dosen PPPK")</f>
        <v>Dosen PPPK</v>
      </c>
      <c r="K366" s="5" t="str">
        <f ca="1">IFERROR(__xludf.DUMMYFUNCTION("""COMPUTED_VALUE"""),"L")</f>
        <v>L</v>
      </c>
      <c r="L366" s="3" t="str">
        <f ca="1">IFERROR(__xludf.DUMMYFUNCTION("""COMPUTED_VALUE"""),"Kebumen")</f>
        <v>Kebumen</v>
      </c>
      <c r="M366" s="7">
        <f ca="1">IFERROR(__xludf.DUMMYFUNCTION("""COMPUTED_VALUE"""),33719)</f>
        <v>33719</v>
      </c>
      <c r="N366" s="4"/>
      <c r="O366" s="3" t="str">
        <f ca="1">IFERROR(__xludf.DUMMYFUNCTION("""COMPUTED_VALUE"""),"X")</f>
        <v>X</v>
      </c>
      <c r="P366" s="11">
        <f ca="1">IFERROR(__xludf.DUMMYFUNCTION("""COMPUTED_VALUE"""),45931)</f>
        <v>45931</v>
      </c>
      <c r="Q366" s="3" t="str">
        <f ca="1">IFERROR(__xludf.DUMMYFUNCTION("""COMPUTED_VALUE"""),"SK.P2A-000411/B.II/KP.00.3/09/2025")</f>
        <v>SK.P2A-000411/B.II/KP.00.3/09/2025</v>
      </c>
      <c r="R366" s="3" t="str">
        <f ca="1">IFERROR(__xludf.DUMMYFUNCTION("""COMPUTED_VALUE"""),"Asisten Ahli")</f>
        <v>Asisten Ahli</v>
      </c>
      <c r="S366" s="3" t="str">
        <f ca="1">IFERROR(__xludf.DUMMYFUNCTION("""COMPUTED_VALUE"""),"Asisten Ahli")</f>
        <v>Asisten Ahli</v>
      </c>
      <c r="T366" s="11">
        <f ca="1">IFERROR(__xludf.DUMMYFUNCTION("""COMPUTED_VALUE"""),45931)</f>
        <v>45931</v>
      </c>
      <c r="U366" s="3" t="str">
        <f ca="1">IFERROR(__xludf.DUMMYFUNCTION("""COMPUTED_VALUE"""),"SK.P2A-000411/B.II/KP.00.3/09/2025")</f>
        <v>SK.P2A-000411/B.II/KP.00.3/09/2025</v>
      </c>
      <c r="V366" s="7">
        <f ca="1">IFERROR(__xludf.DUMMYFUNCTION("""COMPUTED_VALUE"""),45929)</f>
        <v>45929</v>
      </c>
      <c r="W366" s="3">
        <f ca="1">IFERROR(__xludf.DUMMYFUNCTION("""COMPUTED_VALUE"""),9)</f>
        <v>9</v>
      </c>
      <c r="X366" s="3"/>
      <c r="Y366" s="3" t="str">
        <f ca="1">IFERROR(__xludf.DUMMYFUNCTION("""COMPUTED_VALUE"""),"S-2")</f>
        <v>S-2</v>
      </c>
      <c r="Z366" s="3" t="str">
        <f ca="1">IFERROR(__xludf.DUMMYFUNCTION("""COMPUTED_VALUE"""),"0 Tahun 2 Bulan 1 Hari")</f>
        <v>0 Tahun 2 Bulan 1 Hari</v>
      </c>
      <c r="AA366" s="8">
        <f ca="1">IFERROR(__xludf.DUMMYFUNCTION("""COMPUTED_VALUE"""),57466)</f>
        <v>57466</v>
      </c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4"/>
      <c r="AR366" s="3"/>
      <c r="AS366" s="4"/>
      <c r="AT366" s="3"/>
      <c r="AU366" s="3"/>
    </row>
    <row r="367" spans="1:47" x14ac:dyDescent="0.2">
      <c r="A367" s="12">
        <v>366</v>
      </c>
      <c r="B367" s="3" t="str">
        <f ca="1">IFERROR(__xludf.DUMMYFUNCTION("""COMPUTED_VALUE"""),"Lusiana Indra Sari")</f>
        <v>Lusiana Indra Sari</v>
      </c>
      <c r="C367" s="3" t="str">
        <f ca="1">IFERROR(__xludf.DUMMYFUNCTION("""COMPUTED_VALUE"""),"Lusiana Indra Sari, M.Pd.")</f>
        <v>Lusiana Indra Sari, M.Pd.</v>
      </c>
      <c r="D367" s="3" t="str">
        <f ca="1">IFERROR(__xludf.DUMMYFUNCTION("""COMPUTED_VALUE"""),"Lusiana Indra Sari, M.Pd.")</f>
        <v>Lusiana Indra Sari, M.Pd.</v>
      </c>
      <c r="E367" s="3" t="str">
        <f ca="1">IFERROR(__xludf.DUMMYFUNCTION("""COMPUTED_VALUE"""),"198705192025212071")</f>
        <v>198705192025212071</v>
      </c>
      <c r="F367" s="3" t="str">
        <f ca="1">IFERROR(__xludf.DUMMYFUNCTION("""COMPUTED_VALUE"""),"198705192025212071")</f>
        <v>198705192025212071</v>
      </c>
      <c r="G367" s="3"/>
      <c r="H367" s="3"/>
      <c r="I367" s="3" t="str">
        <f ca="1">IFERROR(__xludf.DUMMYFUNCTION("""COMPUTED_VALUE"""),"PPPK")</f>
        <v>PPPK</v>
      </c>
      <c r="J367" s="3" t="str">
        <f ca="1">IFERROR(__xludf.DUMMYFUNCTION("""COMPUTED_VALUE"""),"Dosen PPPK")</f>
        <v>Dosen PPPK</v>
      </c>
      <c r="K367" s="5" t="str">
        <f ca="1">IFERROR(__xludf.DUMMYFUNCTION("""COMPUTED_VALUE"""),"P")</f>
        <v>P</v>
      </c>
      <c r="L367" s="3" t="str">
        <f ca="1">IFERROR(__xludf.DUMMYFUNCTION("""COMPUTED_VALUE"""),"Banyumas")</f>
        <v>Banyumas</v>
      </c>
      <c r="M367" s="7">
        <f ca="1">IFERROR(__xludf.DUMMYFUNCTION("""COMPUTED_VALUE"""),31916)</f>
        <v>31916</v>
      </c>
      <c r="N367" s="4"/>
      <c r="O367" s="3"/>
      <c r="P367" s="11">
        <f ca="1">IFERROR(__xludf.DUMMYFUNCTION("""COMPUTED_VALUE"""),45931)</f>
        <v>45931</v>
      </c>
      <c r="Q367" s="3" t="str">
        <f ca="1">IFERROR(__xludf.DUMMYFUNCTION("""COMPUTED_VALUE"""),"SK.PW-000617/B.II/KP.00.3/09/2025")</f>
        <v>SK.PW-000617/B.II/KP.00.3/09/2025</v>
      </c>
      <c r="R367" s="3" t="str">
        <f ca="1">IFERROR(__xludf.DUMMYFUNCTION("""COMPUTED_VALUE"""),"Asisten Ahli")</f>
        <v>Asisten Ahli</v>
      </c>
      <c r="S367" s="3" t="str">
        <f ca="1">IFERROR(__xludf.DUMMYFUNCTION("""COMPUTED_VALUE"""),"Asisten Ahli")</f>
        <v>Asisten Ahli</v>
      </c>
      <c r="T367" s="11">
        <f ca="1">IFERROR(__xludf.DUMMYFUNCTION("""COMPUTED_VALUE"""),45931)</f>
        <v>45931</v>
      </c>
      <c r="U367" s="3" t="str">
        <f ca="1">IFERROR(__xludf.DUMMYFUNCTION("""COMPUTED_VALUE"""),"SK.PW-000617/B.II/KP.00.3/09/2025")</f>
        <v>SK.PW-000617/B.II/KP.00.3/09/2025</v>
      </c>
      <c r="V367" s="7">
        <f ca="1">IFERROR(__xludf.DUMMYFUNCTION("""COMPUTED_VALUE"""),45929)</f>
        <v>45929</v>
      </c>
      <c r="W367" s="3">
        <f ca="1">IFERROR(__xludf.DUMMYFUNCTION("""COMPUTED_VALUE"""),9)</f>
        <v>9</v>
      </c>
      <c r="X367" s="3"/>
      <c r="Y367" s="3" t="str">
        <f ca="1">IFERROR(__xludf.DUMMYFUNCTION("""COMPUTED_VALUE"""),"S-2")</f>
        <v>S-2</v>
      </c>
      <c r="Z367" s="3" t="str">
        <f ca="1">IFERROR(__xludf.DUMMYFUNCTION("""COMPUTED_VALUE"""),"0 Tahun 2 Bulan 1 Hari")</f>
        <v>0 Tahun 2 Bulan 1 Hari</v>
      </c>
      <c r="AA367" s="8">
        <f ca="1">IFERROR(__xludf.DUMMYFUNCTION("""COMPUTED_VALUE"""),55671)</f>
        <v>55671</v>
      </c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4"/>
      <c r="AR367" s="3"/>
      <c r="AS367" s="4"/>
      <c r="AT367" s="3"/>
      <c r="AU367" s="3"/>
    </row>
    <row r="368" spans="1:47" x14ac:dyDescent="0.2">
      <c r="A368" s="12">
        <v>367</v>
      </c>
      <c r="B368" s="3" t="str">
        <f ca="1">IFERROR(__xludf.DUMMYFUNCTION("""COMPUTED_VALUE"""),"Adi Gunawan")</f>
        <v>Adi Gunawan</v>
      </c>
      <c r="C368" s="3" t="str">
        <f ca="1">IFERROR(__xludf.DUMMYFUNCTION("""COMPUTED_VALUE"""),"Adi Gunawan, S.H.I.")</f>
        <v>Adi Gunawan, S.H.I.</v>
      </c>
      <c r="D368" s="3" t="str">
        <f ca="1">IFERROR(__xludf.DUMMYFUNCTION("""COMPUTED_VALUE"""),"Adi Gunawan, S.H.I.")</f>
        <v>Adi Gunawan, S.H.I.</v>
      </c>
      <c r="E368" s="3" t="str">
        <f ca="1">IFERROR(__xludf.DUMMYFUNCTION("""COMPUTED_VALUE"""),"198009142023211006")</f>
        <v>198009142023211006</v>
      </c>
      <c r="F368" s="3" t="str">
        <f ca="1">IFERROR(__xludf.DUMMYFUNCTION("""COMPUTED_VALUE"""),"19800914 202321 1 006")</f>
        <v>19800914 202321 1 006</v>
      </c>
      <c r="G368" s="3"/>
      <c r="H368" s="3"/>
      <c r="I368" s="3" t="str">
        <f ca="1">IFERROR(__xludf.DUMMYFUNCTION("""COMPUTED_VALUE"""),"PPPK")</f>
        <v>PPPK</v>
      </c>
      <c r="J368" s="3" t="str">
        <f ca="1">IFERROR(__xludf.DUMMYFUNCTION("""COMPUTED_VALUE"""),"Pegawai PPPK")</f>
        <v>Pegawai PPPK</v>
      </c>
      <c r="K368" s="5" t="str">
        <f ca="1">IFERROR(__xludf.DUMMYFUNCTION("""COMPUTED_VALUE"""),"L")</f>
        <v>L</v>
      </c>
      <c r="L368" s="3" t="str">
        <f ca="1">IFERROR(__xludf.DUMMYFUNCTION("""COMPUTED_VALUE"""),"Banyumas")</f>
        <v>Banyumas</v>
      </c>
      <c r="M368" s="11">
        <f ca="1">IFERROR(__xludf.DUMMYFUNCTION("""COMPUTED_VALUE"""),29478)</f>
        <v>29478</v>
      </c>
      <c r="N368" s="4"/>
      <c r="O368" s="3" t="str">
        <f ca="1">IFERROR(__xludf.DUMMYFUNCTION("""COMPUTED_VALUE"""),"IX")</f>
        <v>IX</v>
      </c>
      <c r="P368" s="7">
        <f ca="1">IFERROR(__xludf.DUMMYFUNCTION("""COMPUTED_VALUE"""),45139)</f>
        <v>45139</v>
      </c>
      <c r="Q368" s="3" t="str">
        <f ca="1">IFERROR(__xludf.DUMMYFUNCTION("""COMPUTED_VALUE"""),"991/Un.19/K.AUPK/KP.00.3/07/2023")</f>
        <v>991/Un.19/K.AUPK/KP.00.3/07/2023</v>
      </c>
      <c r="R368" s="3" t="str">
        <f ca="1">IFERROR(__xludf.DUMMYFUNCTION("""COMPUTED_VALUE"""),"Pengembang Teknologi Pembelajaran")</f>
        <v>Pengembang Teknologi Pembelajaran</v>
      </c>
      <c r="S368" s="3" t="str">
        <f ca="1">IFERROR(__xludf.DUMMYFUNCTION("""COMPUTED_VALUE"""),"Ahli Pertama")</f>
        <v>Ahli Pertama</v>
      </c>
      <c r="T368" s="7">
        <f ca="1">IFERROR(__xludf.DUMMYFUNCTION("""COMPUTED_VALUE"""),45139)</f>
        <v>45139</v>
      </c>
      <c r="U368" s="3"/>
      <c r="V368" s="7">
        <f ca="1">IFERROR(__xludf.DUMMYFUNCTION("""COMPUTED_VALUE"""),45138)</f>
        <v>45138</v>
      </c>
      <c r="W368" s="3">
        <f ca="1">IFERROR(__xludf.DUMMYFUNCTION("""COMPUTED_VALUE"""),8)</f>
        <v>8</v>
      </c>
      <c r="X368" s="3"/>
      <c r="Y368" s="3" t="str">
        <f ca="1">IFERROR(__xludf.DUMMYFUNCTION("""COMPUTED_VALUE"""),"S-1")</f>
        <v>S-1</v>
      </c>
      <c r="Z368" s="3" t="str">
        <f ca="1">IFERROR(__xludf.DUMMYFUNCTION("""COMPUTED_VALUE"""),"2 Tahun 4 Bulan 27 Hari")</f>
        <v>2 Tahun 4 Bulan 27 Hari</v>
      </c>
      <c r="AA368" s="8">
        <f ca="1">IFERROR(__xludf.DUMMYFUNCTION("""COMPUTED_VALUE"""),50679)</f>
        <v>50679</v>
      </c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4"/>
      <c r="AR368" s="3"/>
      <c r="AS368" s="4"/>
      <c r="AT368" s="3"/>
      <c r="AU368" s="3"/>
    </row>
    <row r="369" spans="1:47" x14ac:dyDescent="0.2">
      <c r="A369" s="12">
        <v>368</v>
      </c>
      <c r="B369" s="3" t="str">
        <f ca="1">IFERROR(__xludf.DUMMYFUNCTION("""COMPUTED_VALUE"""),"Adil Mu'allim")</f>
        <v>Adil Mu'allim</v>
      </c>
      <c r="C369" s="3" t="str">
        <f ca="1">IFERROR(__xludf.DUMMYFUNCTION("""COMPUTED_VALUE"""),"Adil Mu'allim, S.Kom.")</f>
        <v>Adil Mu'allim, S.Kom.</v>
      </c>
      <c r="D369" s="3" t="str">
        <f ca="1">IFERROR(__xludf.DUMMYFUNCTION("""COMPUTED_VALUE"""),"Adil Mu'allim, S.Kom.")</f>
        <v>Adil Mu'allim, S.Kom.</v>
      </c>
      <c r="E369" s="3" t="str">
        <f ca="1">IFERROR(__xludf.DUMMYFUNCTION("""COMPUTED_VALUE"""),"197802282025211011")</f>
        <v>197802282025211011</v>
      </c>
      <c r="F369" s="3" t="str">
        <f ca="1">IFERROR(__xludf.DUMMYFUNCTION("""COMPUTED_VALUE"""),"19780228 202521 1 011")</f>
        <v>19780228 202521 1 011</v>
      </c>
      <c r="G369" s="3"/>
      <c r="H369" s="3"/>
      <c r="I369" s="3" t="str">
        <f ca="1">IFERROR(__xludf.DUMMYFUNCTION("""COMPUTED_VALUE"""),"PPPK")</f>
        <v>PPPK</v>
      </c>
      <c r="J369" s="3" t="str">
        <f ca="1">IFERROR(__xludf.DUMMYFUNCTION("""COMPUTED_VALUE"""),"Pegawai PPPK")</f>
        <v>Pegawai PPPK</v>
      </c>
      <c r="K369" s="5" t="str">
        <f ca="1">IFERROR(__xludf.DUMMYFUNCTION("""COMPUTED_VALUE"""),"L")</f>
        <v>L</v>
      </c>
      <c r="L369" s="3" t="str">
        <f ca="1">IFERROR(__xludf.DUMMYFUNCTION("""COMPUTED_VALUE"""),"Banyumas")</f>
        <v>Banyumas</v>
      </c>
      <c r="M369" s="11">
        <f ca="1">IFERROR(__xludf.DUMMYFUNCTION("""COMPUTED_VALUE"""),28549)</f>
        <v>28549</v>
      </c>
      <c r="N369" s="4"/>
      <c r="O369" s="3" t="str">
        <f ca="1">IFERROR(__xludf.DUMMYFUNCTION("""COMPUTED_VALUE"""),"IX")</f>
        <v>IX</v>
      </c>
      <c r="P369" s="7">
        <f ca="1">IFERROR(__xludf.DUMMYFUNCTION("""COMPUTED_VALUE"""),45717)</f>
        <v>45717</v>
      </c>
      <c r="Q369" s="3" t="str">
        <f ca="1">IFERROR(__xludf.DUMMYFUNCTION("""COMPUTED_VALUE"""),"287.28/Un.19/K.AUPK/KP.01.3/02/2025")</f>
        <v>287.28/Un.19/K.AUPK/KP.01.3/02/2025</v>
      </c>
      <c r="R369" s="3" t="str">
        <f ca="1">IFERROR(__xludf.DUMMYFUNCTION("""COMPUTED_VALUE"""),"Pranata Komputer")</f>
        <v>Pranata Komputer</v>
      </c>
      <c r="S369" s="3" t="str">
        <f ca="1">IFERROR(__xludf.DUMMYFUNCTION("""COMPUTED_VALUE"""),"Ahli Pertama")</f>
        <v>Ahli Pertama</v>
      </c>
      <c r="T369" s="7">
        <f ca="1">IFERROR(__xludf.DUMMYFUNCTION("""COMPUTED_VALUE"""),45717)</f>
        <v>45717</v>
      </c>
      <c r="U369" s="3"/>
      <c r="V369" s="7">
        <f ca="1">IFERROR(__xludf.DUMMYFUNCTION("""COMPUTED_VALUE"""),45716)</f>
        <v>45716</v>
      </c>
      <c r="W369" s="3">
        <f ca="1">IFERROR(__xludf.DUMMYFUNCTION("""COMPUTED_VALUE"""),8)</f>
        <v>8</v>
      </c>
      <c r="X369" s="3"/>
      <c r="Y369" s="3" t="str">
        <f ca="1">IFERROR(__xludf.DUMMYFUNCTION("""COMPUTED_VALUE"""),"S-1")</f>
        <v>S-1</v>
      </c>
      <c r="Z369" s="3" t="str">
        <f ca="1">IFERROR(__xludf.DUMMYFUNCTION("""COMPUTED_VALUE"""),"0 Tahun 8 Bulan 1 Hari")</f>
        <v>0 Tahun 8 Bulan 1 Hari</v>
      </c>
      <c r="AA369" s="8">
        <f ca="1">IFERROR(__xludf.DUMMYFUNCTION("""COMPUTED_VALUE"""),49735)</f>
        <v>49735</v>
      </c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4"/>
      <c r="AR369" s="3"/>
      <c r="AS369" s="4"/>
      <c r="AT369" s="3"/>
      <c r="AU369" s="3"/>
    </row>
    <row r="370" spans="1:47" x14ac:dyDescent="0.2">
      <c r="A370" s="12">
        <v>369</v>
      </c>
      <c r="B370" s="3" t="str">
        <f ca="1">IFERROR(__xludf.DUMMYFUNCTION("""COMPUTED_VALUE"""),"Afif Kurniawan")</f>
        <v>Afif Kurniawan</v>
      </c>
      <c r="C370" s="3" t="str">
        <f ca="1">IFERROR(__xludf.DUMMYFUNCTION("""COMPUTED_VALUE"""),"Afif Kurniawan, S.Kom.I.")</f>
        <v>Afif Kurniawan, S.Kom.I.</v>
      </c>
      <c r="D370" s="3" t="str">
        <f ca="1">IFERROR(__xludf.DUMMYFUNCTION("""COMPUTED_VALUE"""),"Afif Kurniawan, S.Kom.I.")</f>
        <v>Afif Kurniawan, S.Kom.I.</v>
      </c>
      <c r="E370" s="3" t="str">
        <f ca="1">IFERROR(__xludf.DUMMYFUNCTION("""COMPUTED_VALUE"""),"198505082024211009")</f>
        <v>198505082024211009</v>
      </c>
      <c r="F370" s="3" t="str">
        <f ca="1">IFERROR(__xludf.DUMMYFUNCTION("""COMPUTED_VALUE"""),"19850508 202421 1 009")</f>
        <v>19850508 202421 1 009</v>
      </c>
      <c r="G370" s="3"/>
      <c r="H370" s="3"/>
      <c r="I370" s="3" t="str">
        <f ca="1">IFERROR(__xludf.DUMMYFUNCTION("""COMPUTED_VALUE"""),"PPPK")</f>
        <v>PPPK</v>
      </c>
      <c r="J370" s="3" t="str">
        <f ca="1">IFERROR(__xludf.DUMMYFUNCTION("""COMPUTED_VALUE"""),"Pegawai PPPK")</f>
        <v>Pegawai PPPK</v>
      </c>
      <c r="K370" s="5" t="str">
        <f ca="1">IFERROR(__xludf.DUMMYFUNCTION("""COMPUTED_VALUE"""),"L")</f>
        <v>L</v>
      </c>
      <c r="L370" s="3" t="str">
        <f ca="1">IFERROR(__xludf.DUMMYFUNCTION("""COMPUTED_VALUE"""),"Banyumas")</f>
        <v>Banyumas</v>
      </c>
      <c r="M370" s="11">
        <f ca="1">IFERROR(__xludf.DUMMYFUNCTION("""COMPUTED_VALUE"""),31175)</f>
        <v>31175</v>
      </c>
      <c r="N370" s="4"/>
      <c r="O370" s="3" t="str">
        <f ca="1">IFERROR(__xludf.DUMMYFUNCTION("""COMPUTED_VALUE"""),"IX")</f>
        <v>IX</v>
      </c>
      <c r="P370" s="7">
        <f ca="1">IFERROR(__xludf.DUMMYFUNCTION("""COMPUTED_VALUE"""),45352)</f>
        <v>45352</v>
      </c>
      <c r="Q370" s="3" t="str">
        <f ca="1">IFERROR(__xludf.DUMMYFUNCTION("""COMPUTED_VALUE"""),"495.6/Un.19/K.AUPK/KP.00.3/02/2024")</f>
        <v>495.6/Un.19/K.AUPK/KP.00.3/02/2024</v>
      </c>
      <c r="R370" s="3" t="str">
        <f ca="1">IFERROR(__xludf.DUMMYFUNCTION("""COMPUTED_VALUE"""),"Pranata Hubungan Masyarakat")</f>
        <v>Pranata Hubungan Masyarakat</v>
      </c>
      <c r="S370" s="3" t="str">
        <f ca="1">IFERROR(__xludf.DUMMYFUNCTION("""COMPUTED_VALUE"""),"Ahli Pertama")</f>
        <v>Ahli Pertama</v>
      </c>
      <c r="T370" s="7">
        <f ca="1">IFERROR(__xludf.DUMMYFUNCTION("""COMPUTED_VALUE"""),45352)</f>
        <v>45352</v>
      </c>
      <c r="U370" s="3"/>
      <c r="V370" s="7">
        <f ca="1">IFERROR(__xludf.DUMMYFUNCTION("""COMPUTED_VALUE"""),45351)</f>
        <v>45351</v>
      </c>
      <c r="W370" s="3">
        <f ca="1">IFERROR(__xludf.DUMMYFUNCTION("""COMPUTED_VALUE"""),8)</f>
        <v>8</v>
      </c>
      <c r="X370" s="3"/>
      <c r="Y370" s="3" t="str">
        <f ca="1">IFERROR(__xludf.DUMMYFUNCTION("""COMPUTED_VALUE"""),"S-1")</f>
        <v>S-1</v>
      </c>
      <c r="Z370" s="3" t="str">
        <f ca="1">IFERROR(__xludf.DUMMYFUNCTION("""COMPUTED_VALUE"""),"1 Tahun 8 Bulan 27 Hari")</f>
        <v>1 Tahun 8 Bulan 27 Hari</v>
      </c>
      <c r="AA370" s="8">
        <f ca="1">IFERROR(__xludf.DUMMYFUNCTION("""COMPUTED_VALUE"""),52383)</f>
        <v>52383</v>
      </c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4"/>
      <c r="AR370" s="3"/>
      <c r="AS370" s="4"/>
      <c r="AT370" s="3"/>
      <c r="AU370" s="3"/>
    </row>
    <row r="371" spans="1:47" x14ac:dyDescent="0.2">
      <c r="A371" s="12">
        <v>370</v>
      </c>
      <c r="B371" s="3" t="str">
        <f ca="1">IFERROR(__xludf.DUMMYFUNCTION("""COMPUTED_VALUE"""),"Alfa Rizka Nurlaila")</f>
        <v>Alfa Rizka Nurlaila</v>
      </c>
      <c r="C371" s="3" t="str">
        <f ca="1">IFERROR(__xludf.DUMMYFUNCTION("""COMPUTED_VALUE"""),"Alfa Rizka Nurlaila, S.E.Sy.")</f>
        <v>Alfa Rizka Nurlaila, S.E.Sy.</v>
      </c>
      <c r="D371" s="3" t="str">
        <f ca="1">IFERROR(__xludf.DUMMYFUNCTION("""COMPUTED_VALUE"""),"Alfa Rizka Nurlaila, S.E.Sy., M.E.")</f>
        <v>Alfa Rizka Nurlaila, S.E.Sy., M.E.</v>
      </c>
      <c r="E371" s="3" t="str">
        <f ca="1">IFERROR(__xludf.DUMMYFUNCTION("""COMPUTED_VALUE"""),"199308162025212008")</f>
        <v>199308162025212008</v>
      </c>
      <c r="F371" s="3" t="str">
        <f ca="1">IFERROR(__xludf.DUMMYFUNCTION("""COMPUTED_VALUE"""),"19930816 202521 2 008")</f>
        <v>19930816 202521 2 008</v>
      </c>
      <c r="G371" s="3"/>
      <c r="H371" s="3"/>
      <c r="I371" s="3" t="str">
        <f ca="1">IFERROR(__xludf.DUMMYFUNCTION("""COMPUTED_VALUE"""),"PPPK")</f>
        <v>PPPK</v>
      </c>
      <c r="J371" s="3" t="str">
        <f ca="1">IFERROR(__xludf.DUMMYFUNCTION("""COMPUTED_VALUE"""),"Pegawai PPPK")</f>
        <v>Pegawai PPPK</v>
      </c>
      <c r="K371" s="5" t="str">
        <f ca="1">IFERROR(__xludf.DUMMYFUNCTION("""COMPUTED_VALUE"""),"P")</f>
        <v>P</v>
      </c>
      <c r="L371" s="3" t="str">
        <f ca="1">IFERROR(__xludf.DUMMYFUNCTION("""COMPUTED_VALUE"""),"Banyumas")</f>
        <v>Banyumas</v>
      </c>
      <c r="M371" s="11">
        <f ca="1">IFERROR(__xludf.DUMMYFUNCTION("""COMPUTED_VALUE"""),34197)</f>
        <v>34197</v>
      </c>
      <c r="N371" s="4"/>
      <c r="O371" s="3" t="str">
        <f ca="1">IFERROR(__xludf.DUMMYFUNCTION("""COMPUTED_VALUE"""),"IX")</f>
        <v>IX</v>
      </c>
      <c r="P371" s="7">
        <f ca="1">IFERROR(__xludf.DUMMYFUNCTION("""COMPUTED_VALUE"""),45717)</f>
        <v>45717</v>
      </c>
      <c r="Q371" s="3" t="str">
        <f ca="1">IFERROR(__xludf.DUMMYFUNCTION("""COMPUTED_VALUE"""),"287.4/Un.19/K.AUPK/KP.01.3/02/2025")</f>
        <v>287.4/Un.19/K.AUPK/KP.01.3/02/2025</v>
      </c>
      <c r="R371" s="3" t="str">
        <f ca="1">IFERROR(__xludf.DUMMYFUNCTION("""COMPUTED_VALUE"""),"Arsiparis")</f>
        <v>Arsiparis</v>
      </c>
      <c r="S371" s="3" t="str">
        <f ca="1">IFERROR(__xludf.DUMMYFUNCTION("""COMPUTED_VALUE"""),"Ahli Pertama")</f>
        <v>Ahli Pertama</v>
      </c>
      <c r="T371" s="7">
        <f ca="1">IFERROR(__xludf.DUMMYFUNCTION("""COMPUTED_VALUE"""),45717)</f>
        <v>45717</v>
      </c>
      <c r="U371" s="3"/>
      <c r="V371" s="7">
        <f ca="1">IFERROR(__xludf.DUMMYFUNCTION("""COMPUTED_VALUE"""),45716)</f>
        <v>45716</v>
      </c>
      <c r="W371" s="3">
        <f ca="1">IFERROR(__xludf.DUMMYFUNCTION("""COMPUTED_VALUE"""),8)</f>
        <v>8</v>
      </c>
      <c r="X371" s="3"/>
      <c r="Y371" s="3" t="str">
        <f ca="1">IFERROR(__xludf.DUMMYFUNCTION("""COMPUTED_VALUE"""),"S-2")</f>
        <v>S-2</v>
      </c>
      <c r="Z371" s="3" t="str">
        <f ca="1">IFERROR(__xludf.DUMMYFUNCTION("""COMPUTED_VALUE"""),"0 Tahun 8 Bulan 1 Hari")</f>
        <v>0 Tahun 8 Bulan 1 Hari</v>
      </c>
      <c r="AA371" s="8">
        <f ca="1">IFERROR(__xludf.DUMMYFUNCTION("""COMPUTED_VALUE"""),55397)</f>
        <v>55397</v>
      </c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4"/>
      <c r="AR371" s="3"/>
      <c r="AS371" s="4"/>
      <c r="AT371" s="3"/>
      <c r="AU371" s="3"/>
    </row>
    <row r="372" spans="1:47" x14ac:dyDescent="0.2">
      <c r="A372" s="12">
        <v>371</v>
      </c>
      <c r="B372" s="3" t="str">
        <f ca="1">IFERROR(__xludf.DUMMYFUNCTION("""COMPUTED_VALUE"""),"Alfin Nurulfaz")</f>
        <v>Alfin Nurulfaz</v>
      </c>
      <c r="C372" s="3" t="str">
        <f ca="1">IFERROR(__xludf.DUMMYFUNCTION("""COMPUTED_VALUE"""),"Alfin Nurulfaz, S.E.")</f>
        <v>Alfin Nurulfaz, S.E.</v>
      </c>
      <c r="D372" s="3" t="str">
        <f ca="1">IFERROR(__xludf.DUMMYFUNCTION("""COMPUTED_VALUE"""),"Alfin Nurulfaz, S.E.")</f>
        <v>Alfin Nurulfaz, S.E.</v>
      </c>
      <c r="E372" s="3" t="str">
        <f ca="1">IFERROR(__xludf.DUMMYFUNCTION("""COMPUTED_VALUE"""),"198611222023211012")</f>
        <v>198611222023211012</v>
      </c>
      <c r="F372" s="3" t="str">
        <f ca="1">IFERROR(__xludf.DUMMYFUNCTION("""COMPUTED_VALUE"""),"19861122 202321 1 012")</f>
        <v>19861122 202321 1 012</v>
      </c>
      <c r="G372" s="3"/>
      <c r="H372" s="3"/>
      <c r="I372" s="3" t="str">
        <f ca="1">IFERROR(__xludf.DUMMYFUNCTION("""COMPUTED_VALUE"""),"PPPK")</f>
        <v>PPPK</v>
      </c>
      <c r="J372" s="3" t="str">
        <f ca="1">IFERROR(__xludf.DUMMYFUNCTION("""COMPUTED_VALUE"""),"Pegawai PPPK")</f>
        <v>Pegawai PPPK</v>
      </c>
      <c r="K372" s="5" t="str">
        <f ca="1">IFERROR(__xludf.DUMMYFUNCTION("""COMPUTED_VALUE"""),"L")</f>
        <v>L</v>
      </c>
      <c r="L372" s="3" t="str">
        <f ca="1">IFERROR(__xludf.DUMMYFUNCTION("""COMPUTED_VALUE"""),"Kota Cirebon")</f>
        <v>Kota Cirebon</v>
      </c>
      <c r="M372" s="11">
        <f ca="1">IFERROR(__xludf.DUMMYFUNCTION("""COMPUTED_VALUE"""),31738)</f>
        <v>31738</v>
      </c>
      <c r="N372" s="4"/>
      <c r="O372" s="3" t="str">
        <f ca="1">IFERROR(__xludf.DUMMYFUNCTION("""COMPUTED_VALUE"""),"IX")</f>
        <v>IX</v>
      </c>
      <c r="P372" s="7">
        <f ca="1">IFERROR(__xludf.DUMMYFUNCTION("""COMPUTED_VALUE"""),45139)</f>
        <v>45139</v>
      </c>
      <c r="Q372" s="3" t="str">
        <f ca="1">IFERROR(__xludf.DUMMYFUNCTION("""COMPUTED_VALUE"""),"993/Un.19/K.AUPK/KP.00.3/07/2023")</f>
        <v>993/Un.19/K.AUPK/KP.00.3/07/2023</v>
      </c>
      <c r="R372" s="3" t="str">
        <f ca="1">IFERROR(__xludf.DUMMYFUNCTION("""COMPUTED_VALUE"""),"Pengembang Teknologi Pembelajaran")</f>
        <v>Pengembang Teknologi Pembelajaran</v>
      </c>
      <c r="S372" s="3" t="str">
        <f ca="1">IFERROR(__xludf.DUMMYFUNCTION("""COMPUTED_VALUE"""),"Ahli Pertama")</f>
        <v>Ahli Pertama</v>
      </c>
      <c r="T372" s="7">
        <f ca="1">IFERROR(__xludf.DUMMYFUNCTION("""COMPUTED_VALUE"""),45139)</f>
        <v>45139</v>
      </c>
      <c r="U372" s="3"/>
      <c r="V372" s="7">
        <f ca="1">IFERROR(__xludf.DUMMYFUNCTION("""COMPUTED_VALUE"""),45138)</f>
        <v>45138</v>
      </c>
      <c r="W372" s="3">
        <f ca="1">IFERROR(__xludf.DUMMYFUNCTION("""COMPUTED_VALUE"""),8)</f>
        <v>8</v>
      </c>
      <c r="X372" s="7" t="str">
        <f ca="1">IFERROR(__xludf.DUMMYFUNCTION("""COMPUTED_VALUE"""),"Ketua Tim Kerja AKA Fakultas Dakwah")</f>
        <v>Ketua Tim Kerja AKA Fakultas Dakwah</v>
      </c>
      <c r="Y372" s="3" t="str">
        <f ca="1">IFERROR(__xludf.DUMMYFUNCTION("""COMPUTED_VALUE"""),"S-1")</f>
        <v>S-1</v>
      </c>
      <c r="Z372" s="3" t="str">
        <f ca="1">IFERROR(__xludf.DUMMYFUNCTION("""COMPUTED_VALUE"""),"2 Tahun 4 Bulan 27 Hari")</f>
        <v>2 Tahun 4 Bulan 27 Hari</v>
      </c>
      <c r="AA372" s="8">
        <f ca="1">IFERROR(__xludf.DUMMYFUNCTION("""COMPUTED_VALUE"""),52932)</f>
        <v>52932</v>
      </c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4"/>
      <c r="AR372" s="3"/>
      <c r="AS372" s="4"/>
      <c r="AT372" s="3"/>
      <c r="AU372" s="3"/>
    </row>
    <row r="373" spans="1:47" x14ac:dyDescent="0.2">
      <c r="A373" s="12">
        <v>372</v>
      </c>
      <c r="B373" s="3" t="str">
        <f ca="1">IFERROR(__xludf.DUMMYFUNCTION("""COMPUTED_VALUE"""),"Anis Nurul Perdanti")</f>
        <v>Anis Nurul Perdanti</v>
      </c>
      <c r="C373" s="3" t="str">
        <f ca="1">IFERROR(__xludf.DUMMYFUNCTION("""COMPUTED_VALUE"""),"Anis Nurul Perdanti, S.Pd.")</f>
        <v>Anis Nurul Perdanti, S.Pd.</v>
      </c>
      <c r="D373" s="3" t="str">
        <f ca="1">IFERROR(__xludf.DUMMYFUNCTION("""COMPUTED_VALUE"""),"Anis Nurul Perdanti, S.Pd., M.Ak.")</f>
        <v>Anis Nurul Perdanti, S.Pd., M.Ak.</v>
      </c>
      <c r="E373" s="3" t="str">
        <f ca="1">IFERROR(__xludf.DUMMYFUNCTION("""COMPUTED_VALUE"""),"199703062025212012")</f>
        <v>199703062025212012</v>
      </c>
      <c r="F373" s="3" t="str">
        <f ca="1">IFERROR(__xludf.DUMMYFUNCTION("""COMPUTED_VALUE"""),"19970306 202521 2 012")</f>
        <v>19970306 202521 2 012</v>
      </c>
      <c r="G373" s="3"/>
      <c r="H373" s="3"/>
      <c r="I373" s="3" t="str">
        <f ca="1">IFERROR(__xludf.DUMMYFUNCTION("""COMPUTED_VALUE"""),"PPPK")</f>
        <v>PPPK</v>
      </c>
      <c r="J373" s="3" t="str">
        <f ca="1">IFERROR(__xludf.DUMMYFUNCTION("""COMPUTED_VALUE"""),"Pegawai PPPK")</f>
        <v>Pegawai PPPK</v>
      </c>
      <c r="K373" s="5" t="str">
        <f ca="1">IFERROR(__xludf.DUMMYFUNCTION("""COMPUTED_VALUE"""),"P")</f>
        <v>P</v>
      </c>
      <c r="L373" s="3" t="str">
        <f ca="1">IFERROR(__xludf.DUMMYFUNCTION("""COMPUTED_VALUE"""),"Wonosobo")</f>
        <v>Wonosobo</v>
      </c>
      <c r="M373" s="11">
        <f ca="1">IFERROR(__xludf.DUMMYFUNCTION("""COMPUTED_VALUE"""),35495)</f>
        <v>35495</v>
      </c>
      <c r="N373" s="4"/>
      <c r="O373" s="3" t="str">
        <f ca="1">IFERROR(__xludf.DUMMYFUNCTION("""COMPUTED_VALUE"""),"IX")</f>
        <v>IX</v>
      </c>
      <c r="P373" s="7">
        <f ca="1">IFERROR(__xludf.DUMMYFUNCTION("""COMPUTED_VALUE"""),45717)</f>
        <v>45717</v>
      </c>
      <c r="Q373" s="3" t="str">
        <f ca="1">IFERROR(__xludf.DUMMYFUNCTION("""COMPUTED_VALUE"""),"287.5/Un.19/K.AUPK/KP.01.3/02/2025")</f>
        <v>287.5/Un.19/K.AUPK/KP.01.3/02/2025</v>
      </c>
      <c r="R373" s="3" t="str">
        <f ca="1">IFERROR(__xludf.DUMMYFUNCTION("""COMPUTED_VALUE"""),"Arsiparis")</f>
        <v>Arsiparis</v>
      </c>
      <c r="S373" s="3" t="str">
        <f ca="1">IFERROR(__xludf.DUMMYFUNCTION("""COMPUTED_VALUE"""),"Ahli Pertama")</f>
        <v>Ahli Pertama</v>
      </c>
      <c r="T373" s="7">
        <f ca="1">IFERROR(__xludf.DUMMYFUNCTION("""COMPUTED_VALUE"""),45717)</f>
        <v>45717</v>
      </c>
      <c r="U373" s="3"/>
      <c r="V373" s="7">
        <f ca="1">IFERROR(__xludf.DUMMYFUNCTION("""COMPUTED_VALUE"""),45716)</f>
        <v>45716</v>
      </c>
      <c r="W373" s="3">
        <f ca="1">IFERROR(__xludf.DUMMYFUNCTION("""COMPUTED_VALUE"""),8)</f>
        <v>8</v>
      </c>
      <c r="X373" s="3"/>
      <c r="Y373" s="3" t="str">
        <f ca="1">IFERROR(__xludf.DUMMYFUNCTION("""COMPUTED_VALUE"""),"S-2")</f>
        <v>S-2</v>
      </c>
      <c r="Z373" s="3" t="str">
        <f ca="1">IFERROR(__xludf.DUMMYFUNCTION("""COMPUTED_VALUE"""),"0 Tahun 8 Bulan 1 Hari")</f>
        <v>0 Tahun 8 Bulan 1 Hari</v>
      </c>
      <c r="AA373" s="8">
        <f ca="1">IFERROR(__xludf.DUMMYFUNCTION("""COMPUTED_VALUE"""),56705)</f>
        <v>56705</v>
      </c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4"/>
      <c r="AR373" s="3"/>
      <c r="AS373" s="4"/>
      <c r="AT373" s="3"/>
      <c r="AU373" s="3"/>
    </row>
    <row r="374" spans="1:47" x14ac:dyDescent="0.2">
      <c r="A374" s="12">
        <v>373</v>
      </c>
      <c r="B374" s="3" t="str">
        <f ca="1">IFERROR(__xludf.DUMMYFUNCTION("""COMPUTED_VALUE"""),"Aoliya Ziadatur Rizki")</f>
        <v>Aoliya Ziadatur Rizki</v>
      </c>
      <c r="C374" s="3" t="str">
        <f ca="1">IFERROR(__xludf.DUMMYFUNCTION("""COMPUTED_VALUE"""),"Aoliya Ziadatur Rizki, S.Hum.")</f>
        <v>Aoliya Ziadatur Rizki, S.Hum.</v>
      </c>
      <c r="D374" s="3" t="str">
        <f ca="1">IFERROR(__xludf.DUMMYFUNCTION("""COMPUTED_VALUE"""),"Aoliya Ziadatur Rizki, S.Hum.")</f>
        <v>Aoliya Ziadatur Rizki, S.Hum.</v>
      </c>
      <c r="E374" s="3" t="str">
        <f ca="1">IFERROR(__xludf.DUMMYFUNCTION("""COMPUTED_VALUE"""),"199803112025212007")</f>
        <v>199803112025212007</v>
      </c>
      <c r="F374" s="3" t="str">
        <f ca="1">IFERROR(__xludf.DUMMYFUNCTION("""COMPUTED_VALUE"""),"19980311 202521 2 007")</f>
        <v>19980311 202521 2 007</v>
      </c>
      <c r="G374" s="3"/>
      <c r="H374" s="3"/>
      <c r="I374" s="3" t="str">
        <f ca="1">IFERROR(__xludf.DUMMYFUNCTION("""COMPUTED_VALUE"""),"PPPK")</f>
        <v>PPPK</v>
      </c>
      <c r="J374" s="3" t="str">
        <f ca="1">IFERROR(__xludf.DUMMYFUNCTION("""COMPUTED_VALUE"""),"Pegawai PPPK")</f>
        <v>Pegawai PPPK</v>
      </c>
      <c r="K374" s="5" t="str">
        <f ca="1">IFERROR(__xludf.DUMMYFUNCTION("""COMPUTED_VALUE"""),"P")</f>
        <v>P</v>
      </c>
      <c r="L374" s="3" t="str">
        <f ca="1">IFERROR(__xludf.DUMMYFUNCTION("""COMPUTED_VALUE"""),"Banyumas")</f>
        <v>Banyumas</v>
      </c>
      <c r="M374" s="11">
        <f ca="1">IFERROR(__xludf.DUMMYFUNCTION("""COMPUTED_VALUE"""),35865)</f>
        <v>35865</v>
      </c>
      <c r="N374" s="4"/>
      <c r="O374" s="3" t="str">
        <f ca="1">IFERROR(__xludf.DUMMYFUNCTION("""COMPUTED_VALUE"""),"IX")</f>
        <v>IX</v>
      </c>
      <c r="P374" s="7">
        <f ca="1">IFERROR(__xludf.DUMMYFUNCTION("""COMPUTED_VALUE"""),45717)</f>
        <v>45717</v>
      </c>
      <c r="Q374" s="3" t="str">
        <f ca="1">IFERROR(__xludf.DUMMYFUNCTION("""COMPUTED_VALUE"""),"287.6/Un.19/K.AUPK/KP.01.3/02/2025")</f>
        <v>287.6/Un.19/K.AUPK/KP.01.3/02/2025</v>
      </c>
      <c r="R374" s="3" t="str">
        <f ca="1">IFERROR(__xludf.DUMMYFUNCTION("""COMPUTED_VALUE"""),"Arsiparis")</f>
        <v>Arsiparis</v>
      </c>
      <c r="S374" s="3" t="str">
        <f ca="1">IFERROR(__xludf.DUMMYFUNCTION("""COMPUTED_VALUE"""),"Ahli Pertama")</f>
        <v>Ahli Pertama</v>
      </c>
      <c r="T374" s="7">
        <f ca="1">IFERROR(__xludf.DUMMYFUNCTION("""COMPUTED_VALUE"""),45717)</f>
        <v>45717</v>
      </c>
      <c r="U374" s="3"/>
      <c r="V374" s="7">
        <f ca="1">IFERROR(__xludf.DUMMYFUNCTION("""COMPUTED_VALUE"""),45716)</f>
        <v>45716</v>
      </c>
      <c r="W374" s="3">
        <f ca="1">IFERROR(__xludf.DUMMYFUNCTION("""COMPUTED_VALUE"""),8)</f>
        <v>8</v>
      </c>
      <c r="X374" s="3"/>
      <c r="Y374" s="3" t="str">
        <f ca="1">IFERROR(__xludf.DUMMYFUNCTION("""COMPUTED_VALUE"""),"S-1")</f>
        <v>S-1</v>
      </c>
      <c r="Z374" s="3" t="str">
        <f ca="1">IFERROR(__xludf.DUMMYFUNCTION("""COMPUTED_VALUE"""),"0 Tahun 8 Bulan 1 Hari")</f>
        <v>0 Tahun 8 Bulan 1 Hari</v>
      </c>
      <c r="AA374" s="8">
        <f ca="1">IFERROR(__xludf.DUMMYFUNCTION("""COMPUTED_VALUE"""),57071)</f>
        <v>57071</v>
      </c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4"/>
      <c r="AR374" s="3"/>
      <c r="AS374" s="4"/>
      <c r="AT374" s="3"/>
      <c r="AU374" s="3"/>
    </row>
    <row r="375" spans="1:47" x14ac:dyDescent="0.2">
      <c r="A375" s="12">
        <v>374</v>
      </c>
      <c r="B375" s="3" t="str">
        <f ca="1">IFERROR(__xludf.DUMMYFUNCTION("""COMPUTED_VALUE"""),"Arif Prayogo")</f>
        <v>Arif Prayogo</v>
      </c>
      <c r="C375" s="3" t="str">
        <f ca="1">IFERROR(__xludf.DUMMYFUNCTION("""COMPUTED_VALUE"""),"‌Arif Prayogo, ‌S.Pd.")</f>
        <v>‌Arif Prayogo, ‌S.Pd.</v>
      </c>
      <c r="D375" s="3" t="str">
        <f ca="1">IFERROR(__xludf.DUMMYFUNCTION("""COMPUTED_VALUE"""),"‌Arif Prayogo, ‌S.Pd.")</f>
        <v>‌Arif Prayogo, ‌S.Pd.</v>
      </c>
      <c r="E375" s="3" t="str">
        <f ca="1">IFERROR(__xludf.DUMMYFUNCTION("""COMPUTED_VALUE"""),"199605042025211006")</f>
        <v>199605042025211006</v>
      </c>
      <c r="F375" s="3" t="str">
        <f ca="1">IFERROR(__xludf.DUMMYFUNCTION("""COMPUTED_VALUE"""),"19960504 202521 1 006")</f>
        <v>19960504 202521 1 006</v>
      </c>
      <c r="G375" s="3"/>
      <c r="H375" s="3"/>
      <c r="I375" s="3" t="str">
        <f ca="1">IFERROR(__xludf.DUMMYFUNCTION("""COMPUTED_VALUE"""),"PPPK")</f>
        <v>PPPK</v>
      </c>
      <c r="J375" s="3" t="str">
        <f ca="1">IFERROR(__xludf.DUMMYFUNCTION("""COMPUTED_VALUE"""),"Pegawai PPPK")</f>
        <v>Pegawai PPPK</v>
      </c>
      <c r="K375" s="5" t="str">
        <f ca="1">IFERROR(__xludf.DUMMYFUNCTION("""COMPUTED_VALUE"""),"L")</f>
        <v>L</v>
      </c>
      <c r="L375" s="3" t="str">
        <f ca="1">IFERROR(__xludf.DUMMYFUNCTION("""COMPUTED_VALUE"""),"Cilacap")</f>
        <v>Cilacap</v>
      </c>
      <c r="M375" s="11">
        <f ca="1">IFERROR(__xludf.DUMMYFUNCTION("""COMPUTED_VALUE"""),35189)</f>
        <v>35189</v>
      </c>
      <c r="N375" s="4"/>
      <c r="O375" s="3" t="str">
        <f ca="1">IFERROR(__xludf.DUMMYFUNCTION("""COMPUTED_VALUE"""),"IX")</f>
        <v>IX</v>
      </c>
      <c r="P375" s="7">
        <f ca="1">IFERROR(__xludf.DUMMYFUNCTION("""COMPUTED_VALUE"""),45717)</f>
        <v>45717</v>
      </c>
      <c r="Q375" s="3" t="str">
        <f ca="1">IFERROR(__xludf.DUMMYFUNCTION("""COMPUTED_VALUE"""),"287.7/Un.19/K.AUPK/KP.01.3/02/2025")</f>
        <v>287.7/Un.19/K.AUPK/KP.01.3/02/2025</v>
      </c>
      <c r="R375" s="3" t="str">
        <f ca="1">IFERROR(__xludf.DUMMYFUNCTION("""COMPUTED_VALUE"""),"Arsiparis")</f>
        <v>Arsiparis</v>
      </c>
      <c r="S375" s="3" t="str">
        <f ca="1">IFERROR(__xludf.DUMMYFUNCTION("""COMPUTED_VALUE"""),"Ahli Pertama")</f>
        <v>Ahli Pertama</v>
      </c>
      <c r="T375" s="7">
        <f ca="1">IFERROR(__xludf.DUMMYFUNCTION("""COMPUTED_VALUE"""),45717)</f>
        <v>45717</v>
      </c>
      <c r="U375" s="3"/>
      <c r="V375" s="7">
        <f ca="1">IFERROR(__xludf.DUMMYFUNCTION("""COMPUTED_VALUE"""),45716)</f>
        <v>45716</v>
      </c>
      <c r="W375" s="3">
        <f ca="1">IFERROR(__xludf.DUMMYFUNCTION("""COMPUTED_VALUE"""),8)</f>
        <v>8</v>
      </c>
      <c r="X375" s="3"/>
      <c r="Y375" s="3" t="str">
        <f ca="1">IFERROR(__xludf.DUMMYFUNCTION("""COMPUTED_VALUE"""),"S-1")</f>
        <v>S-1</v>
      </c>
      <c r="Z375" s="3" t="str">
        <f ca="1">IFERROR(__xludf.DUMMYFUNCTION("""COMPUTED_VALUE"""),"0 Tahun 8 Bulan 1 Hari")</f>
        <v>0 Tahun 8 Bulan 1 Hari</v>
      </c>
      <c r="AA375" s="8">
        <f ca="1">IFERROR(__xludf.DUMMYFUNCTION("""COMPUTED_VALUE"""),56401)</f>
        <v>56401</v>
      </c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4"/>
      <c r="AR375" s="3"/>
      <c r="AS375" s="4"/>
      <c r="AT375" s="3"/>
      <c r="AU375" s="3"/>
    </row>
    <row r="376" spans="1:47" x14ac:dyDescent="0.2">
      <c r="A376" s="12">
        <v>375</v>
      </c>
      <c r="B376" s="3" t="str">
        <f ca="1">IFERROR(__xludf.DUMMYFUNCTION("""COMPUTED_VALUE"""),"Atiek Sulystiyany")</f>
        <v>Atiek Sulystiyany</v>
      </c>
      <c r="C376" s="3" t="str">
        <f ca="1">IFERROR(__xludf.DUMMYFUNCTION("""COMPUTED_VALUE"""),"Atiek Sulystiyany, S.E.")</f>
        <v>Atiek Sulystiyany, S.E.</v>
      </c>
      <c r="D376" s="3" t="str">
        <f ca="1">IFERROR(__xludf.DUMMYFUNCTION("""COMPUTED_VALUE"""),"Atiek Sulystiyany, S.E.")</f>
        <v>Atiek Sulystiyany, S.E.</v>
      </c>
      <c r="E376" s="3" t="str">
        <f ca="1">IFERROR(__xludf.DUMMYFUNCTION("""COMPUTED_VALUE"""),"198708312025212002")</f>
        <v>198708312025212002</v>
      </c>
      <c r="F376" s="3" t="str">
        <f ca="1">IFERROR(__xludf.DUMMYFUNCTION("""COMPUTED_VALUE"""),"19870831 202521 2 002")</f>
        <v>19870831 202521 2 002</v>
      </c>
      <c r="G376" s="3"/>
      <c r="H376" s="3"/>
      <c r="I376" s="3" t="str">
        <f ca="1">IFERROR(__xludf.DUMMYFUNCTION("""COMPUTED_VALUE"""),"PPPK")</f>
        <v>PPPK</v>
      </c>
      <c r="J376" s="3" t="str">
        <f ca="1">IFERROR(__xludf.DUMMYFUNCTION("""COMPUTED_VALUE"""),"Pegawai PPPK")</f>
        <v>Pegawai PPPK</v>
      </c>
      <c r="K376" s="5" t="str">
        <f ca="1">IFERROR(__xludf.DUMMYFUNCTION("""COMPUTED_VALUE"""),"P")</f>
        <v>P</v>
      </c>
      <c r="L376" s="3" t="str">
        <f ca="1">IFERROR(__xludf.DUMMYFUNCTION("""COMPUTED_VALUE"""),"Banyumas")</f>
        <v>Banyumas</v>
      </c>
      <c r="M376" s="11">
        <f ca="1">IFERROR(__xludf.DUMMYFUNCTION("""COMPUTED_VALUE"""),32020)</f>
        <v>32020</v>
      </c>
      <c r="N376" s="4"/>
      <c r="O376" s="3" t="str">
        <f ca="1">IFERROR(__xludf.DUMMYFUNCTION("""COMPUTED_VALUE"""),"IX")</f>
        <v>IX</v>
      </c>
      <c r="P376" s="7">
        <f ca="1">IFERROR(__xludf.DUMMYFUNCTION("""COMPUTED_VALUE"""),45717)</f>
        <v>45717</v>
      </c>
      <c r="Q376" s="3" t="str">
        <f ca="1">IFERROR(__xludf.DUMMYFUNCTION("""COMPUTED_VALUE"""),"287.8/Un.19/K.AUPK/KP.01.3/02/2025")</f>
        <v>287.8/Un.19/K.AUPK/KP.01.3/02/2025</v>
      </c>
      <c r="R376" s="3" t="str">
        <f ca="1">IFERROR(__xludf.DUMMYFUNCTION("""COMPUTED_VALUE"""),"Arsiparis")</f>
        <v>Arsiparis</v>
      </c>
      <c r="S376" s="3" t="str">
        <f ca="1">IFERROR(__xludf.DUMMYFUNCTION("""COMPUTED_VALUE"""),"Ahli Pertama")</f>
        <v>Ahli Pertama</v>
      </c>
      <c r="T376" s="7">
        <f ca="1">IFERROR(__xludf.DUMMYFUNCTION("""COMPUTED_VALUE"""),45717)</f>
        <v>45717</v>
      </c>
      <c r="U376" s="3"/>
      <c r="V376" s="7">
        <f ca="1">IFERROR(__xludf.DUMMYFUNCTION("""COMPUTED_VALUE"""),45716)</f>
        <v>45716</v>
      </c>
      <c r="W376" s="3">
        <f ca="1">IFERROR(__xludf.DUMMYFUNCTION("""COMPUTED_VALUE"""),8)</f>
        <v>8</v>
      </c>
      <c r="X376" s="3"/>
      <c r="Y376" s="3" t="str">
        <f ca="1">IFERROR(__xludf.DUMMYFUNCTION("""COMPUTED_VALUE"""),"S-1")</f>
        <v>S-1</v>
      </c>
      <c r="Z376" s="3" t="str">
        <f ca="1">IFERROR(__xludf.DUMMYFUNCTION("""COMPUTED_VALUE"""),"0 Tahun 8 Bulan 1 Hari")</f>
        <v>0 Tahun 8 Bulan 1 Hari</v>
      </c>
      <c r="AA376" s="8">
        <f ca="1">IFERROR(__xludf.DUMMYFUNCTION("""COMPUTED_VALUE"""),53206)</f>
        <v>53206</v>
      </c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4"/>
      <c r="AR376" s="3"/>
      <c r="AS376" s="4"/>
      <c r="AT376" s="3"/>
      <c r="AU376" s="3"/>
    </row>
    <row r="377" spans="1:47" x14ac:dyDescent="0.2">
      <c r="A377" s="12">
        <v>376</v>
      </c>
      <c r="B377" s="3" t="str">
        <f ca="1">IFERROR(__xludf.DUMMYFUNCTION("""COMPUTED_VALUE"""),"Darmono")</f>
        <v>Darmono</v>
      </c>
      <c r="C377" s="3" t="str">
        <f ca="1">IFERROR(__xludf.DUMMYFUNCTION("""COMPUTED_VALUE"""),"Darmono, S.Kom.")</f>
        <v>Darmono, S.Kom.</v>
      </c>
      <c r="D377" s="3" t="str">
        <f ca="1">IFERROR(__xludf.DUMMYFUNCTION("""COMPUTED_VALUE"""),"Darmono, S.Kom.")</f>
        <v>Darmono, S.Kom.</v>
      </c>
      <c r="E377" s="3" t="str">
        <f ca="1">IFERROR(__xludf.DUMMYFUNCTION("""COMPUTED_VALUE"""),"198409282023211014")</f>
        <v>198409282023211014</v>
      </c>
      <c r="F377" s="3" t="str">
        <f ca="1">IFERROR(__xludf.DUMMYFUNCTION("""COMPUTED_VALUE"""),"‌19840928 202321 1 014")</f>
        <v>‌19840928 202321 1 014</v>
      </c>
      <c r="G377" s="3"/>
      <c r="H377" s="3"/>
      <c r="I377" s="3" t="str">
        <f ca="1">IFERROR(__xludf.DUMMYFUNCTION("""COMPUTED_VALUE"""),"PPPK")</f>
        <v>PPPK</v>
      </c>
      <c r="J377" s="3" t="str">
        <f ca="1">IFERROR(__xludf.DUMMYFUNCTION("""COMPUTED_VALUE"""),"Pegawai PPPK")</f>
        <v>Pegawai PPPK</v>
      </c>
      <c r="K377" s="5" t="str">
        <f ca="1">IFERROR(__xludf.DUMMYFUNCTION("""COMPUTED_VALUE"""),"L")</f>
        <v>L</v>
      </c>
      <c r="L377" s="3" t="str">
        <f ca="1">IFERROR(__xludf.DUMMYFUNCTION("""COMPUTED_VALUE"""),"Banyumas")</f>
        <v>Banyumas</v>
      </c>
      <c r="M377" s="11">
        <f ca="1">IFERROR(__xludf.DUMMYFUNCTION("""COMPUTED_VALUE"""),30953)</f>
        <v>30953</v>
      </c>
      <c r="N377" s="4"/>
      <c r="O377" s="3" t="str">
        <f ca="1">IFERROR(__xludf.DUMMYFUNCTION("""COMPUTED_VALUE"""),"IX")</f>
        <v>IX</v>
      </c>
      <c r="P377" s="7">
        <f ca="1">IFERROR(__xludf.DUMMYFUNCTION("""COMPUTED_VALUE"""),45261)</f>
        <v>45261</v>
      </c>
      <c r="Q377" s="3" t="str">
        <f ca="1">IFERROR(__xludf.DUMMYFUNCTION("""COMPUTED_VALUE"""),"1739/Un.19/K.AUPK/KP.00.2/11/2023")</f>
        <v>1739/Un.19/K.AUPK/KP.00.2/11/2023</v>
      </c>
      <c r="R377" s="3" t="str">
        <f ca="1">IFERROR(__xludf.DUMMYFUNCTION("""COMPUTED_VALUE"""),"Pranata Komputer")</f>
        <v>Pranata Komputer</v>
      </c>
      <c r="S377" s="3" t="str">
        <f ca="1">IFERROR(__xludf.DUMMYFUNCTION("""COMPUTED_VALUE"""),"Ahli Pertama")</f>
        <v>Ahli Pertama</v>
      </c>
      <c r="T377" s="7">
        <f ca="1">IFERROR(__xludf.DUMMYFUNCTION("""COMPUTED_VALUE"""),45261)</f>
        <v>45261</v>
      </c>
      <c r="U377" s="3"/>
      <c r="V377" s="7">
        <f ca="1">IFERROR(__xludf.DUMMYFUNCTION("""COMPUTED_VALUE"""),45260)</f>
        <v>45260</v>
      </c>
      <c r="W377" s="3">
        <f ca="1">IFERROR(__xludf.DUMMYFUNCTION("""COMPUTED_VALUE"""),8)</f>
        <v>8</v>
      </c>
      <c r="X377" s="3"/>
      <c r="Y377" s="3" t="str">
        <f ca="1">IFERROR(__xludf.DUMMYFUNCTION("""COMPUTED_VALUE"""),"S-1")</f>
        <v>S-1</v>
      </c>
      <c r="Z377" s="3" t="str">
        <f ca="1">IFERROR(__xludf.DUMMYFUNCTION("""COMPUTED_VALUE"""),"2 Tahun 0 Bulan 27 Hari")</f>
        <v>2 Tahun 0 Bulan 27 Hari</v>
      </c>
      <c r="AA377" s="8">
        <f ca="1">IFERROR(__xludf.DUMMYFUNCTION("""COMPUTED_VALUE"""),52140)</f>
        <v>52140</v>
      </c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4"/>
      <c r="AR377" s="3"/>
      <c r="AS377" s="4"/>
      <c r="AT377" s="3"/>
      <c r="AU377" s="3"/>
    </row>
    <row r="378" spans="1:47" x14ac:dyDescent="0.2">
      <c r="A378" s="12">
        <v>377</v>
      </c>
      <c r="B378" s="3" t="str">
        <f ca="1">IFERROR(__xludf.DUMMYFUNCTION("""COMPUTED_VALUE"""),"Dewi Masitoh")</f>
        <v>Dewi Masitoh</v>
      </c>
      <c r="C378" s="3" t="str">
        <f ca="1">IFERROR(__xludf.DUMMYFUNCTION("""COMPUTED_VALUE"""),"Dewi Masitoh, S.E.")</f>
        <v>Dewi Masitoh, S.E.</v>
      </c>
      <c r="D378" s="3" t="str">
        <f ca="1">IFERROR(__xludf.DUMMYFUNCTION("""COMPUTED_VALUE"""),"Dewi Masitoh, S.E.")</f>
        <v>Dewi Masitoh, S.E.</v>
      </c>
      <c r="E378" s="3" t="str">
        <f ca="1">IFERROR(__xludf.DUMMYFUNCTION("""COMPUTED_VALUE"""),"198604192024212020")</f>
        <v>198604192024212020</v>
      </c>
      <c r="F378" s="3" t="str">
        <f ca="1">IFERROR(__xludf.DUMMYFUNCTION("""COMPUTED_VALUE"""),"19860419 202421 2 020")</f>
        <v>19860419 202421 2 020</v>
      </c>
      <c r="G378" s="3"/>
      <c r="H378" s="3"/>
      <c r="I378" s="3" t="str">
        <f ca="1">IFERROR(__xludf.DUMMYFUNCTION("""COMPUTED_VALUE"""),"PPPK")</f>
        <v>PPPK</v>
      </c>
      <c r="J378" s="3" t="str">
        <f ca="1">IFERROR(__xludf.DUMMYFUNCTION("""COMPUTED_VALUE"""),"Pegawai PPPK")</f>
        <v>Pegawai PPPK</v>
      </c>
      <c r="K378" s="5" t="str">
        <f ca="1">IFERROR(__xludf.DUMMYFUNCTION("""COMPUTED_VALUE"""),"P")</f>
        <v>P</v>
      </c>
      <c r="L378" s="3" t="str">
        <f ca="1">IFERROR(__xludf.DUMMYFUNCTION("""COMPUTED_VALUE"""),"Banyumas")</f>
        <v>Banyumas</v>
      </c>
      <c r="M378" s="11">
        <f ca="1">IFERROR(__xludf.DUMMYFUNCTION("""COMPUTED_VALUE"""),31521)</f>
        <v>31521</v>
      </c>
      <c r="N378" s="4"/>
      <c r="O378" s="3" t="str">
        <f ca="1">IFERROR(__xludf.DUMMYFUNCTION("""COMPUTED_VALUE"""),"IX")</f>
        <v>IX</v>
      </c>
      <c r="P378" s="7">
        <f ca="1">IFERROR(__xludf.DUMMYFUNCTION("""COMPUTED_VALUE"""),45352)</f>
        <v>45352</v>
      </c>
      <c r="Q378" s="3" t="str">
        <f ca="1">IFERROR(__xludf.DUMMYFUNCTION("""COMPUTED_VALUE"""),"495.2/Un.19/K.AUPK/KP.00.3/02/2024")</f>
        <v>495.2/Un.19/K.AUPK/KP.00.3/02/2024</v>
      </c>
      <c r="R378" s="3" t="str">
        <f ca="1">IFERROR(__xludf.DUMMYFUNCTION("""COMPUTED_VALUE"""),"Perencana")</f>
        <v>Perencana</v>
      </c>
      <c r="S378" s="3" t="str">
        <f ca="1">IFERROR(__xludf.DUMMYFUNCTION("""COMPUTED_VALUE"""),"Ahli Pertama")</f>
        <v>Ahli Pertama</v>
      </c>
      <c r="T378" s="7">
        <f ca="1">IFERROR(__xludf.DUMMYFUNCTION("""COMPUTED_VALUE"""),45352)</f>
        <v>45352</v>
      </c>
      <c r="U378" s="3"/>
      <c r="V378" s="7">
        <f ca="1">IFERROR(__xludf.DUMMYFUNCTION("""COMPUTED_VALUE"""),45351)</f>
        <v>45351</v>
      </c>
      <c r="W378" s="3">
        <f ca="1">IFERROR(__xludf.DUMMYFUNCTION("""COMPUTED_VALUE"""),8)</f>
        <v>8</v>
      </c>
      <c r="X378" s="3"/>
      <c r="Y378" s="3" t="str">
        <f ca="1">IFERROR(__xludf.DUMMYFUNCTION("""COMPUTED_VALUE"""),"S-1")</f>
        <v>S-1</v>
      </c>
      <c r="Z378" s="3" t="str">
        <f ca="1">IFERROR(__xludf.DUMMYFUNCTION("""COMPUTED_VALUE"""),"1 Tahun 8 Bulan 27 Hari")</f>
        <v>1 Tahun 8 Bulan 27 Hari</v>
      </c>
      <c r="AA378" s="8">
        <f ca="1">IFERROR(__xludf.DUMMYFUNCTION("""COMPUTED_VALUE"""),52718)</f>
        <v>52718</v>
      </c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4"/>
      <c r="AR378" s="3"/>
      <c r="AS378" s="4"/>
      <c r="AT378" s="3"/>
      <c r="AU378" s="3"/>
    </row>
    <row r="379" spans="1:47" x14ac:dyDescent="0.2">
      <c r="A379" s="12">
        <v>378</v>
      </c>
      <c r="B379" s="3" t="str">
        <f ca="1">IFERROR(__xludf.DUMMYFUNCTION("""COMPUTED_VALUE"""),"Dewi Utami Sari")</f>
        <v>Dewi Utami Sari</v>
      </c>
      <c r="C379" s="3" t="str">
        <f ca="1">IFERROR(__xludf.DUMMYFUNCTION("""COMPUTED_VALUE"""),"Dewi Utami Sari, S.H., M.H.")</f>
        <v>Dewi Utami Sari, S.H., M.H.</v>
      </c>
      <c r="D379" s="3" t="str">
        <f ca="1">IFERROR(__xludf.DUMMYFUNCTION("""COMPUTED_VALUE"""),"Dewi Utami Sari, S.H., M.H.")</f>
        <v>Dewi Utami Sari, S.H., M.H.</v>
      </c>
      <c r="E379" s="3" t="str">
        <f ca="1">IFERROR(__xludf.DUMMYFUNCTION("""COMPUTED_VALUE"""),"199509212024212045")</f>
        <v>199509212024212045</v>
      </c>
      <c r="F379" s="3" t="str">
        <f ca="1">IFERROR(__xludf.DUMMYFUNCTION("""COMPUTED_VALUE"""),"19950921 202421 2 045")</f>
        <v>19950921 202421 2 045</v>
      </c>
      <c r="G379" s="3"/>
      <c r="H379" s="3"/>
      <c r="I379" s="3" t="str">
        <f ca="1">IFERROR(__xludf.DUMMYFUNCTION("""COMPUTED_VALUE"""),"PPPK")</f>
        <v>PPPK</v>
      </c>
      <c r="J379" s="3" t="str">
        <f ca="1">IFERROR(__xludf.DUMMYFUNCTION("""COMPUTED_VALUE"""),"Pegawai PPPK")</f>
        <v>Pegawai PPPK</v>
      </c>
      <c r="K379" s="5" t="str">
        <f ca="1">IFERROR(__xludf.DUMMYFUNCTION("""COMPUTED_VALUE"""),"P")</f>
        <v>P</v>
      </c>
      <c r="L379" s="3" t="str">
        <f ca="1">IFERROR(__xludf.DUMMYFUNCTION("""COMPUTED_VALUE"""),"Purbalingga")</f>
        <v>Purbalingga</v>
      </c>
      <c r="M379" s="11">
        <f ca="1">IFERROR(__xludf.DUMMYFUNCTION("""COMPUTED_VALUE"""),34963)</f>
        <v>34963</v>
      </c>
      <c r="N379" s="4"/>
      <c r="O379" s="3" t="str">
        <f ca="1">IFERROR(__xludf.DUMMYFUNCTION("""COMPUTED_VALUE"""),"IX")</f>
        <v>IX</v>
      </c>
      <c r="P379" s="7">
        <f ca="1">IFERROR(__xludf.DUMMYFUNCTION("""COMPUTED_VALUE"""),45352)</f>
        <v>45352</v>
      </c>
      <c r="Q379" s="3" t="str">
        <f ca="1">IFERROR(__xludf.DUMMYFUNCTION("""COMPUTED_VALUE"""),"495.1/Un.19/K.AUPK/KP.00.3/02/2024")</f>
        <v>495.1/Un.19/K.AUPK/KP.00.3/02/2024</v>
      </c>
      <c r="R379" s="3" t="str">
        <f ca="1">IFERROR(__xludf.DUMMYFUNCTION("""COMPUTED_VALUE"""),"Analis Kebijakan")</f>
        <v>Analis Kebijakan</v>
      </c>
      <c r="S379" s="3" t="str">
        <f ca="1">IFERROR(__xludf.DUMMYFUNCTION("""COMPUTED_VALUE"""),"Ahli Pertama")</f>
        <v>Ahli Pertama</v>
      </c>
      <c r="T379" s="7">
        <f ca="1">IFERROR(__xludf.DUMMYFUNCTION("""COMPUTED_VALUE"""),45352)</f>
        <v>45352</v>
      </c>
      <c r="U379" s="3"/>
      <c r="V379" s="7">
        <f ca="1">IFERROR(__xludf.DUMMYFUNCTION("""COMPUTED_VALUE"""),45351)</f>
        <v>45351</v>
      </c>
      <c r="W379" s="3">
        <f ca="1">IFERROR(__xludf.DUMMYFUNCTION("""COMPUTED_VALUE"""),8)</f>
        <v>8</v>
      </c>
      <c r="X379" s="3"/>
      <c r="Y379" s="3" t="str">
        <f ca="1">IFERROR(__xludf.DUMMYFUNCTION("""COMPUTED_VALUE"""),"S-2")</f>
        <v>S-2</v>
      </c>
      <c r="Z379" s="3" t="str">
        <f ca="1">IFERROR(__xludf.DUMMYFUNCTION("""COMPUTED_VALUE"""),"1 Tahun 8 Bulan 27 Hari")</f>
        <v>1 Tahun 8 Bulan 27 Hari</v>
      </c>
      <c r="AA379" s="8">
        <f ca="1">IFERROR(__xludf.DUMMYFUNCTION("""COMPUTED_VALUE"""),56158)</f>
        <v>56158</v>
      </c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4"/>
      <c r="AR379" s="3"/>
      <c r="AS379" s="4"/>
      <c r="AT379" s="3"/>
      <c r="AU379" s="3"/>
    </row>
    <row r="380" spans="1:47" x14ac:dyDescent="0.2">
      <c r="A380" s="12">
        <v>379</v>
      </c>
      <c r="B380" s="3" t="str">
        <f ca="1">IFERROR(__xludf.DUMMYFUNCTION("""COMPUTED_VALUE"""),"Diah Sari Destiana")</f>
        <v>Diah Sari Destiana</v>
      </c>
      <c r="C380" s="3" t="str">
        <f ca="1">IFERROR(__xludf.DUMMYFUNCTION("""COMPUTED_VALUE"""),"Diah Sari Destiana, S.E.")</f>
        <v>Diah Sari Destiana, S.E.</v>
      </c>
      <c r="D380" s="3" t="str">
        <f ca="1">IFERROR(__xludf.DUMMYFUNCTION("""COMPUTED_VALUE"""),"Diah Sari Destiana, S.E.")</f>
        <v>Diah Sari Destiana, S.E.</v>
      </c>
      <c r="E380" s="3" t="str">
        <f ca="1">IFERROR(__xludf.DUMMYFUNCTION("""COMPUTED_VALUE"""),"198712242025212007")</f>
        <v>198712242025212007</v>
      </c>
      <c r="F380" s="3" t="str">
        <f ca="1">IFERROR(__xludf.DUMMYFUNCTION("""COMPUTED_VALUE"""),"19871224 202521 2 007")</f>
        <v>19871224 202521 2 007</v>
      </c>
      <c r="G380" s="3"/>
      <c r="H380" s="3"/>
      <c r="I380" s="3" t="str">
        <f ca="1">IFERROR(__xludf.DUMMYFUNCTION("""COMPUTED_VALUE"""),"PPPK")</f>
        <v>PPPK</v>
      </c>
      <c r="J380" s="3" t="str">
        <f ca="1">IFERROR(__xludf.DUMMYFUNCTION("""COMPUTED_VALUE"""),"Pegawai PPPK")</f>
        <v>Pegawai PPPK</v>
      </c>
      <c r="K380" s="5" t="str">
        <f ca="1">IFERROR(__xludf.DUMMYFUNCTION("""COMPUTED_VALUE"""),"P")</f>
        <v>P</v>
      </c>
      <c r="L380" s="3" t="str">
        <f ca="1">IFERROR(__xludf.DUMMYFUNCTION("""COMPUTED_VALUE"""),"Banyumas")</f>
        <v>Banyumas</v>
      </c>
      <c r="M380" s="11">
        <f ca="1">IFERROR(__xludf.DUMMYFUNCTION("""COMPUTED_VALUE"""),32135)</f>
        <v>32135</v>
      </c>
      <c r="N380" s="4"/>
      <c r="O380" s="3" t="str">
        <f ca="1">IFERROR(__xludf.DUMMYFUNCTION("""COMPUTED_VALUE"""),"IX")</f>
        <v>IX</v>
      </c>
      <c r="P380" s="7">
        <f ca="1">IFERROR(__xludf.DUMMYFUNCTION("""COMPUTED_VALUE"""),45717)</f>
        <v>45717</v>
      </c>
      <c r="Q380" s="3" t="str">
        <f ca="1">IFERROR(__xludf.DUMMYFUNCTION("""COMPUTED_VALUE"""),"287.9/Un.19/K.AUPK/KP.01.3/02/2025")</f>
        <v>287.9/Un.19/K.AUPK/KP.01.3/02/2025</v>
      </c>
      <c r="R380" s="3" t="str">
        <f ca="1">IFERROR(__xludf.DUMMYFUNCTION("""COMPUTED_VALUE"""),"Arsiparis")</f>
        <v>Arsiparis</v>
      </c>
      <c r="S380" s="3" t="str">
        <f ca="1">IFERROR(__xludf.DUMMYFUNCTION("""COMPUTED_VALUE"""),"Ahli Pertama")</f>
        <v>Ahli Pertama</v>
      </c>
      <c r="T380" s="7">
        <f ca="1">IFERROR(__xludf.DUMMYFUNCTION("""COMPUTED_VALUE"""),45717)</f>
        <v>45717</v>
      </c>
      <c r="U380" s="3"/>
      <c r="V380" s="7">
        <f ca="1">IFERROR(__xludf.DUMMYFUNCTION("""COMPUTED_VALUE"""),45716)</f>
        <v>45716</v>
      </c>
      <c r="W380" s="3">
        <f ca="1">IFERROR(__xludf.DUMMYFUNCTION("""COMPUTED_VALUE"""),8)</f>
        <v>8</v>
      </c>
      <c r="X380" s="3"/>
      <c r="Y380" s="3" t="str">
        <f ca="1">IFERROR(__xludf.DUMMYFUNCTION("""COMPUTED_VALUE"""),"S-1")</f>
        <v>S-1</v>
      </c>
      <c r="Z380" s="3" t="str">
        <f ca="1">IFERROR(__xludf.DUMMYFUNCTION("""COMPUTED_VALUE"""),"0 Tahun 8 Bulan 1 Hari")</f>
        <v>0 Tahun 8 Bulan 1 Hari</v>
      </c>
      <c r="AA380" s="8">
        <f ca="1">IFERROR(__xludf.DUMMYFUNCTION("""COMPUTED_VALUE"""),53328)</f>
        <v>53328</v>
      </c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4"/>
      <c r="AR380" s="3"/>
      <c r="AS380" s="4"/>
      <c r="AT380" s="3"/>
      <c r="AU380" s="3"/>
    </row>
    <row r="381" spans="1:47" x14ac:dyDescent="0.2">
      <c r="A381" s="12">
        <v>380</v>
      </c>
      <c r="B381" s="3" t="str">
        <f ca="1">IFERROR(__xludf.DUMMYFUNCTION("""COMPUTED_VALUE"""),"Dicki Hananto Wibowo")</f>
        <v>Dicki Hananto Wibowo</v>
      </c>
      <c r="C381" s="3" t="str">
        <f ca="1">IFERROR(__xludf.DUMMYFUNCTION("""COMPUTED_VALUE"""),"Dicki Hananto Wibowo, S.Kom.")</f>
        <v>Dicki Hananto Wibowo, S.Kom.</v>
      </c>
      <c r="D381" s="3" t="str">
        <f ca="1">IFERROR(__xludf.DUMMYFUNCTION("""COMPUTED_VALUE"""),"Dicki Hananto Wibowo, S.Kom.")</f>
        <v>Dicki Hananto Wibowo, S.Kom.</v>
      </c>
      <c r="E381" s="3" t="str">
        <f ca="1">IFERROR(__xludf.DUMMYFUNCTION("""COMPUTED_VALUE"""),"199201092025211010")</f>
        <v>199201092025211010</v>
      </c>
      <c r="F381" s="3" t="str">
        <f ca="1">IFERROR(__xludf.DUMMYFUNCTION("""COMPUTED_VALUE"""),"19920109 202521 1 010")</f>
        <v>19920109 202521 1 010</v>
      </c>
      <c r="G381" s="3"/>
      <c r="H381" s="3"/>
      <c r="I381" s="3" t="str">
        <f ca="1">IFERROR(__xludf.DUMMYFUNCTION("""COMPUTED_VALUE"""),"PPPK")</f>
        <v>PPPK</v>
      </c>
      <c r="J381" s="3" t="str">
        <f ca="1">IFERROR(__xludf.DUMMYFUNCTION("""COMPUTED_VALUE"""),"Pegawai PPPK")</f>
        <v>Pegawai PPPK</v>
      </c>
      <c r="K381" s="5" t="str">
        <f ca="1">IFERROR(__xludf.DUMMYFUNCTION("""COMPUTED_VALUE"""),"L")</f>
        <v>L</v>
      </c>
      <c r="L381" s="3" t="str">
        <f ca="1">IFERROR(__xludf.DUMMYFUNCTION("""COMPUTED_VALUE"""),"Banyumas")</f>
        <v>Banyumas</v>
      </c>
      <c r="M381" s="11">
        <f ca="1">IFERROR(__xludf.DUMMYFUNCTION("""COMPUTED_VALUE"""),33612)</f>
        <v>33612</v>
      </c>
      <c r="N381" s="4"/>
      <c r="O381" s="3" t="str">
        <f ca="1">IFERROR(__xludf.DUMMYFUNCTION("""COMPUTED_VALUE"""),"IX")</f>
        <v>IX</v>
      </c>
      <c r="P381" s="7">
        <f ca="1">IFERROR(__xludf.DUMMYFUNCTION("""COMPUTED_VALUE"""),45717)</f>
        <v>45717</v>
      </c>
      <c r="Q381" s="3" t="str">
        <f ca="1">IFERROR(__xludf.DUMMYFUNCTION("""COMPUTED_VALUE"""),"287.29/Un.19/K.AUPK/KP.01.3/02/2025")</f>
        <v>287.29/Un.19/K.AUPK/KP.01.3/02/2025</v>
      </c>
      <c r="R381" s="3" t="str">
        <f ca="1">IFERROR(__xludf.DUMMYFUNCTION("""COMPUTED_VALUE"""),"Pranata Komputer")</f>
        <v>Pranata Komputer</v>
      </c>
      <c r="S381" s="3" t="str">
        <f ca="1">IFERROR(__xludf.DUMMYFUNCTION("""COMPUTED_VALUE"""),"Ahli Pertama")</f>
        <v>Ahli Pertama</v>
      </c>
      <c r="T381" s="7">
        <f ca="1">IFERROR(__xludf.DUMMYFUNCTION("""COMPUTED_VALUE"""),45717)</f>
        <v>45717</v>
      </c>
      <c r="U381" s="3"/>
      <c r="V381" s="7">
        <f ca="1">IFERROR(__xludf.DUMMYFUNCTION("""COMPUTED_VALUE"""),45716)</f>
        <v>45716</v>
      </c>
      <c r="W381" s="3">
        <f ca="1">IFERROR(__xludf.DUMMYFUNCTION("""COMPUTED_VALUE"""),8)</f>
        <v>8</v>
      </c>
      <c r="X381" s="3"/>
      <c r="Y381" s="3" t="str">
        <f ca="1">IFERROR(__xludf.DUMMYFUNCTION("""COMPUTED_VALUE"""),"S-1")</f>
        <v>S-1</v>
      </c>
      <c r="Z381" s="3" t="str">
        <f ca="1">IFERROR(__xludf.DUMMYFUNCTION("""COMPUTED_VALUE"""),"0 Tahun 8 Bulan 1 Hari")</f>
        <v>0 Tahun 8 Bulan 1 Hari</v>
      </c>
      <c r="AA381" s="8">
        <f ca="1">IFERROR(__xludf.DUMMYFUNCTION("""COMPUTED_VALUE"""),54820)</f>
        <v>54820</v>
      </c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4"/>
      <c r="AR381" s="3"/>
      <c r="AS381" s="4"/>
      <c r="AT381" s="3"/>
      <c r="AU381" s="3"/>
    </row>
    <row r="382" spans="1:47" x14ac:dyDescent="0.2">
      <c r="A382" s="12">
        <v>381</v>
      </c>
      <c r="B382" s="3" t="str">
        <f ca="1">IFERROR(__xludf.DUMMYFUNCTION("""COMPUTED_VALUE"""),"Dinda Nur Hakim")</f>
        <v>Dinda Nur Hakim</v>
      </c>
      <c r="C382" s="3" t="str">
        <f ca="1">IFERROR(__xludf.DUMMYFUNCTION("""COMPUTED_VALUE"""),"Dinda Nur Hakim, S.E.")</f>
        <v>Dinda Nur Hakim, S.E.</v>
      </c>
      <c r="D382" s="3" t="str">
        <f ca="1">IFERROR(__xludf.DUMMYFUNCTION("""COMPUTED_VALUE"""),"Dinda Nur Hakim, S.E.")</f>
        <v>Dinda Nur Hakim, S.E.</v>
      </c>
      <c r="E382" s="3" t="str">
        <f ca="1">IFERROR(__xludf.DUMMYFUNCTION("""COMPUTED_VALUE"""),"199112132024212033")</f>
        <v>199112132024212033</v>
      </c>
      <c r="F382" s="3" t="str">
        <f ca="1">IFERROR(__xludf.DUMMYFUNCTION("""COMPUTED_VALUE"""),"19911213 202421 2 033")</f>
        <v>19911213 202421 2 033</v>
      </c>
      <c r="G382" s="3"/>
      <c r="H382" s="3"/>
      <c r="I382" s="3" t="str">
        <f ca="1">IFERROR(__xludf.DUMMYFUNCTION("""COMPUTED_VALUE"""),"PPPK")</f>
        <v>PPPK</v>
      </c>
      <c r="J382" s="3" t="str">
        <f ca="1">IFERROR(__xludf.DUMMYFUNCTION("""COMPUTED_VALUE"""),"Pegawai PPPK")</f>
        <v>Pegawai PPPK</v>
      </c>
      <c r="K382" s="5" t="str">
        <f ca="1">IFERROR(__xludf.DUMMYFUNCTION("""COMPUTED_VALUE"""),"P")</f>
        <v>P</v>
      </c>
      <c r="L382" s="3" t="str">
        <f ca="1">IFERROR(__xludf.DUMMYFUNCTION("""COMPUTED_VALUE"""),"Purbalingga")</f>
        <v>Purbalingga</v>
      </c>
      <c r="M382" s="11">
        <f ca="1">IFERROR(__xludf.DUMMYFUNCTION("""COMPUTED_VALUE"""),33585)</f>
        <v>33585</v>
      </c>
      <c r="N382" s="4"/>
      <c r="O382" s="3" t="str">
        <f ca="1">IFERROR(__xludf.DUMMYFUNCTION("""COMPUTED_VALUE"""),"IX")</f>
        <v>IX</v>
      </c>
      <c r="P382" s="7">
        <f ca="1">IFERROR(__xludf.DUMMYFUNCTION("""COMPUTED_VALUE"""),45352)</f>
        <v>45352</v>
      </c>
      <c r="Q382" s="3" t="str">
        <f ca="1">IFERROR(__xludf.DUMMYFUNCTION("""COMPUTED_VALUE"""),"495.4/Un.19/K.AUPK/KP.00.3/02/2024")</f>
        <v>495.4/Un.19/K.AUPK/KP.00.3/02/2024</v>
      </c>
      <c r="R382" s="3" t="str">
        <f ca="1">IFERROR(__xludf.DUMMYFUNCTION("""COMPUTED_VALUE"""),"Arsiparis")</f>
        <v>Arsiparis</v>
      </c>
      <c r="S382" s="3" t="str">
        <f ca="1">IFERROR(__xludf.DUMMYFUNCTION("""COMPUTED_VALUE"""),"Ahli Pertama")</f>
        <v>Ahli Pertama</v>
      </c>
      <c r="T382" s="7">
        <f ca="1">IFERROR(__xludf.DUMMYFUNCTION("""COMPUTED_VALUE"""),45352)</f>
        <v>45352</v>
      </c>
      <c r="U382" s="3"/>
      <c r="V382" s="7">
        <f ca="1">IFERROR(__xludf.DUMMYFUNCTION("""COMPUTED_VALUE"""),45351)</f>
        <v>45351</v>
      </c>
      <c r="W382" s="3">
        <f ca="1">IFERROR(__xludf.DUMMYFUNCTION("""COMPUTED_VALUE"""),8)</f>
        <v>8</v>
      </c>
      <c r="X382" s="3"/>
      <c r="Y382" s="3" t="str">
        <f ca="1">IFERROR(__xludf.DUMMYFUNCTION("""COMPUTED_VALUE"""),"S-1")</f>
        <v>S-1</v>
      </c>
      <c r="Z382" s="3" t="str">
        <f ca="1">IFERROR(__xludf.DUMMYFUNCTION("""COMPUTED_VALUE"""),"1 Tahun 8 Bulan 27 Hari")</f>
        <v>1 Tahun 8 Bulan 27 Hari</v>
      </c>
      <c r="AA382" s="8">
        <f ca="1">IFERROR(__xludf.DUMMYFUNCTION("""COMPUTED_VALUE"""),54789)</f>
        <v>54789</v>
      </c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4"/>
      <c r="AR382" s="3"/>
      <c r="AS382" s="4"/>
      <c r="AT382" s="3"/>
      <c r="AU382" s="3"/>
    </row>
    <row r="383" spans="1:47" x14ac:dyDescent="0.2">
      <c r="A383" s="12">
        <v>382</v>
      </c>
      <c r="B383" s="3" t="str">
        <f ca="1">IFERROR(__xludf.DUMMYFUNCTION("""COMPUTED_VALUE"""),"Dyah Septi Sulistiyani")</f>
        <v>Dyah Septi Sulistiyani</v>
      </c>
      <c r="C383" s="3" t="str">
        <f ca="1">IFERROR(__xludf.DUMMYFUNCTION("""COMPUTED_VALUE"""),"Dyah Septi Sulistiyani, S.E.")</f>
        <v>Dyah Septi Sulistiyani, S.E.</v>
      </c>
      <c r="D383" s="3" t="str">
        <f ca="1">IFERROR(__xludf.DUMMYFUNCTION("""COMPUTED_VALUE"""),"Dyah Septi Sulistiyani, S.E.")</f>
        <v>Dyah Septi Sulistiyani, S.E.</v>
      </c>
      <c r="E383" s="3" t="str">
        <f ca="1">IFERROR(__xludf.DUMMYFUNCTION("""COMPUTED_VALUE"""),"198709122023212040")</f>
        <v>198709122023212040</v>
      </c>
      <c r="F383" s="3" t="str">
        <f ca="1">IFERROR(__xludf.DUMMYFUNCTION("""COMPUTED_VALUE"""),"‌19870912 202321 2 040")</f>
        <v>‌19870912 202321 2 040</v>
      </c>
      <c r="G383" s="3"/>
      <c r="H383" s="3"/>
      <c r="I383" s="3" t="str">
        <f ca="1">IFERROR(__xludf.DUMMYFUNCTION("""COMPUTED_VALUE"""),"PPPK")</f>
        <v>PPPK</v>
      </c>
      <c r="J383" s="3" t="str">
        <f ca="1">IFERROR(__xludf.DUMMYFUNCTION("""COMPUTED_VALUE"""),"Pegawai PPPK")</f>
        <v>Pegawai PPPK</v>
      </c>
      <c r="K383" s="5" t="str">
        <f ca="1">IFERROR(__xludf.DUMMYFUNCTION("""COMPUTED_VALUE"""),"P")</f>
        <v>P</v>
      </c>
      <c r="L383" s="3" t="str">
        <f ca="1">IFERROR(__xludf.DUMMYFUNCTION("""COMPUTED_VALUE"""),"Purbalingga")</f>
        <v>Purbalingga</v>
      </c>
      <c r="M383" s="11">
        <f ca="1">IFERROR(__xludf.DUMMYFUNCTION("""COMPUTED_VALUE"""),32032)</f>
        <v>32032</v>
      </c>
      <c r="N383" s="4"/>
      <c r="O383" s="3" t="str">
        <f ca="1">IFERROR(__xludf.DUMMYFUNCTION("""COMPUTED_VALUE"""),"IX")</f>
        <v>IX</v>
      </c>
      <c r="P383" s="7">
        <f ca="1">IFERROR(__xludf.DUMMYFUNCTION("""COMPUTED_VALUE"""),45261)</f>
        <v>45261</v>
      </c>
      <c r="Q383" s="3" t="str">
        <f ca="1">IFERROR(__xludf.DUMMYFUNCTION("""COMPUTED_VALUE"""),"1741/Un.19/K.AUPK/KP.00.2/11/2023")</f>
        <v>1741/Un.19/K.AUPK/KP.00.2/11/2023</v>
      </c>
      <c r="R383" s="3" t="str">
        <f ca="1">IFERROR(__xludf.DUMMYFUNCTION("""COMPUTED_VALUE"""),"Analis Sumber Daya Manusia Aparatur")</f>
        <v>Analis Sumber Daya Manusia Aparatur</v>
      </c>
      <c r="S383" s="3" t="str">
        <f ca="1">IFERROR(__xludf.DUMMYFUNCTION("""COMPUTED_VALUE"""),"Ahli Pertama")</f>
        <v>Ahli Pertama</v>
      </c>
      <c r="T383" s="7">
        <f ca="1">IFERROR(__xludf.DUMMYFUNCTION("""COMPUTED_VALUE"""),45261)</f>
        <v>45261</v>
      </c>
      <c r="U383" s="3"/>
      <c r="V383" s="7">
        <f ca="1">IFERROR(__xludf.DUMMYFUNCTION("""COMPUTED_VALUE"""),45260)</f>
        <v>45260</v>
      </c>
      <c r="W383" s="3">
        <f ca="1">IFERROR(__xludf.DUMMYFUNCTION("""COMPUTED_VALUE"""),8)</f>
        <v>8</v>
      </c>
      <c r="X383" s="3"/>
      <c r="Y383" s="3" t="str">
        <f ca="1">IFERROR(__xludf.DUMMYFUNCTION("""COMPUTED_VALUE"""),"S-1")</f>
        <v>S-1</v>
      </c>
      <c r="Z383" s="3" t="str">
        <f ca="1">IFERROR(__xludf.DUMMYFUNCTION("""COMPUTED_VALUE"""),"2 Tahun 0 Bulan 27 Hari")</f>
        <v>2 Tahun 0 Bulan 27 Hari</v>
      </c>
      <c r="AA383" s="8">
        <f ca="1">IFERROR(__xludf.DUMMYFUNCTION("""COMPUTED_VALUE"""),53236)</f>
        <v>53236</v>
      </c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4"/>
      <c r="AR383" s="3"/>
      <c r="AS383" s="4"/>
      <c r="AT383" s="3"/>
      <c r="AU383" s="3"/>
    </row>
    <row r="384" spans="1:47" x14ac:dyDescent="0.2">
      <c r="A384" s="12">
        <v>383</v>
      </c>
      <c r="B384" s="3" t="str">
        <f ca="1">IFERROR(__xludf.DUMMYFUNCTION("""COMPUTED_VALUE"""),"Emi Damayanti")</f>
        <v>Emi Damayanti</v>
      </c>
      <c r="C384" s="3" t="str">
        <f ca="1">IFERROR(__xludf.DUMMYFUNCTION("""COMPUTED_VALUE"""),"Emi Damayanti, S.I.Pust.")</f>
        <v>Emi Damayanti, S.I.Pust.</v>
      </c>
      <c r="D384" s="3" t="str">
        <f ca="1">IFERROR(__xludf.DUMMYFUNCTION("""COMPUTED_VALUE"""),"Emi Damayanti, S.I.Pust.")</f>
        <v>Emi Damayanti, S.I.Pust.</v>
      </c>
      <c r="E384" s="3" t="str">
        <f ca="1">IFERROR(__xludf.DUMMYFUNCTION("""COMPUTED_VALUE"""),"199003142023212040")</f>
        <v>199003142023212040</v>
      </c>
      <c r="F384" s="3" t="str">
        <f ca="1">IFERROR(__xludf.DUMMYFUNCTION("""COMPUTED_VALUE"""),"19900314 202321 2 040")</f>
        <v>19900314 202321 2 040</v>
      </c>
      <c r="G384" s="3"/>
      <c r="H384" s="3"/>
      <c r="I384" s="3" t="str">
        <f ca="1">IFERROR(__xludf.DUMMYFUNCTION("""COMPUTED_VALUE"""),"PPPK")</f>
        <v>PPPK</v>
      </c>
      <c r="J384" s="3" t="str">
        <f ca="1">IFERROR(__xludf.DUMMYFUNCTION("""COMPUTED_VALUE"""),"Pegawai PPPK")</f>
        <v>Pegawai PPPK</v>
      </c>
      <c r="K384" s="5" t="str">
        <f ca="1">IFERROR(__xludf.DUMMYFUNCTION("""COMPUTED_VALUE"""),"P")</f>
        <v>P</v>
      </c>
      <c r="L384" s="3" t="str">
        <f ca="1">IFERROR(__xludf.DUMMYFUNCTION("""COMPUTED_VALUE"""),"Banyumas")</f>
        <v>Banyumas</v>
      </c>
      <c r="M384" s="11">
        <f ca="1">IFERROR(__xludf.DUMMYFUNCTION("""COMPUTED_VALUE"""),32946)</f>
        <v>32946</v>
      </c>
      <c r="N384" s="4"/>
      <c r="O384" s="3" t="str">
        <f ca="1">IFERROR(__xludf.DUMMYFUNCTION("""COMPUTED_VALUE"""),"IX")</f>
        <v>IX</v>
      </c>
      <c r="P384" s="7">
        <f ca="1">IFERROR(__xludf.DUMMYFUNCTION("""COMPUTED_VALUE"""),45139)</f>
        <v>45139</v>
      </c>
      <c r="Q384" s="3" t="str">
        <f ca="1">IFERROR(__xludf.DUMMYFUNCTION("""COMPUTED_VALUE"""),"996/Un.19/K.AUPK/KP.00.3/07/2023")</f>
        <v>996/Un.19/K.AUPK/KP.00.3/07/2023</v>
      </c>
      <c r="R384" s="3" t="str">
        <f ca="1">IFERROR(__xludf.DUMMYFUNCTION("""COMPUTED_VALUE"""),"Pustakawan")</f>
        <v>Pustakawan</v>
      </c>
      <c r="S384" s="3" t="str">
        <f ca="1">IFERROR(__xludf.DUMMYFUNCTION("""COMPUTED_VALUE"""),"Ahli Pertama")</f>
        <v>Ahli Pertama</v>
      </c>
      <c r="T384" s="7">
        <f ca="1">IFERROR(__xludf.DUMMYFUNCTION("""COMPUTED_VALUE"""),45139)</f>
        <v>45139</v>
      </c>
      <c r="U384" s="3"/>
      <c r="V384" s="7">
        <f ca="1">IFERROR(__xludf.DUMMYFUNCTION("""COMPUTED_VALUE"""),45138)</f>
        <v>45138</v>
      </c>
      <c r="W384" s="3">
        <f ca="1">IFERROR(__xludf.DUMMYFUNCTION("""COMPUTED_VALUE"""),8)</f>
        <v>8</v>
      </c>
      <c r="X384" s="3"/>
      <c r="Y384" s="3" t="str">
        <f ca="1">IFERROR(__xludf.DUMMYFUNCTION("""COMPUTED_VALUE"""),"S-1")</f>
        <v>S-1</v>
      </c>
      <c r="Z384" s="3" t="str">
        <f ca="1">IFERROR(__xludf.DUMMYFUNCTION("""COMPUTED_VALUE"""),"2 Tahun 4 Bulan 27 Hari")</f>
        <v>2 Tahun 4 Bulan 27 Hari</v>
      </c>
      <c r="AA384" s="8">
        <f ca="1">IFERROR(__xludf.DUMMYFUNCTION("""COMPUTED_VALUE"""),54149)</f>
        <v>54149</v>
      </c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4"/>
      <c r="AR384" s="3"/>
      <c r="AS384" s="4"/>
      <c r="AT384" s="3"/>
      <c r="AU384" s="3"/>
    </row>
    <row r="385" spans="1:47" x14ac:dyDescent="0.2">
      <c r="A385" s="12">
        <v>384</v>
      </c>
      <c r="B385" s="3" t="str">
        <f ca="1">IFERROR(__xludf.DUMMYFUNCTION("""COMPUTED_VALUE"""),"Endah Sarah Wanty")</f>
        <v>Endah Sarah Wanty</v>
      </c>
      <c r="C385" s="3" t="str">
        <f ca="1">IFERROR(__xludf.DUMMYFUNCTION("""COMPUTED_VALUE"""),"Endah Sarah Wanty, S.Kom.")</f>
        <v>Endah Sarah Wanty, S.Kom.</v>
      </c>
      <c r="D385" s="3" t="str">
        <f ca="1">IFERROR(__xludf.DUMMYFUNCTION("""COMPUTED_VALUE"""),"Endah Sarah Wanty, S.Kom., M.Kom.")</f>
        <v>Endah Sarah Wanty, S.Kom., M.Kom.</v>
      </c>
      <c r="E385" s="3" t="str">
        <f ca="1">IFERROR(__xludf.DUMMYFUNCTION("""COMPUTED_VALUE"""),"199408132023212040")</f>
        <v>199408132023212040</v>
      </c>
      <c r="F385" s="3" t="str">
        <f ca="1">IFERROR(__xludf.DUMMYFUNCTION("""COMPUTED_VALUE"""),"‌19940813 202321 2 040")</f>
        <v>‌19940813 202321 2 040</v>
      </c>
      <c r="G385" s="3"/>
      <c r="H385" s="3"/>
      <c r="I385" s="3" t="str">
        <f ca="1">IFERROR(__xludf.DUMMYFUNCTION("""COMPUTED_VALUE"""),"PPPK")</f>
        <v>PPPK</v>
      </c>
      <c r="J385" s="3" t="str">
        <f ca="1">IFERROR(__xludf.DUMMYFUNCTION("""COMPUTED_VALUE"""),"Pegawai PPPK")</f>
        <v>Pegawai PPPK</v>
      </c>
      <c r="K385" s="5" t="str">
        <f ca="1">IFERROR(__xludf.DUMMYFUNCTION("""COMPUTED_VALUE"""),"P")</f>
        <v>P</v>
      </c>
      <c r="L385" s="3" t="str">
        <f ca="1">IFERROR(__xludf.DUMMYFUNCTION("""COMPUTED_VALUE"""),"Banyumas")</f>
        <v>Banyumas</v>
      </c>
      <c r="M385" s="11">
        <f ca="1">IFERROR(__xludf.DUMMYFUNCTION("""COMPUTED_VALUE"""),34559)</f>
        <v>34559</v>
      </c>
      <c r="N385" s="4"/>
      <c r="O385" s="3" t="str">
        <f ca="1">IFERROR(__xludf.DUMMYFUNCTION("""COMPUTED_VALUE"""),"IX")</f>
        <v>IX</v>
      </c>
      <c r="P385" s="7">
        <f ca="1">IFERROR(__xludf.DUMMYFUNCTION("""COMPUTED_VALUE"""),45261)</f>
        <v>45261</v>
      </c>
      <c r="Q385" s="3" t="str">
        <f ca="1">IFERROR(__xludf.DUMMYFUNCTION("""COMPUTED_VALUE"""),"1736/Un.19/K.AUPK/KP.00.2/11/2023")</f>
        <v>1736/Un.19/K.AUPK/KP.00.2/11/2023</v>
      </c>
      <c r="R385" s="3" t="str">
        <f ca="1">IFERROR(__xludf.DUMMYFUNCTION("""COMPUTED_VALUE"""),"Pranata Komputer")</f>
        <v>Pranata Komputer</v>
      </c>
      <c r="S385" s="3" t="str">
        <f ca="1">IFERROR(__xludf.DUMMYFUNCTION("""COMPUTED_VALUE"""),"Ahli Pertama")</f>
        <v>Ahli Pertama</v>
      </c>
      <c r="T385" s="7">
        <f ca="1">IFERROR(__xludf.DUMMYFUNCTION("""COMPUTED_VALUE"""),45261)</f>
        <v>45261</v>
      </c>
      <c r="U385" s="3"/>
      <c r="V385" s="7">
        <f ca="1">IFERROR(__xludf.DUMMYFUNCTION("""COMPUTED_VALUE"""),45260)</f>
        <v>45260</v>
      </c>
      <c r="W385" s="3">
        <f ca="1">IFERROR(__xludf.DUMMYFUNCTION("""COMPUTED_VALUE"""),8)</f>
        <v>8</v>
      </c>
      <c r="X385" s="3"/>
      <c r="Y385" s="3" t="str">
        <f ca="1">IFERROR(__xludf.DUMMYFUNCTION("""COMPUTED_VALUE"""),"S-2")</f>
        <v>S-2</v>
      </c>
      <c r="Z385" s="3" t="str">
        <f ca="1">IFERROR(__xludf.DUMMYFUNCTION("""COMPUTED_VALUE"""),"2 Tahun 0 Bulan 27 Hari")</f>
        <v>2 Tahun 0 Bulan 27 Hari</v>
      </c>
      <c r="AA385" s="8">
        <f ca="1">IFERROR(__xludf.DUMMYFUNCTION("""COMPUTED_VALUE"""),55763)</f>
        <v>55763</v>
      </c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4"/>
      <c r="AR385" s="3"/>
      <c r="AS385" s="4"/>
      <c r="AT385" s="3"/>
      <c r="AU385" s="3"/>
    </row>
    <row r="386" spans="1:47" x14ac:dyDescent="0.2">
      <c r="A386" s="12">
        <v>385</v>
      </c>
      <c r="B386" s="3" t="str">
        <f ca="1">IFERROR(__xludf.DUMMYFUNCTION("""COMPUTED_VALUE"""),"Eri Adi Susanto")</f>
        <v>Eri Adi Susanto</v>
      </c>
      <c r="C386" s="3" t="str">
        <f ca="1">IFERROR(__xludf.DUMMYFUNCTION("""COMPUTED_VALUE"""),"Eri Adi Susanto, S.H.I.")</f>
        <v>Eri Adi Susanto, S.H.I.</v>
      </c>
      <c r="D386" s="3" t="str">
        <f ca="1">IFERROR(__xludf.DUMMYFUNCTION("""COMPUTED_VALUE"""),"Eri Adi Susanto, S.H.I.")</f>
        <v>Eri Adi Susanto, S.H.I.</v>
      </c>
      <c r="E386" s="3" t="str">
        <f ca="1">IFERROR(__xludf.DUMMYFUNCTION("""COMPUTED_VALUE"""),"198611122025211018")</f>
        <v>198611122025211018</v>
      </c>
      <c r="F386" s="3" t="str">
        <f ca="1">IFERROR(__xludf.DUMMYFUNCTION("""COMPUTED_VALUE"""),"19861112 202521 1 018")</f>
        <v>19861112 202521 1 018</v>
      </c>
      <c r="G386" s="3"/>
      <c r="H386" s="3"/>
      <c r="I386" s="3" t="str">
        <f ca="1">IFERROR(__xludf.DUMMYFUNCTION("""COMPUTED_VALUE"""),"PPPK")</f>
        <v>PPPK</v>
      </c>
      <c r="J386" s="3" t="str">
        <f ca="1">IFERROR(__xludf.DUMMYFUNCTION("""COMPUTED_VALUE"""),"Pegawai PPPK")</f>
        <v>Pegawai PPPK</v>
      </c>
      <c r="K386" s="5" t="str">
        <f ca="1">IFERROR(__xludf.DUMMYFUNCTION("""COMPUTED_VALUE"""),"L")</f>
        <v>L</v>
      </c>
      <c r="L386" s="3" t="str">
        <f ca="1">IFERROR(__xludf.DUMMYFUNCTION("""COMPUTED_VALUE"""),"Banyumas")</f>
        <v>Banyumas</v>
      </c>
      <c r="M386" s="11">
        <f ca="1">IFERROR(__xludf.DUMMYFUNCTION("""COMPUTED_VALUE"""),31728)</f>
        <v>31728</v>
      </c>
      <c r="N386" s="4"/>
      <c r="O386" s="3" t="str">
        <f ca="1">IFERROR(__xludf.DUMMYFUNCTION("""COMPUTED_VALUE"""),"IX")</f>
        <v>IX</v>
      </c>
      <c r="P386" s="7">
        <f ca="1">IFERROR(__xludf.DUMMYFUNCTION("""COMPUTED_VALUE"""),45717)</f>
        <v>45717</v>
      </c>
      <c r="Q386" s="3" t="str">
        <f ca="1">IFERROR(__xludf.DUMMYFUNCTION("""COMPUTED_VALUE"""),"287.14/Un.19/K.AUPK/KP.01.3/02/2025")</f>
        <v>287.14/Un.19/K.AUPK/KP.01.3/02/2025</v>
      </c>
      <c r="R386" s="3" t="str">
        <f ca="1">IFERROR(__xludf.DUMMYFUNCTION("""COMPUTED_VALUE"""),"‌Penata Layanan Operasional")</f>
        <v>‌Penata Layanan Operasional</v>
      </c>
      <c r="S386" s="3" t="str">
        <f ca="1">IFERROR(__xludf.DUMMYFUNCTION("""COMPUTED_VALUE"""),"Pelaksana")</f>
        <v>Pelaksana</v>
      </c>
      <c r="T386" s="7">
        <f ca="1">IFERROR(__xludf.DUMMYFUNCTION("""COMPUTED_VALUE"""),45717)</f>
        <v>45717</v>
      </c>
      <c r="U386" s="3"/>
      <c r="V386" s="7">
        <f ca="1">IFERROR(__xludf.DUMMYFUNCTION("""COMPUTED_VALUE"""),45716)</f>
        <v>45716</v>
      </c>
      <c r="W386" s="3">
        <f ca="1">IFERROR(__xludf.DUMMYFUNCTION("""COMPUTED_VALUE"""),7)</f>
        <v>7</v>
      </c>
      <c r="X386" s="3"/>
      <c r="Y386" s="3" t="str">
        <f ca="1">IFERROR(__xludf.DUMMYFUNCTION("""COMPUTED_VALUE"""),"S-1")</f>
        <v>S-1</v>
      </c>
      <c r="Z386" s="3" t="str">
        <f ca="1">IFERROR(__xludf.DUMMYFUNCTION("""COMPUTED_VALUE"""),"0 Tahun 8 Bulan 1 Hari")</f>
        <v>0 Tahun 8 Bulan 1 Hari</v>
      </c>
      <c r="AA386" s="8">
        <f ca="1">IFERROR(__xludf.DUMMYFUNCTION("""COMPUTED_VALUE"""),52932)</f>
        <v>52932</v>
      </c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4"/>
      <c r="AR386" s="3"/>
      <c r="AS386" s="4"/>
      <c r="AT386" s="3"/>
      <c r="AU386" s="3"/>
    </row>
    <row r="387" spans="1:47" x14ac:dyDescent="0.2">
      <c r="A387" s="12">
        <v>386</v>
      </c>
      <c r="B387" s="3" t="str">
        <f ca="1">IFERROR(__xludf.DUMMYFUNCTION("""COMPUTED_VALUE"""),"Fadhli Ardhia Salam")</f>
        <v>Fadhli Ardhia Salam</v>
      </c>
      <c r="C387" s="3" t="str">
        <f ca="1">IFERROR(__xludf.DUMMYFUNCTION("""COMPUTED_VALUE"""),"Fadhli Ardhia Salam, S.Kom.")</f>
        <v>Fadhli Ardhia Salam, S.Kom.</v>
      </c>
      <c r="D387" s="3" t="str">
        <f ca="1">IFERROR(__xludf.DUMMYFUNCTION("""COMPUTED_VALUE"""),"Fadhli Ardhia Salam, S.Kom.")</f>
        <v>Fadhli Ardhia Salam, S.Kom.</v>
      </c>
      <c r="E387" s="3" t="str">
        <f ca="1">IFERROR(__xludf.DUMMYFUNCTION("""COMPUTED_VALUE"""),"199706152025211006")</f>
        <v>199706152025211006</v>
      </c>
      <c r="F387" s="3" t="str">
        <f ca="1">IFERROR(__xludf.DUMMYFUNCTION("""COMPUTED_VALUE"""),"19970615 202521 1 006")</f>
        <v>19970615 202521 1 006</v>
      </c>
      <c r="G387" s="3"/>
      <c r="H387" s="3"/>
      <c r="I387" s="3" t="str">
        <f ca="1">IFERROR(__xludf.DUMMYFUNCTION("""COMPUTED_VALUE"""),"PPPK")</f>
        <v>PPPK</v>
      </c>
      <c r="J387" s="3" t="str">
        <f ca="1">IFERROR(__xludf.DUMMYFUNCTION("""COMPUTED_VALUE"""),"Pegawai PPPK")</f>
        <v>Pegawai PPPK</v>
      </c>
      <c r="K387" s="5" t="str">
        <f ca="1">IFERROR(__xludf.DUMMYFUNCTION("""COMPUTED_VALUE"""),"L")</f>
        <v>L</v>
      </c>
      <c r="L387" s="3" t="str">
        <f ca="1">IFERROR(__xludf.DUMMYFUNCTION("""COMPUTED_VALUE"""),"Banyumas")</f>
        <v>Banyumas</v>
      </c>
      <c r="M387" s="11">
        <f ca="1">IFERROR(__xludf.DUMMYFUNCTION("""COMPUTED_VALUE"""),35596)</f>
        <v>35596</v>
      </c>
      <c r="N387" s="4"/>
      <c r="O387" s="3" t="str">
        <f ca="1">IFERROR(__xludf.DUMMYFUNCTION("""COMPUTED_VALUE"""),"IX")</f>
        <v>IX</v>
      </c>
      <c r="P387" s="7">
        <f ca="1">IFERROR(__xludf.DUMMYFUNCTION("""COMPUTED_VALUE"""),45717)</f>
        <v>45717</v>
      </c>
      <c r="Q387" s="3" t="str">
        <f ca="1">IFERROR(__xludf.DUMMYFUNCTION("""COMPUTED_VALUE"""),"287.30/Un.19/K.AUPK/KP.01.3/02/2025")</f>
        <v>287.30/Un.19/K.AUPK/KP.01.3/02/2025</v>
      </c>
      <c r="R387" s="3" t="str">
        <f ca="1">IFERROR(__xludf.DUMMYFUNCTION("""COMPUTED_VALUE"""),"Pranata Komputer")</f>
        <v>Pranata Komputer</v>
      </c>
      <c r="S387" s="3" t="str">
        <f ca="1">IFERROR(__xludf.DUMMYFUNCTION("""COMPUTED_VALUE"""),"Ahli Pertama")</f>
        <v>Ahli Pertama</v>
      </c>
      <c r="T387" s="7">
        <f ca="1">IFERROR(__xludf.DUMMYFUNCTION("""COMPUTED_VALUE"""),45717)</f>
        <v>45717</v>
      </c>
      <c r="U387" s="3"/>
      <c r="V387" s="7">
        <f ca="1">IFERROR(__xludf.DUMMYFUNCTION("""COMPUTED_VALUE"""),45716)</f>
        <v>45716</v>
      </c>
      <c r="W387" s="3">
        <f ca="1">IFERROR(__xludf.DUMMYFUNCTION("""COMPUTED_VALUE"""),8)</f>
        <v>8</v>
      </c>
      <c r="X387" s="3"/>
      <c r="Y387" s="3" t="str">
        <f ca="1">IFERROR(__xludf.DUMMYFUNCTION("""COMPUTED_VALUE"""),"S-1")</f>
        <v>S-1</v>
      </c>
      <c r="Z387" s="3" t="str">
        <f ca="1">IFERROR(__xludf.DUMMYFUNCTION("""COMPUTED_VALUE"""),"0 Tahun 8 Bulan 1 Hari")</f>
        <v>0 Tahun 8 Bulan 1 Hari</v>
      </c>
      <c r="AA387" s="8">
        <f ca="1">IFERROR(__xludf.DUMMYFUNCTION("""COMPUTED_VALUE"""),56796)</f>
        <v>56796</v>
      </c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4"/>
      <c r="AR387" s="3"/>
      <c r="AS387" s="4"/>
      <c r="AT387" s="3"/>
      <c r="AU387" s="3"/>
    </row>
    <row r="388" spans="1:47" x14ac:dyDescent="0.2">
      <c r="A388" s="12">
        <v>387</v>
      </c>
      <c r="B388" s="3" t="str">
        <f ca="1">IFERROR(__xludf.DUMMYFUNCTION("""COMPUTED_VALUE"""),"Faisal Almahdibrata")</f>
        <v>Faisal Almahdibrata</v>
      </c>
      <c r="C388" s="3" t="str">
        <f ca="1">IFERROR(__xludf.DUMMYFUNCTION("""COMPUTED_VALUE"""),"Faisal Almahdibrata, S.E.")</f>
        <v>Faisal Almahdibrata, S.E.</v>
      </c>
      <c r="D388" s="3" t="str">
        <f ca="1">IFERROR(__xludf.DUMMYFUNCTION("""COMPUTED_VALUE"""),"Faisal Almahdibrata, S.E.")</f>
        <v>Faisal Almahdibrata, S.E.</v>
      </c>
      <c r="E388" s="3" t="str">
        <f ca="1">IFERROR(__xludf.DUMMYFUNCTION("""COMPUTED_VALUE"""),"199310222025211007")</f>
        <v>199310222025211007</v>
      </c>
      <c r="F388" s="3" t="str">
        <f ca="1">IFERROR(__xludf.DUMMYFUNCTION("""COMPUTED_VALUE"""),"19931022 202521 1 007")</f>
        <v>19931022 202521 1 007</v>
      </c>
      <c r="G388" s="3"/>
      <c r="H388" s="3"/>
      <c r="I388" s="3" t="str">
        <f ca="1">IFERROR(__xludf.DUMMYFUNCTION("""COMPUTED_VALUE"""),"PPPK")</f>
        <v>PPPK</v>
      </c>
      <c r="J388" s="3" t="str">
        <f ca="1">IFERROR(__xludf.DUMMYFUNCTION("""COMPUTED_VALUE"""),"Pegawai PPPK")</f>
        <v>Pegawai PPPK</v>
      </c>
      <c r="K388" s="5" t="str">
        <f ca="1">IFERROR(__xludf.DUMMYFUNCTION("""COMPUTED_VALUE"""),"L")</f>
        <v>L</v>
      </c>
      <c r="L388" s="3" t="str">
        <f ca="1">IFERROR(__xludf.DUMMYFUNCTION("""COMPUTED_VALUE"""),"Banyumas")</f>
        <v>Banyumas</v>
      </c>
      <c r="M388" s="11">
        <f ca="1">IFERROR(__xludf.DUMMYFUNCTION("""COMPUTED_VALUE"""),34264)</f>
        <v>34264</v>
      </c>
      <c r="N388" s="4"/>
      <c r="O388" s="3" t="str">
        <f ca="1">IFERROR(__xludf.DUMMYFUNCTION("""COMPUTED_VALUE"""),"IX")</f>
        <v>IX</v>
      </c>
      <c r="P388" s="7">
        <f ca="1">IFERROR(__xludf.DUMMYFUNCTION("""COMPUTED_VALUE"""),45717)</f>
        <v>45717</v>
      </c>
      <c r="Q388" s="3" t="str">
        <f ca="1">IFERROR(__xludf.DUMMYFUNCTION("""COMPUTED_VALUE"""),"287.15/Un.19/K.AUPK/KP.01.3/02/2025")</f>
        <v>287.15/Un.19/K.AUPK/KP.01.3/02/2025</v>
      </c>
      <c r="R388" s="3" t="str">
        <f ca="1">IFERROR(__xludf.DUMMYFUNCTION("""COMPUTED_VALUE"""),"‌Penata Layanan Operasional")</f>
        <v>‌Penata Layanan Operasional</v>
      </c>
      <c r="S388" s="3" t="str">
        <f ca="1">IFERROR(__xludf.DUMMYFUNCTION("""COMPUTED_VALUE"""),"Pelaksana")</f>
        <v>Pelaksana</v>
      </c>
      <c r="T388" s="7">
        <f ca="1">IFERROR(__xludf.DUMMYFUNCTION("""COMPUTED_VALUE"""),45717)</f>
        <v>45717</v>
      </c>
      <c r="U388" s="3"/>
      <c r="V388" s="7">
        <f ca="1">IFERROR(__xludf.DUMMYFUNCTION("""COMPUTED_VALUE"""),45716)</f>
        <v>45716</v>
      </c>
      <c r="W388" s="3">
        <f ca="1">IFERROR(__xludf.DUMMYFUNCTION("""COMPUTED_VALUE"""),7)</f>
        <v>7</v>
      </c>
      <c r="X388" s="3"/>
      <c r="Y388" s="3" t="str">
        <f ca="1">IFERROR(__xludf.DUMMYFUNCTION("""COMPUTED_VALUE"""),"S-1")</f>
        <v>S-1</v>
      </c>
      <c r="Z388" s="3" t="str">
        <f ca="1">IFERROR(__xludf.DUMMYFUNCTION("""COMPUTED_VALUE"""),"0 Tahun 8 Bulan 1 Hari")</f>
        <v>0 Tahun 8 Bulan 1 Hari</v>
      </c>
      <c r="AA388" s="8">
        <f ca="1">IFERROR(__xludf.DUMMYFUNCTION("""COMPUTED_VALUE"""),55458)</f>
        <v>55458</v>
      </c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4"/>
      <c r="AR388" s="3"/>
      <c r="AS388" s="4"/>
      <c r="AT388" s="3"/>
      <c r="AU388" s="3"/>
    </row>
    <row r="389" spans="1:47" x14ac:dyDescent="0.2">
      <c r="A389" s="12">
        <v>388</v>
      </c>
      <c r="B389" s="3" t="str">
        <f ca="1">IFERROR(__xludf.DUMMYFUNCTION("""COMPUTED_VALUE"""),"Fatwa Aji Kurniawan")</f>
        <v>Fatwa Aji Kurniawan</v>
      </c>
      <c r="C389" s="3" t="str">
        <f ca="1">IFERROR(__xludf.DUMMYFUNCTION("""COMPUTED_VALUE"""),"Fatwa Aji Kurniawan, S.Si.")</f>
        <v>Fatwa Aji Kurniawan, S.Si.</v>
      </c>
      <c r="D389" s="3" t="str">
        <f ca="1">IFERROR(__xludf.DUMMYFUNCTION("""COMPUTED_VALUE"""),"Fatwa Aji Kurniawan, S.Si., M.Pd.")</f>
        <v>Fatwa Aji Kurniawan, S.Si., M.Pd.</v>
      </c>
      <c r="E389" s="3" t="str">
        <f ca="1">IFERROR(__xludf.DUMMYFUNCTION("""COMPUTED_VALUE"""),"198907132023211021")</f>
        <v>198907132023211021</v>
      </c>
      <c r="F389" s="3" t="str">
        <f ca="1">IFERROR(__xludf.DUMMYFUNCTION("""COMPUTED_VALUE"""),"19890713 202321 1 021")</f>
        <v>19890713 202321 1 021</v>
      </c>
      <c r="G389" s="3"/>
      <c r="H389" s="3"/>
      <c r="I389" s="3" t="str">
        <f ca="1">IFERROR(__xludf.DUMMYFUNCTION("""COMPUTED_VALUE"""),"PPPK")</f>
        <v>PPPK</v>
      </c>
      <c r="J389" s="3" t="str">
        <f ca="1">IFERROR(__xludf.DUMMYFUNCTION("""COMPUTED_VALUE"""),"Pegawai PPPK")</f>
        <v>Pegawai PPPK</v>
      </c>
      <c r="K389" s="5" t="str">
        <f ca="1">IFERROR(__xludf.DUMMYFUNCTION("""COMPUTED_VALUE"""),"L")</f>
        <v>L</v>
      </c>
      <c r="L389" s="3" t="str">
        <f ca="1">IFERROR(__xludf.DUMMYFUNCTION("""COMPUTED_VALUE"""),"Brebes")</f>
        <v>Brebes</v>
      </c>
      <c r="M389" s="11">
        <f ca="1">IFERROR(__xludf.DUMMYFUNCTION("""COMPUTED_VALUE"""),32702)</f>
        <v>32702</v>
      </c>
      <c r="N389" s="4"/>
      <c r="O389" s="3" t="str">
        <f ca="1">IFERROR(__xludf.DUMMYFUNCTION("""COMPUTED_VALUE"""),"IX")</f>
        <v>IX</v>
      </c>
      <c r="P389" s="7">
        <f ca="1">IFERROR(__xludf.DUMMYFUNCTION("""COMPUTED_VALUE"""),45139)</f>
        <v>45139</v>
      </c>
      <c r="Q389" s="3" t="str">
        <f ca="1">IFERROR(__xludf.DUMMYFUNCTION("""COMPUTED_VALUE"""),"995/Un.19/K.AUPK/KP.00.3/07/2023")</f>
        <v>995/Un.19/K.AUPK/KP.00.3/07/2023</v>
      </c>
      <c r="R389" s="3" t="str">
        <f ca="1">IFERROR(__xludf.DUMMYFUNCTION("""COMPUTED_VALUE"""),"Pengembang Teknologi Pembelajaran")</f>
        <v>Pengembang Teknologi Pembelajaran</v>
      </c>
      <c r="S389" s="3" t="str">
        <f ca="1">IFERROR(__xludf.DUMMYFUNCTION("""COMPUTED_VALUE"""),"Ahli Pertama")</f>
        <v>Ahli Pertama</v>
      </c>
      <c r="T389" s="7">
        <f ca="1">IFERROR(__xludf.DUMMYFUNCTION("""COMPUTED_VALUE"""),45139)</f>
        <v>45139</v>
      </c>
      <c r="U389" s="3"/>
      <c r="V389" s="7">
        <f ca="1">IFERROR(__xludf.DUMMYFUNCTION("""COMPUTED_VALUE"""),45138)</f>
        <v>45138</v>
      </c>
      <c r="W389" s="3">
        <f ca="1">IFERROR(__xludf.DUMMYFUNCTION("""COMPUTED_VALUE"""),8)</f>
        <v>8</v>
      </c>
      <c r="X389" s="3"/>
      <c r="Y389" s="3" t="str">
        <f ca="1">IFERROR(__xludf.DUMMYFUNCTION("""COMPUTED_VALUE"""),"S-2")</f>
        <v>S-2</v>
      </c>
      <c r="Z389" s="3" t="str">
        <f ca="1">IFERROR(__xludf.DUMMYFUNCTION("""COMPUTED_VALUE"""),"2 Tahun 4 Bulan 27 Hari")</f>
        <v>2 Tahun 4 Bulan 27 Hari</v>
      </c>
      <c r="AA389" s="8">
        <f ca="1">IFERROR(__xludf.DUMMYFUNCTION("""COMPUTED_VALUE"""),53905)</f>
        <v>53905</v>
      </c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4"/>
      <c r="AR389" s="3"/>
      <c r="AS389" s="4"/>
      <c r="AT389" s="3"/>
      <c r="AU389" s="3"/>
    </row>
    <row r="390" spans="1:47" x14ac:dyDescent="0.2">
      <c r="A390" s="12">
        <v>389</v>
      </c>
      <c r="B390" s="3" t="str">
        <f ca="1">IFERROR(__xludf.DUMMYFUNCTION("""COMPUTED_VALUE"""),"Fery Krustiono Pratama")</f>
        <v>Fery Krustiono Pratama</v>
      </c>
      <c r="C390" s="3" t="str">
        <f ca="1">IFERROR(__xludf.DUMMYFUNCTION("""COMPUTED_VALUE"""),"Fery Krustiono Pratama, S.I.Kom.")</f>
        <v>Fery Krustiono Pratama, S.I.Kom.</v>
      </c>
      <c r="D390" s="3" t="str">
        <f ca="1">IFERROR(__xludf.DUMMYFUNCTION("""COMPUTED_VALUE"""),"Fery Krustiono Pratama, S.I.Kom.")</f>
        <v>Fery Krustiono Pratama, S.I.Kom.</v>
      </c>
      <c r="E390" s="3" t="str">
        <f ca="1">IFERROR(__xludf.DUMMYFUNCTION("""COMPUTED_VALUE"""),"199202122023211019")</f>
        <v>199202122023211019</v>
      </c>
      <c r="F390" s="3" t="str">
        <f ca="1">IFERROR(__xludf.DUMMYFUNCTION("""COMPUTED_VALUE"""),"19920212 202321 1 019")</f>
        <v>19920212 202321 1 019</v>
      </c>
      <c r="G390" s="3"/>
      <c r="H390" s="3"/>
      <c r="I390" s="3" t="str">
        <f ca="1">IFERROR(__xludf.DUMMYFUNCTION("""COMPUTED_VALUE"""),"PPPK")</f>
        <v>PPPK</v>
      </c>
      <c r="J390" s="3" t="str">
        <f ca="1">IFERROR(__xludf.DUMMYFUNCTION("""COMPUTED_VALUE"""),"Pegawai PPPK")</f>
        <v>Pegawai PPPK</v>
      </c>
      <c r="K390" s="5" t="str">
        <f ca="1">IFERROR(__xludf.DUMMYFUNCTION("""COMPUTED_VALUE"""),"L")</f>
        <v>L</v>
      </c>
      <c r="L390" s="3" t="str">
        <f ca="1">IFERROR(__xludf.DUMMYFUNCTION("""COMPUTED_VALUE"""),"Banyumas")</f>
        <v>Banyumas</v>
      </c>
      <c r="M390" s="11">
        <f ca="1">IFERROR(__xludf.DUMMYFUNCTION("""COMPUTED_VALUE"""),33646)</f>
        <v>33646</v>
      </c>
      <c r="N390" s="4"/>
      <c r="O390" s="3" t="str">
        <f ca="1">IFERROR(__xludf.DUMMYFUNCTION("""COMPUTED_VALUE"""),"IX")</f>
        <v>IX</v>
      </c>
      <c r="P390" s="7">
        <f ca="1">IFERROR(__xludf.DUMMYFUNCTION("""COMPUTED_VALUE"""),45139)</f>
        <v>45139</v>
      </c>
      <c r="Q390" s="3" t="str">
        <f ca="1">IFERROR(__xludf.DUMMYFUNCTION("""COMPUTED_VALUE"""),"998/Un.19/K.AUPK/KP.00.3/07/2023")</f>
        <v>998/Un.19/K.AUPK/KP.00.3/07/2023</v>
      </c>
      <c r="R390" s="3" t="str">
        <f ca="1">IFERROR(__xludf.DUMMYFUNCTION("""COMPUTED_VALUE"""),"Pranata Hubungan Masyarakat")</f>
        <v>Pranata Hubungan Masyarakat</v>
      </c>
      <c r="S390" s="3" t="str">
        <f ca="1">IFERROR(__xludf.DUMMYFUNCTION("""COMPUTED_VALUE"""),"Ahli Pertama")</f>
        <v>Ahli Pertama</v>
      </c>
      <c r="T390" s="7">
        <f ca="1">IFERROR(__xludf.DUMMYFUNCTION("""COMPUTED_VALUE"""),45139)</f>
        <v>45139</v>
      </c>
      <c r="U390" s="3"/>
      <c r="V390" s="7">
        <f ca="1">IFERROR(__xludf.DUMMYFUNCTION("""COMPUTED_VALUE"""),45138)</f>
        <v>45138</v>
      </c>
      <c r="W390" s="3">
        <f ca="1">IFERROR(__xludf.DUMMYFUNCTION("""COMPUTED_VALUE"""),8)</f>
        <v>8</v>
      </c>
      <c r="X390" s="3"/>
      <c r="Y390" s="3" t="str">
        <f ca="1">IFERROR(__xludf.DUMMYFUNCTION("""COMPUTED_VALUE"""),"S-1")</f>
        <v>S-1</v>
      </c>
      <c r="Z390" s="3" t="str">
        <f ca="1">IFERROR(__xludf.DUMMYFUNCTION("""COMPUTED_VALUE"""),"2 Tahun 4 Bulan 27 Hari")</f>
        <v>2 Tahun 4 Bulan 27 Hari</v>
      </c>
      <c r="AA390" s="8">
        <f ca="1">IFERROR(__xludf.DUMMYFUNCTION("""COMPUTED_VALUE"""),54848)</f>
        <v>54848</v>
      </c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4"/>
      <c r="AR390" s="3"/>
      <c r="AS390" s="4"/>
      <c r="AT390" s="3"/>
      <c r="AU390" s="3"/>
    </row>
    <row r="391" spans="1:47" x14ac:dyDescent="0.2">
      <c r="A391" s="12">
        <v>390</v>
      </c>
      <c r="B391" s="3" t="str">
        <f ca="1">IFERROR(__xludf.DUMMYFUNCTION("""COMPUTED_VALUE"""),"Hobby Saukhi")</f>
        <v>Hobby Saukhi</v>
      </c>
      <c r="C391" s="3" t="str">
        <f ca="1">IFERROR(__xludf.DUMMYFUNCTION("""COMPUTED_VALUE"""),"Hobby Saukhi, S.Kom.")</f>
        <v>Hobby Saukhi, S.Kom.</v>
      </c>
      <c r="D391" s="3" t="str">
        <f ca="1">IFERROR(__xludf.DUMMYFUNCTION("""COMPUTED_VALUE"""),"Hobby Saukhi, S.Kom.")</f>
        <v>Hobby Saukhi, S.Kom.</v>
      </c>
      <c r="E391" s="3" t="str">
        <f ca="1">IFERROR(__xludf.DUMMYFUNCTION("""COMPUTED_VALUE"""),"197705042023211007")</f>
        <v>197705042023211007</v>
      </c>
      <c r="F391" s="3" t="str">
        <f ca="1">IFERROR(__xludf.DUMMYFUNCTION("""COMPUTED_VALUE"""),"‌19770504 202321 1 007")</f>
        <v>‌19770504 202321 1 007</v>
      </c>
      <c r="G391" s="3"/>
      <c r="H391" s="3"/>
      <c r="I391" s="3" t="str">
        <f ca="1">IFERROR(__xludf.DUMMYFUNCTION("""COMPUTED_VALUE"""),"PPPK")</f>
        <v>PPPK</v>
      </c>
      <c r="J391" s="3" t="str">
        <f ca="1">IFERROR(__xludf.DUMMYFUNCTION("""COMPUTED_VALUE"""),"Pegawai PPPK")</f>
        <v>Pegawai PPPK</v>
      </c>
      <c r="K391" s="5" t="str">
        <f ca="1">IFERROR(__xludf.DUMMYFUNCTION("""COMPUTED_VALUE"""),"L")</f>
        <v>L</v>
      </c>
      <c r="L391" s="3" t="str">
        <f ca="1">IFERROR(__xludf.DUMMYFUNCTION("""COMPUTED_VALUE"""),"Banyumas")</f>
        <v>Banyumas</v>
      </c>
      <c r="M391" s="11">
        <f ca="1">IFERROR(__xludf.DUMMYFUNCTION("""COMPUTED_VALUE"""),28249)</f>
        <v>28249</v>
      </c>
      <c r="N391" s="4"/>
      <c r="O391" s="3" t="str">
        <f ca="1">IFERROR(__xludf.DUMMYFUNCTION("""COMPUTED_VALUE"""),"IX")</f>
        <v>IX</v>
      </c>
      <c r="P391" s="7">
        <f ca="1">IFERROR(__xludf.DUMMYFUNCTION("""COMPUTED_VALUE"""),45261)</f>
        <v>45261</v>
      </c>
      <c r="Q391" s="3" t="str">
        <f ca="1">IFERROR(__xludf.DUMMYFUNCTION("""COMPUTED_VALUE"""),"1746/Un.19/K.AUPK/KP.00.2/11/2023")</f>
        <v>1746/Un.19/K.AUPK/KP.00.2/11/2023</v>
      </c>
      <c r="R391" s="3" t="str">
        <f ca="1">IFERROR(__xludf.DUMMYFUNCTION("""COMPUTED_VALUE"""),"Pranata Komputer")</f>
        <v>Pranata Komputer</v>
      </c>
      <c r="S391" s="3" t="str">
        <f ca="1">IFERROR(__xludf.DUMMYFUNCTION("""COMPUTED_VALUE"""),"Ahli Pertama")</f>
        <v>Ahli Pertama</v>
      </c>
      <c r="T391" s="7">
        <f ca="1">IFERROR(__xludf.DUMMYFUNCTION("""COMPUTED_VALUE"""),45261)</f>
        <v>45261</v>
      </c>
      <c r="U391" s="3"/>
      <c r="V391" s="7">
        <f ca="1">IFERROR(__xludf.DUMMYFUNCTION("""COMPUTED_VALUE"""),45260)</f>
        <v>45260</v>
      </c>
      <c r="W391" s="3">
        <f ca="1">IFERROR(__xludf.DUMMYFUNCTION("""COMPUTED_VALUE"""),8)</f>
        <v>8</v>
      </c>
      <c r="X391" s="3"/>
      <c r="Y391" s="3" t="str">
        <f ca="1">IFERROR(__xludf.DUMMYFUNCTION("""COMPUTED_VALUE"""),"S-1")</f>
        <v>S-1</v>
      </c>
      <c r="Z391" s="3" t="str">
        <f ca="1">IFERROR(__xludf.DUMMYFUNCTION("""COMPUTED_VALUE"""),"2 Tahun 0 Bulan 27 Hari")</f>
        <v>2 Tahun 0 Bulan 27 Hari</v>
      </c>
      <c r="AA391" s="8">
        <f ca="1">IFERROR(__xludf.DUMMYFUNCTION("""COMPUTED_VALUE"""),49461)</f>
        <v>49461</v>
      </c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4"/>
      <c r="AR391" s="3"/>
      <c r="AS391" s="4"/>
      <c r="AT391" s="3"/>
      <c r="AU391" s="3"/>
    </row>
    <row r="392" spans="1:47" x14ac:dyDescent="0.2">
      <c r="A392" s="12">
        <v>391</v>
      </c>
      <c r="B392" s="3" t="str">
        <f ca="1">IFERROR(__xludf.DUMMYFUNCTION("""COMPUTED_VALUE"""),"Indri Yunita")</f>
        <v>Indri Yunita</v>
      </c>
      <c r="C392" s="3" t="str">
        <f ca="1">IFERROR(__xludf.DUMMYFUNCTION("""COMPUTED_VALUE"""),"Indri Yunita, S.Sos.")</f>
        <v>Indri Yunita, S.Sos.</v>
      </c>
      <c r="D392" s="3" t="str">
        <f ca="1">IFERROR(__xludf.DUMMYFUNCTION("""COMPUTED_VALUE"""),"Indri Yunita, S.Sos.")</f>
        <v>Indri Yunita, S.Sos.</v>
      </c>
      <c r="E392" s="3" t="str">
        <f ca="1">IFERROR(__xludf.DUMMYFUNCTION("""COMPUTED_VALUE"""),"199204032023212033")</f>
        <v>199204032023212033</v>
      </c>
      <c r="F392" s="3" t="str">
        <f ca="1">IFERROR(__xludf.DUMMYFUNCTION("""COMPUTED_VALUE"""),"19920403 202321 2 033")</f>
        <v>19920403 202321 2 033</v>
      </c>
      <c r="G392" s="3"/>
      <c r="H392" s="3"/>
      <c r="I392" s="3" t="str">
        <f ca="1">IFERROR(__xludf.DUMMYFUNCTION("""COMPUTED_VALUE"""),"PPPK")</f>
        <v>PPPK</v>
      </c>
      <c r="J392" s="3" t="str">
        <f ca="1">IFERROR(__xludf.DUMMYFUNCTION("""COMPUTED_VALUE"""),"Pegawai PPPK")</f>
        <v>Pegawai PPPK</v>
      </c>
      <c r="K392" s="5" t="str">
        <f ca="1">IFERROR(__xludf.DUMMYFUNCTION("""COMPUTED_VALUE"""),"P")</f>
        <v>P</v>
      </c>
      <c r="L392" s="3" t="str">
        <f ca="1">IFERROR(__xludf.DUMMYFUNCTION("""COMPUTED_VALUE"""),"Banjarnegara")</f>
        <v>Banjarnegara</v>
      </c>
      <c r="M392" s="11">
        <f ca="1">IFERROR(__xludf.DUMMYFUNCTION("""COMPUTED_VALUE"""),33697)</f>
        <v>33697</v>
      </c>
      <c r="N392" s="4"/>
      <c r="O392" s="3" t="str">
        <f ca="1">IFERROR(__xludf.DUMMYFUNCTION("""COMPUTED_VALUE"""),"IX")</f>
        <v>IX</v>
      </c>
      <c r="P392" s="7">
        <f ca="1">IFERROR(__xludf.DUMMYFUNCTION("""COMPUTED_VALUE"""),45139)</f>
        <v>45139</v>
      </c>
      <c r="Q392" s="3" t="str">
        <f ca="1">IFERROR(__xludf.DUMMYFUNCTION("""COMPUTED_VALUE"""),"999/Un.19/K.AUPK/KP.00.3/07/2023")</f>
        <v>999/Un.19/K.AUPK/KP.00.3/07/2023</v>
      </c>
      <c r="R392" s="3" t="str">
        <f ca="1">IFERROR(__xludf.DUMMYFUNCTION("""COMPUTED_VALUE"""),"Pranata Hubungan Masyarakat")</f>
        <v>Pranata Hubungan Masyarakat</v>
      </c>
      <c r="S392" s="3" t="str">
        <f ca="1">IFERROR(__xludf.DUMMYFUNCTION("""COMPUTED_VALUE"""),"Ahli Pertama")</f>
        <v>Ahli Pertama</v>
      </c>
      <c r="T392" s="7">
        <f ca="1">IFERROR(__xludf.DUMMYFUNCTION("""COMPUTED_VALUE"""),45139)</f>
        <v>45139</v>
      </c>
      <c r="U392" s="3"/>
      <c r="V392" s="7">
        <f ca="1">IFERROR(__xludf.DUMMYFUNCTION("""COMPUTED_VALUE"""),45138)</f>
        <v>45138</v>
      </c>
      <c r="W392" s="3">
        <f ca="1">IFERROR(__xludf.DUMMYFUNCTION("""COMPUTED_VALUE"""),8)</f>
        <v>8</v>
      </c>
      <c r="X392" s="3"/>
      <c r="Y392" s="3" t="str">
        <f ca="1">IFERROR(__xludf.DUMMYFUNCTION("""COMPUTED_VALUE"""),"S-1")</f>
        <v>S-1</v>
      </c>
      <c r="Z392" s="3" t="str">
        <f ca="1">IFERROR(__xludf.DUMMYFUNCTION("""COMPUTED_VALUE"""),"2 Tahun 4 Bulan 27 Hari")</f>
        <v>2 Tahun 4 Bulan 27 Hari</v>
      </c>
      <c r="AA392" s="8">
        <f ca="1">IFERROR(__xludf.DUMMYFUNCTION("""COMPUTED_VALUE"""),54909)</f>
        <v>54909</v>
      </c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4"/>
      <c r="AR392" s="3"/>
      <c r="AS392" s="4"/>
      <c r="AT392" s="3"/>
      <c r="AU392" s="3"/>
    </row>
    <row r="393" spans="1:47" x14ac:dyDescent="0.2">
      <c r="A393" s="12">
        <v>392</v>
      </c>
      <c r="B393" s="3" t="str">
        <f ca="1">IFERROR(__xludf.DUMMYFUNCTION("""COMPUTED_VALUE"""),"Jokoadi Pancanugraha")</f>
        <v>Jokoadi Pancanugraha</v>
      </c>
      <c r="C393" s="3" t="str">
        <f ca="1">IFERROR(__xludf.DUMMYFUNCTION("""COMPUTED_VALUE"""),"Joko Adi Panca Nugraha, S.Pd.")</f>
        <v>Joko Adi Panca Nugraha, S.Pd.</v>
      </c>
      <c r="D393" s="3" t="str">
        <f ca="1">IFERROR(__xludf.DUMMYFUNCTION("""COMPUTED_VALUE"""),"Joko Adi Panca Nugraha, S.Pd.")</f>
        <v>Joko Adi Panca Nugraha, S.Pd.</v>
      </c>
      <c r="E393" s="3" t="str">
        <f ca="1">IFERROR(__xludf.DUMMYFUNCTION("""COMPUTED_VALUE"""),"198904142023211040")</f>
        <v>198904142023211040</v>
      </c>
      <c r="F393" s="3" t="str">
        <f ca="1">IFERROR(__xludf.DUMMYFUNCTION("""COMPUTED_VALUE"""),"19890414 202321 1 040")</f>
        <v>19890414 202321 1 040</v>
      </c>
      <c r="G393" s="3"/>
      <c r="H393" s="3"/>
      <c r="I393" s="3" t="str">
        <f ca="1">IFERROR(__xludf.DUMMYFUNCTION("""COMPUTED_VALUE"""),"PPPK")</f>
        <v>PPPK</v>
      </c>
      <c r="J393" s="3" t="str">
        <f ca="1">IFERROR(__xludf.DUMMYFUNCTION("""COMPUTED_VALUE"""),"Pegawai PPPK")</f>
        <v>Pegawai PPPK</v>
      </c>
      <c r="K393" s="5" t="str">
        <f ca="1">IFERROR(__xludf.DUMMYFUNCTION("""COMPUTED_VALUE"""),"L")</f>
        <v>L</v>
      </c>
      <c r="L393" s="3" t="str">
        <f ca="1">IFERROR(__xludf.DUMMYFUNCTION("""COMPUTED_VALUE"""),"Banyumas")</f>
        <v>Banyumas</v>
      </c>
      <c r="M393" s="11">
        <f ca="1">IFERROR(__xludf.DUMMYFUNCTION("""COMPUTED_VALUE"""),32612)</f>
        <v>32612</v>
      </c>
      <c r="N393" s="4"/>
      <c r="O393" s="3" t="str">
        <f ca="1">IFERROR(__xludf.DUMMYFUNCTION("""COMPUTED_VALUE"""),"IX")</f>
        <v>IX</v>
      </c>
      <c r="P393" s="7">
        <f ca="1">IFERROR(__xludf.DUMMYFUNCTION("""COMPUTED_VALUE"""),45139)</f>
        <v>45139</v>
      </c>
      <c r="Q393" s="3" t="str">
        <f ca="1">IFERROR(__xludf.DUMMYFUNCTION("""COMPUTED_VALUE"""),"994/Un.19/K.AUPK/KP.00.3/07/2023")</f>
        <v>994/Un.19/K.AUPK/KP.00.3/07/2023</v>
      </c>
      <c r="R393" s="3" t="str">
        <f ca="1">IFERROR(__xludf.DUMMYFUNCTION("""COMPUTED_VALUE"""),"Pengembang Teknologi Pembelajaran")</f>
        <v>Pengembang Teknologi Pembelajaran</v>
      </c>
      <c r="S393" s="3" t="str">
        <f ca="1">IFERROR(__xludf.DUMMYFUNCTION("""COMPUTED_VALUE"""),"Ahli Pertama")</f>
        <v>Ahli Pertama</v>
      </c>
      <c r="T393" s="7">
        <f ca="1">IFERROR(__xludf.DUMMYFUNCTION("""COMPUTED_VALUE"""),45139)</f>
        <v>45139</v>
      </c>
      <c r="U393" s="3"/>
      <c r="V393" s="7">
        <f ca="1">IFERROR(__xludf.DUMMYFUNCTION("""COMPUTED_VALUE"""),45138)</f>
        <v>45138</v>
      </c>
      <c r="W393" s="3">
        <f ca="1">IFERROR(__xludf.DUMMYFUNCTION("""COMPUTED_VALUE"""),8)</f>
        <v>8</v>
      </c>
      <c r="X393" s="3"/>
      <c r="Y393" s="3" t="str">
        <f ca="1">IFERROR(__xludf.DUMMYFUNCTION("""COMPUTED_VALUE"""),"S-1")</f>
        <v>S-1</v>
      </c>
      <c r="Z393" s="3" t="str">
        <f ca="1">IFERROR(__xludf.DUMMYFUNCTION("""COMPUTED_VALUE"""),"2 Tahun 4 Bulan 27 Hari")</f>
        <v>2 Tahun 4 Bulan 27 Hari</v>
      </c>
      <c r="AA393" s="8">
        <f ca="1">IFERROR(__xludf.DUMMYFUNCTION("""COMPUTED_VALUE"""),53813)</f>
        <v>53813</v>
      </c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4"/>
      <c r="AR393" s="3"/>
      <c r="AS393" s="4"/>
      <c r="AT393" s="3"/>
      <c r="AU393" s="3"/>
    </row>
    <row r="394" spans="1:47" x14ac:dyDescent="0.2">
      <c r="A394" s="12">
        <v>393</v>
      </c>
      <c r="B394" s="3" t="str">
        <f ca="1">IFERROR(__xludf.DUMMYFUNCTION("""COMPUTED_VALUE"""),"Khulqian Afief")</f>
        <v>Khulqian Afief</v>
      </c>
      <c r="C394" s="3" t="str">
        <f ca="1">IFERROR(__xludf.DUMMYFUNCTION("""COMPUTED_VALUE"""),"Khulqian Afief, S.Pd.")</f>
        <v>Khulqian Afief, S.Pd.</v>
      </c>
      <c r="D394" s="3" t="str">
        <f ca="1">IFERROR(__xludf.DUMMYFUNCTION("""COMPUTED_VALUE"""),"Khulqian Afief, S.Pd.")</f>
        <v>Khulqian Afief, S.Pd.</v>
      </c>
      <c r="E394" s="3" t="str">
        <f ca="1">IFERROR(__xludf.DUMMYFUNCTION("""COMPUTED_VALUE"""),"199507192025211006")</f>
        <v>199507192025211006</v>
      </c>
      <c r="F394" s="3" t="str">
        <f ca="1">IFERROR(__xludf.DUMMYFUNCTION("""COMPUTED_VALUE"""),"19950719 202521 1 006")</f>
        <v>19950719 202521 1 006</v>
      </c>
      <c r="G394" s="3"/>
      <c r="H394" s="3"/>
      <c r="I394" s="3" t="str">
        <f ca="1">IFERROR(__xludf.DUMMYFUNCTION("""COMPUTED_VALUE"""),"PPPK")</f>
        <v>PPPK</v>
      </c>
      <c r="J394" s="3" t="str">
        <f ca="1">IFERROR(__xludf.DUMMYFUNCTION("""COMPUTED_VALUE"""),"Pegawai PPPK")</f>
        <v>Pegawai PPPK</v>
      </c>
      <c r="K394" s="5" t="str">
        <f ca="1">IFERROR(__xludf.DUMMYFUNCTION("""COMPUTED_VALUE"""),"L")</f>
        <v>L</v>
      </c>
      <c r="L394" s="3" t="str">
        <f ca="1">IFERROR(__xludf.DUMMYFUNCTION("""COMPUTED_VALUE"""),"Cilacap")</f>
        <v>Cilacap</v>
      </c>
      <c r="M394" s="11">
        <f ca="1">IFERROR(__xludf.DUMMYFUNCTION("""COMPUTED_VALUE"""),34899)</f>
        <v>34899</v>
      </c>
      <c r="N394" s="4"/>
      <c r="O394" s="3" t="str">
        <f ca="1">IFERROR(__xludf.DUMMYFUNCTION("""COMPUTED_VALUE"""),"IX")</f>
        <v>IX</v>
      </c>
      <c r="P394" s="7">
        <f ca="1">IFERROR(__xludf.DUMMYFUNCTION("""COMPUTED_VALUE"""),45717)</f>
        <v>45717</v>
      </c>
      <c r="Q394" s="3" t="str">
        <f ca="1">IFERROR(__xludf.DUMMYFUNCTION("""COMPUTED_VALUE"""),"287.24/Un.19/K.AUPK/KP.01.3/02/2025")</f>
        <v>287.24/Un.19/K.AUPK/KP.01.3/02/2025</v>
      </c>
      <c r="R394" s="3" t="str">
        <f ca="1">IFERROR(__xludf.DUMMYFUNCTION("""COMPUTED_VALUE"""),"Pengembang Teknologi Pembelajaran")</f>
        <v>Pengembang Teknologi Pembelajaran</v>
      </c>
      <c r="S394" s="3" t="str">
        <f ca="1">IFERROR(__xludf.DUMMYFUNCTION("""COMPUTED_VALUE"""),"Ahli Pertama")</f>
        <v>Ahli Pertama</v>
      </c>
      <c r="T394" s="7">
        <f ca="1">IFERROR(__xludf.DUMMYFUNCTION("""COMPUTED_VALUE"""),45717)</f>
        <v>45717</v>
      </c>
      <c r="U394" s="3"/>
      <c r="V394" s="7">
        <f ca="1">IFERROR(__xludf.DUMMYFUNCTION("""COMPUTED_VALUE"""),45716)</f>
        <v>45716</v>
      </c>
      <c r="W394" s="3">
        <f ca="1">IFERROR(__xludf.DUMMYFUNCTION("""COMPUTED_VALUE"""),8)</f>
        <v>8</v>
      </c>
      <c r="X394" s="3"/>
      <c r="Y394" s="3" t="str">
        <f ca="1">IFERROR(__xludf.DUMMYFUNCTION("""COMPUTED_VALUE"""),"S-1")</f>
        <v>S-1</v>
      </c>
      <c r="Z394" s="3" t="str">
        <f ca="1">IFERROR(__xludf.DUMMYFUNCTION("""COMPUTED_VALUE"""),"0 Tahun 8 Bulan 1 Hari")</f>
        <v>0 Tahun 8 Bulan 1 Hari</v>
      </c>
      <c r="AA394" s="8">
        <f ca="1">IFERROR(__xludf.DUMMYFUNCTION("""COMPUTED_VALUE"""),56097)</f>
        <v>56097</v>
      </c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4"/>
      <c r="AR394" s="3"/>
      <c r="AS394" s="4"/>
      <c r="AT394" s="3"/>
      <c r="AU394" s="3"/>
    </row>
    <row r="395" spans="1:47" x14ac:dyDescent="0.2">
      <c r="A395" s="12">
        <v>394</v>
      </c>
      <c r="B395" s="3" t="str">
        <f ca="1">IFERROR(__xludf.DUMMYFUNCTION("""COMPUTED_VALUE"""),"Lutfia Putri Pangestuti")</f>
        <v>Lutfia Putri Pangestuti</v>
      </c>
      <c r="C395" s="3" t="str">
        <f ca="1">IFERROR(__xludf.DUMMYFUNCTION("""COMPUTED_VALUE"""),"Lutfia Putri Pangestuti, S.E.Sy.")</f>
        <v>Lutfia Putri Pangestuti, S.E.Sy.</v>
      </c>
      <c r="D395" s="3" t="str">
        <f ca="1">IFERROR(__xludf.DUMMYFUNCTION("""COMPUTED_VALUE"""),"Lutfia Putri Pangestuti, S.E.Sy.")</f>
        <v>Lutfia Putri Pangestuti, S.E.Sy.</v>
      </c>
      <c r="E395" s="3" t="str">
        <f ca="1">IFERROR(__xludf.DUMMYFUNCTION("""COMPUTED_VALUE"""),"199212052025212019")</f>
        <v>199212052025212019</v>
      </c>
      <c r="F395" s="3" t="str">
        <f ca="1">IFERROR(__xludf.DUMMYFUNCTION("""COMPUTED_VALUE"""),"19921205 202521 2 019")</f>
        <v>19921205 202521 2 019</v>
      </c>
      <c r="G395" s="3"/>
      <c r="H395" s="3"/>
      <c r="I395" s="3" t="str">
        <f ca="1">IFERROR(__xludf.DUMMYFUNCTION("""COMPUTED_VALUE"""),"PPPK")</f>
        <v>PPPK</v>
      </c>
      <c r="J395" s="3" t="str">
        <f ca="1">IFERROR(__xludf.DUMMYFUNCTION("""COMPUTED_VALUE"""),"Pegawai PPPK")</f>
        <v>Pegawai PPPK</v>
      </c>
      <c r="K395" s="5" t="str">
        <f ca="1">IFERROR(__xludf.DUMMYFUNCTION("""COMPUTED_VALUE"""),"P")</f>
        <v>P</v>
      </c>
      <c r="L395" s="3" t="str">
        <f ca="1">IFERROR(__xludf.DUMMYFUNCTION("""COMPUTED_VALUE"""),"Banyumas")</f>
        <v>Banyumas</v>
      </c>
      <c r="M395" s="11">
        <f ca="1">IFERROR(__xludf.DUMMYFUNCTION("""COMPUTED_VALUE"""),33943)</f>
        <v>33943</v>
      </c>
      <c r="N395" s="4"/>
      <c r="O395" s="3" t="str">
        <f ca="1">IFERROR(__xludf.DUMMYFUNCTION("""COMPUTED_VALUE"""),"IX")</f>
        <v>IX</v>
      </c>
      <c r="P395" s="7">
        <f ca="1">IFERROR(__xludf.DUMMYFUNCTION("""COMPUTED_VALUE"""),45717)</f>
        <v>45717</v>
      </c>
      <c r="Q395" s="3" t="str">
        <f ca="1">IFERROR(__xludf.DUMMYFUNCTION("""COMPUTED_VALUE"""),"287.22/Un.19/K.AUPK/KP.01.3/02/2025")</f>
        <v>287.22/Un.19/K.AUPK/KP.01.3/02/2025</v>
      </c>
      <c r="R395" s="3" t="str">
        <f ca="1">IFERROR(__xludf.DUMMYFUNCTION("""COMPUTED_VALUE"""),"‌Pengelola Pengadaan Barang/Jasa")</f>
        <v>‌Pengelola Pengadaan Barang/Jasa</v>
      </c>
      <c r="S395" s="3" t="str">
        <f ca="1">IFERROR(__xludf.DUMMYFUNCTION("""COMPUTED_VALUE"""),"Ahli Pertama")</f>
        <v>Ahli Pertama</v>
      </c>
      <c r="T395" s="7">
        <f ca="1">IFERROR(__xludf.DUMMYFUNCTION("""COMPUTED_VALUE"""),45717)</f>
        <v>45717</v>
      </c>
      <c r="U395" s="3"/>
      <c r="V395" s="7">
        <f ca="1">IFERROR(__xludf.DUMMYFUNCTION("""COMPUTED_VALUE"""),45716)</f>
        <v>45716</v>
      </c>
      <c r="W395" s="3">
        <f ca="1">IFERROR(__xludf.DUMMYFUNCTION("""COMPUTED_VALUE"""),8)</f>
        <v>8</v>
      </c>
      <c r="X395" s="3"/>
      <c r="Y395" s="3" t="str">
        <f ca="1">IFERROR(__xludf.DUMMYFUNCTION("""COMPUTED_VALUE"""),"S-1")</f>
        <v>S-1</v>
      </c>
      <c r="Z395" s="3" t="str">
        <f ca="1">IFERROR(__xludf.DUMMYFUNCTION("""COMPUTED_VALUE"""),"0 Tahun 8 Bulan 1 Hari")</f>
        <v>0 Tahun 8 Bulan 1 Hari</v>
      </c>
      <c r="AA395" s="8">
        <f ca="1">IFERROR(__xludf.DUMMYFUNCTION("""COMPUTED_VALUE"""),55154)</f>
        <v>55154</v>
      </c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4"/>
      <c r="AR395" s="3"/>
      <c r="AS395" s="4"/>
      <c r="AT395" s="3"/>
      <c r="AU395" s="3"/>
    </row>
    <row r="396" spans="1:47" x14ac:dyDescent="0.2">
      <c r="A396" s="12">
        <v>395</v>
      </c>
      <c r="B396" s="3" t="str">
        <f ca="1">IFERROR(__xludf.DUMMYFUNCTION("""COMPUTED_VALUE"""),"Lutfie Mu'amar Za'imuddin")</f>
        <v>Lutfie Mu'amar Za'imuddin</v>
      </c>
      <c r="C396" s="3" t="str">
        <f ca="1">IFERROR(__xludf.DUMMYFUNCTION("""COMPUTED_VALUE"""),"Lutfie Mu'amar Za'imuddin, S.Pd.")</f>
        <v>Lutfie Mu'amar Za'imuddin, S.Pd.</v>
      </c>
      <c r="D396" s="3" t="str">
        <f ca="1">IFERROR(__xludf.DUMMYFUNCTION("""COMPUTED_VALUE"""),"Lutfie Mu'amar Za'imuddin, S.Pd., M.Pd.")</f>
        <v>Lutfie Mu'amar Za'imuddin, S.Pd., M.Pd.</v>
      </c>
      <c r="E396" s="3" t="str">
        <f ca="1">IFERROR(__xludf.DUMMYFUNCTION("""COMPUTED_VALUE"""),"198609162023211015")</f>
        <v>198609162023211015</v>
      </c>
      <c r="F396" s="3" t="str">
        <f ca="1">IFERROR(__xludf.DUMMYFUNCTION("""COMPUTED_VALUE"""),"19860916 202321 1 015")</f>
        <v>19860916 202321 1 015</v>
      </c>
      <c r="G396" s="3"/>
      <c r="H396" s="3"/>
      <c r="I396" s="3" t="str">
        <f ca="1">IFERROR(__xludf.DUMMYFUNCTION("""COMPUTED_VALUE"""),"PPPK")</f>
        <v>PPPK</v>
      </c>
      <c r="J396" s="3" t="str">
        <f ca="1">IFERROR(__xludf.DUMMYFUNCTION("""COMPUTED_VALUE"""),"Pegawai PPPK")</f>
        <v>Pegawai PPPK</v>
      </c>
      <c r="K396" s="5" t="str">
        <f ca="1">IFERROR(__xludf.DUMMYFUNCTION("""COMPUTED_VALUE"""),"L")</f>
        <v>L</v>
      </c>
      <c r="L396" s="3" t="str">
        <f ca="1">IFERROR(__xludf.DUMMYFUNCTION("""COMPUTED_VALUE"""),"Cilacap")</f>
        <v>Cilacap</v>
      </c>
      <c r="M396" s="11">
        <f ca="1">IFERROR(__xludf.DUMMYFUNCTION("""COMPUTED_VALUE"""),31671)</f>
        <v>31671</v>
      </c>
      <c r="N396" s="4"/>
      <c r="O396" s="3" t="str">
        <f ca="1">IFERROR(__xludf.DUMMYFUNCTION("""COMPUTED_VALUE"""),"IX")</f>
        <v>IX</v>
      </c>
      <c r="P396" s="7">
        <f ca="1">IFERROR(__xludf.DUMMYFUNCTION("""COMPUTED_VALUE"""),45139)</f>
        <v>45139</v>
      </c>
      <c r="Q396" s="3" t="str">
        <f ca="1">IFERROR(__xludf.DUMMYFUNCTION("""COMPUTED_VALUE"""),"992/Un.19/K.AUPK/KP.00.3/07/2023")</f>
        <v>992/Un.19/K.AUPK/KP.00.3/07/2023</v>
      </c>
      <c r="R396" s="3" t="str">
        <f ca="1">IFERROR(__xludf.DUMMYFUNCTION("""COMPUTED_VALUE"""),"Pengembang Teknologi Pembelajaran")</f>
        <v>Pengembang Teknologi Pembelajaran</v>
      </c>
      <c r="S396" s="3" t="str">
        <f ca="1">IFERROR(__xludf.DUMMYFUNCTION("""COMPUTED_VALUE"""),"Ahli Pertama")</f>
        <v>Ahli Pertama</v>
      </c>
      <c r="T396" s="7">
        <f ca="1">IFERROR(__xludf.DUMMYFUNCTION("""COMPUTED_VALUE"""),45139)</f>
        <v>45139</v>
      </c>
      <c r="U396" s="3"/>
      <c r="V396" s="7">
        <f ca="1">IFERROR(__xludf.DUMMYFUNCTION("""COMPUTED_VALUE"""),45138)</f>
        <v>45138</v>
      </c>
      <c r="W396" s="3">
        <f ca="1">IFERROR(__xludf.DUMMYFUNCTION("""COMPUTED_VALUE"""),8)</f>
        <v>8</v>
      </c>
      <c r="X396" s="3"/>
      <c r="Y396" s="3" t="str">
        <f ca="1">IFERROR(__xludf.DUMMYFUNCTION("""COMPUTED_VALUE"""),"S-2")</f>
        <v>S-2</v>
      </c>
      <c r="Z396" s="3" t="str">
        <f ca="1">IFERROR(__xludf.DUMMYFUNCTION("""COMPUTED_VALUE"""),"2 Tahun 4 Bulan 27 Hari")</f>
        <v>2 Tahun 4 Bulan 27 Hari</v>
      </c>
      <c r="AA396" s="8">
        <f ca="1">IFERROR(__xludf.DUMMYFUNCTION("""COMPUTED_VALUE"""),52871)</f>
        <v>52871</v>
      </c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4"/>
      <c r="AR396" s="3"/>
      <c r="AS396" s="4"/>
      <c r="AT396" s="3"/>
      <c r="AU396" s="3"/>
    </row>
    <row r="397" spans="1:47" x14ac:dyDescent="0.2">
      <c r="A397" s="12">
        <v>396</v>
      </c>
      <c r="B397" s="3" t="str">
        <f ca="1">IFERROR(__xludf.DUMMYFUNCTION("""COMPUTED_VALUE"""),"Mahbub Nasir")</f>
        <v>Mahbub Nasir</v>
      </c>
      <c r="C397" s="3" t="str">
        <f ca="1">IFERROR(__xludf.DUMMYFUNCTION("""COMPUTED_VALUE"""),"Mahbub Nasir, S.Si.")</f>
        <v>Mahbub Nasir, S.Si.</v>
      </c>
      <c r="D397" s="3" t="str">
        <f ca="1">IFERROR(__xludf.DUMMYFUNCTION("""COMPUTED_VALUE"""),"Mahbub Nasir, S.Si.")</f>
        <v>Mahbub Nasir, S.Si.</v>
      </c>
      <c r="E397" s="3" t="str">
        <f ca="1">IFERROR(__xludf.DUMMYFUNCTION("""COMPUTED_VALUE"""),"198507252025211008")</f>
        <v>198507252025211008</v>
      </c>
      <c r="F397" s="3" t="str">
        <f ca="1">IFERROR(__xludf.DUMMYFUNCTION("""COMPUTED_VALUE"""),"19850725 202521 1 008")</f>
        <v>19850725 202521 1 008</v>
      </c>
      <c r="G397" s="3"/>
      <c r="H397" s="3"/>
      <c r="I397" s="3" t="str">
        <f ca="1">IFERROR(__xludf.DUMMYFUNCTION("""COMPUTED_VALUE"""),"PPPK")</f>
        <v>PPPK</v>
      </c>
      <c r="J397" s="3" t="str">
        <f ca="1">IFERROR(__xludf.DUMMYFUNCTION("""COMPUTED_VALUE"""),"Pegawai PPPK")</f>
        <v>Pegawai PPPK</v>
      </c>
      <c r="K397" s="5" t="str">
        <f ca="1">IFERROR(__xludf.DUMMYFUNCTION("""COMPUTED_VALUE"""),"L")</f>
        <v>L</v>
      </c>
      <c r="L397" s="3" t="str">
        <f ca="1">IFERROR(__xludf.DUMMYFUNCTION("""COMPUTED_VALUE"""),"Banyumas")</f>
        <v>Banyumas</v>
      </c>
      <c r="M397" s="11">
        <f ca="1">IFERROR(__xludf.DUMMYFUNCTION("""COMPUTED_VALUE"""),31253)</f>
        <v>31253</v>
      </c>
      <c r="N397" s="4"/>
      <c r="O397" s="3" t="str">
        <f ca="1">IFERROR(__xludf.DUMMYFUNCTION("""COMPUTED_VALUE"""),"IX")</f>
        <v>IX</v>
      </c>
      <c r="P397" s="7">
        <f ca="1">IFERROR(__xludf.DUMMYFUNCTION("""COMPUTED_VALUE"""),45717)</f>
        <v>45717</v>
      </c>
      <c r="Q397" s="3" t="str">
        <f ca="1">IFERROR(__xludf.DUMMYFUNCTION("""COMPUTED_VALUE"""),"287.25/Un.19/K.AUPK/KP.01.3/02/2025")</f>
        <v>287.25/Un.19/K.AUPK/KP.01.3/02/2025</v>
      </c>
      <c r="R397" s="3" t="str">
        <f ca="1">IFERROR(__xludf.DUMMYFUNCTION("""COMPUTED_VALUE"""),"Pengembang Teknologi Pembelajaran")</f>
        <v>Pengembang Teknologi Pembelajaran</v>
      </c>
      <c r="S397" s="3" t="str">
        <f ca="1">IFERROR(__xludf.DUMMYFUNCTION("""COMPUTED_VALUE"""),"Ahli Pertama")</f>
        <v>Ahli Pertama</v>
      </c>
      <c r="T397" s="7">
        <f ca="1">IFERROR(__xludf.DUMMYFUNCTION("""COMPUTED_VALUE"""),45717)</f>
        <v>45717</v>
      </c>
      <c r="U397" s="3"/>
      <c r="V397" s="7">
        <f ca="1">IFERROR(__xludf.DUMMYFUNCTION("""COMPUTED_VALUE"""),45716)</f>
        <v>45716</v>
      </c>
      <c r="W397" s="3">
        <f ca="1">IFERROR(__xludf.DUMMYFUNCTION("""COMPUTED_VALUE"""),8)</f>
        <v>8</v>
      </c>
      <c r="X397" s="3"/>
      <c r="Y397" s="3" t="str">
        <f ca="1">IFERROR(__xludf.DUMMYFUNCTION("""COMPUTED_VALUE"""),"S-1")</f>
        <v>S-1</v>
      </c>
      <c r="Z397" s="3" t="str">
        <f ca="1">IFERROR(__xludf.DUMMYFUNCTION("""COMPUTED_VALUE"""),"0 Tahun 8 Bulan 1 Hari")</f>
        <v>0 Tahun 8 Bulan 1 Hari</v>
      </c>
      <c r="AA397" s="8">
        <f ca="1">IFERROR(__xludf.DUMMYFUNCTION("""COMPUTED_VALUE"""),52444)</f>
        <v>52444</v>
      </c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4"/>
      <c r="AR397" s="3"/>
      <c r="AS397" s="4"/>
      <c r="AT397" s="3"/>
      <c r="AU397" s="3"/>
    </row>
    <row r="398" spans="1:47" x14ac:dyDescent="0.2">
      <c r="A398" s="12">
        <v>397</v>
      </c>
      <c r="B398" s="3" t="str">
        <f ca="1">IFERROR(__xludf.DUMMYFUNCTION("""COMPUTED_VALUE"""),"Muchamad Samsurijal")</f>
        <v>Muchamad Samsurijal</v>
      </c>
      <c r="C398" s="3" t="str">
        <f ca="1">IFERROR(__xludf.DUMMYFUNCTION("""COMPUTED_VALUE"""),"Muchamad Samsurijal, S.Pd.I.")</f>
        <v>Muchamad Samsurijal, S.Pd.I.</v>
      </c>
      <c r="D398" s="3" t="str">
        <f ca="1">IFERROR(__xludf.DUMMYFUNCTION("""COMPUTED_VALUE"""),"Muchamad Samsurijal, S.Pd.I.")</f>
        <v>Muchamad Samsurijal, S.Pd.I.</v>
      </c>
      <c r="E398" s="3" t="str">
        <f ca="1">IFERROR(__xludf.DUMMYFUNCTION("""COMPUTED_VALUE"""),"199010312025211014")</f>
        <v>199010312025211014</v>
      </c>
      <c r="F398" s="3" t="str">
        <f ca="1">IFERROR(__xludf.DUMMYFUNCTION("""COMPUTED_VALUE"""),"19901031 202521 1 014")</f>
        <v>19901031 202521 1 014</v>
      </c>
      <c r="G398" s="3"/>
      <c r="H398" s="3"/>
      <c r="I398" s="3" t="str">
        <f ca="1">IFERROR(__xludf.DUMMYFUNCTION("""COMPUTED_VALUE"""),"PPPK")</f>
        <v>PPPK</v>
      </c>
      <c r="J398" s="3" t="str">
        <f ca="1">IFERROR(__xludf.DUMMYFUNCTION("""COMPUTED_VALUE"""),"Pegawai PPPK")</f>
        <v>Pegawai PPPK</v>
      </c>
      <c r="K398" s="5" t="str">
        <f ca="1">IFERROR(__xludf.DUMMYFUNCTION("""COMPUTED_VALUE"""),"L")</f>
        <v>L</v>
      </c>
      <c r="L398" s="3" t="str">
        <f ca="1">IFERROR(__xludf.DUMMYFUNCTION("""COMPUTED_VALUE"""),"Banyumas")</f>
        <v>Banyumas</v>
      </c>
      <c r="M398" s="11">
        <f ca="1">IFERROR(__xludf.DUMMYFUNCTION("""COMPUTED_VALUE"""),33177)</f>
        <v>33177</v>
      </c>
      <c r="N398" s="4"/>
      <c r="O398" s="3" t="str">
        <f ca="1">IFERROR(__xludf.DUMMYFUNCTION("""COMPUTED_VALUE"""),"IX")</f>
        <v>IX</v>
      </c>
      <c r="P398" s="7">
        <f ca="1">IFERROR(__xludf.DUMMYFUNCTION("""COMPUTED_VALUE"""),45717)</f>
        <v>45717</v>
      </c>
      <c r="Q398" s="3" t="str">
        <f ca="1">IFERROR(__xludf.DUMMYFUNCTION("""COMPUTED_VALUE"""),"287.16/Un.19/K.AUPK/KP.01.3/02/2025")</f>
        <v>287.16/Un.19/K.AUPK/KP.01.3/02/2025</v>
      </c>
      <c r="R398" s="3" t="str">
        <f ca="1">IFERROR(__xludf.DUMMYFUNCTION("""COMPUTED_VALUE"""),"‌Penata Layanan Operasional")</f>
        <v>‌Penata Layanan Operasional</v>
      </c>
      <c r="S398" s="3" t="str">
        <f ca="1">IFERROR(__xludf.DUMMYFUNCTION("""COMPUTED_VALUE"""),"Pelaksana")</f>
        <v>Pelaksana</v>
      </c>
      <c r="T398" s="7">
        <f ca="1">IFERROR(__xludf.DUMMYFUNCTION("""COMPUTED_VALUE"""),45717)</f>
        <v>45717</v>
      </c>
      <c r="U398" s="3"/>
      <c r="V398" s="7">
        <f ca="1">IFERROR(__xludf.DUMMYFUNCTION("""COMPUTED_VALUE"""),45716)</f>
        <v>45716</v>
      </c>
      <c r="W398" s="3">
        <f ca="1">IFERROR(__xludf.DUMMYFUNCTION("""COMPUTED_VALUE"""),7)</f>
        <v>7</v>
      </c>
      <c r="X398" s="3"/>
      <c r="Y398" s="3" t="str">
        <f ca="1">IFERROR(__xludf.DUMMYFUNCTION("""COMPUTED_VALUE"""),"S-1")</f>
        <v>S-1</v>
      </c>
      <c r="Z398" s="3" t="str">
        <f ca="1">IFERROR(__xludf.DUMMYFUNCTION("""COMPUTED_VALUE"""),"0 Tahun 8 Bulan 1 Hari")</f>
        <v>0 Tahun 8 Bulan 1 Hari</v>
      </c>
      <c r="AA398" s="8">
        <f ca="1">IFERROR(__xludf.DUMMYFUNCTION("""COMPUTED_VALUE"""),54363)</f>
        <v>54363</v>
      </c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4"/>
      <c r="AR398" s="3"/>
      <c r="AS398" s="4"/>
      <c r="AT398" s="3"/>
      <c r="AU398" s="3"/>
    </row>
    <row r="399" spans="1:47" x14ac:dyDescent="0.2">
      <c r="A399" s="12">
        <v>398</v>
      </c>
      <c r="B399" s="3" t="str">
        <f ca="1">IFERROR(__xludf.DUMMYFUNCTION("""COMPUTED_VALUE"""),"‌Muhamad Nur Syaefulloh")</f>
        <v>‌Muhamad Nur Syaefulloh</v>
      </c>
      <c r="C399" s="3" t="str">
        <f ca="1">IFERROR(__xludf.DUMMYFUNCTION("""COMPUTED_VALUE"""),"‌Muhamad Nur Syaefulloh")</f>
        <v>‌Muhamad Nur Syaefulloh</v>
      </c>
      <c r="D399" s="3" t="str">
        <f ca="1">IFERROR(__xludf.DUMMYFUNCTION("""COMPUTED_VALUE"""),"‌Muhamad Nur Syaefulloh")</f>
        <v>‌Muhamad Nur Syaefulloh</v>
      </c>
      <c r="E399" s="3" t="str">
        <f ca="1">IFERROR(__xludf.DUMMYFUNCTION("""COMPUTED_VALUE"""),"198502082025211010")</f>
        <v>198502082025211010</v>
      </c>
      <c r="F399" s="3" t="str">
        <f ca="1">IFERROR(__xludf.DUMMYFUNCTION("""COMPUTED_VALUE"""),"19850208 202521 1 010")</f>
        <v>19850208 202521 1 010</v>
      </c>
      <c r="G399" s="3"/>
      <c r="H399" s="3"/>
      <c r="I399" s="3" t="str">
        <f ca="1">IFERROR(__xludf.DUMMYFUNCTION("""COMPUTED_VALUE"""),"PPPK")</f>
        <v>PPPK</v>
      </c>
      <c r="J399" s="3" t="str">
        <f ca="1">IFERROR(__xludf.DUMMYFUNCTION("""COMPUTED_VALUE"""),"Pegawai PPPK")</f>
        <v>Pegawai PPPK</v>
      </c>
      <c r="K399" s="5" t="str">
        <f ca="1">IFERROR(__xludf.DUMMYFUNCTION("""COMPUTED_VALUE"""),"L")</f>
        <v>L</v>
      </c>
      <c r="L399" s="3" t="str">
        <f ca="1">IFERROR(__xludf.DUMMYFUNCTION("""COMPUTED_VALUE"""),"Cilacap")</f>
        <v>Cilacap</v>
      </c>
      <c r="M399" s="11">
        <f ca="1">IFERROR(__xludf.DUMMYFUNCTION("""COMPUTED_VALUE"""),31086)</f>
        <v>31086</v>
      </c>
      <c r="N399" s="4"/>
      <c r="O399" s="3" t="str">
        <f ca="1">IFERROR(__xludf.DUMMYFUNCTION("""COMPUTED_VALUE"""),"V")</f>
        <v>V</v>
      </c>
      <c r="P399" s="7">
        <f ca="1">IFERROR(__xludf.DUMMYFUNCTION("""COMPUTED_VALUE"""),45717)</f>
        <v>45717</v>
      </c>
      <c r="Q399" s="3" t="str">
        <f ca="1">IFERROR(__xludf.DUMMYFUNCTION("""COMPUTED_VALUE"""),"287.20/Un.19/K.AUPK/KP.01.3/02/2025")</f>
        <v>287.20/Un.19/K.AUPK/KP.01.3/02/2025</v>
      </c>
      <c r="R399" s="3" t="str">
        <f ca="1">IFERROR(__xludf.DUMMYFUNCTION("""COMPUTED_VALUE"""),"‌Pengadministrasi Perkantoran")</f>
        <v>‌Pengadministrasi Perkantoran</v>
      </c>
      <c r="S399" s="3" t="str">
        <f ca="1">IFERROR(__xludf.DUMMYFUNCTION("""COMPUTED_VALUE"""),"Pelaksana")</f>
        <v>Pelaksana</v>
      </c>
      <c r="T399" s="7">
        <f ca="1">IFERROR(__xludf.DUMMYFUNCTION("""COMPUTED_VALUE"""),45717)</f>
        <v>45717</v>
      </c>
      <c r="U399" s="3"/>
      <c r="V399" s="7">
        <f ca="1">IFERROR(__xludf.DUMMYFUNCTION("""COMPUTED_VALUE"""),45716)</f>
        <v>45716</v>
      </c>
      <c r="W399" s="3">
        <f ca="1">IFERROR(__xludf.DUMMYFUNCTION("""COMPUTED_VALUE"""),5)</f>
        <v>5</v>
      </c>
      <c r="X399" s="3"/>
      <c r="Y399" s="3" t="str">
        <f ca="1">IFERROR(__xludf.DUMMYFUNCTION("""COMPUTED_VALUE"""),"SMK")</f>
        <v>SMK</v>
      </c>
      <c r="Z399" s="3" t="str">
        <f ca="1">IFERROR(__xludf.DUMMYFUNCTION("""COMPUTED_VALUE"""),"0 Tahun 8 Bulan 1 Hari")</f>
        <v>0 Tahun 8 Bulan 1 Hari</v>
      </c>
      <c r="AA399" s="8">
        <f ca="1">IFERROR(__xludf.DUMMYFUNCTION("""COMPUTED_VALUE"""),52291)</f>
        <v>52291</v>
      </c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4"/>
      <c r="AR399" s="3"/>
      <c r="AS399" s="4"/>
      <c r="AT399" s="3"/>
      <c r="AU399" s="3"/>
    </row>
    <row r="400" spans="1:47" x14ac:dyDescent="0.2">
      <c r="A400" s="12">
        <v>399</v>
      </c>
      <c r="B400" s="3" t="str">
        <f ca="1">IFERROR(__xludf.DUMMYFUNCTION("""COMPUTED_VALUE"""),"‌Muhammad Ridlo Nur Ar-Rofi'")</f>
        <v>‌Muhammad Ridlo Nur Ar-Rofi'</v>
      </c>
      <c r="C400" s="3" t="str">
        <f ca="1">IFERROR(__xludf.DUMMYFUNCTION("""COMPUTED_VALUE"""),"‌Muhammad Ridlo Nur Ar-Rofi', S.Pd.")</f>
        <v>‌Muhammad Ridlo Nur Ar-Rofi', S.Pd.</v>
      </c>
      <c r="D400" s="3" t="str">
        <f ca="1">IFERROR(__xludf.DUMMYFUNCTION("""COMPUTED_VALUE"""),"‌Muhammad Ridlo Nur Ar-Rofi', S.Pd.")</f>
        <v>‌Muhammad Ridlo Nur Ar-Rofi', S.Pd.</v>
      </c>
      <c r="E400" s="3" t="str">
        <f ca="1">IFERROR(__xludf.DUMMYFUNCTION("""COMPUTED_VALUE"""),"199008212025211006")</f>
        <v>199008212025211006</v>
      </c>
      <c r="F400" s="3" t="str">
        <f ca="1">IFERROR(__xludf.DUMMYFUNCTION("""COMPUTED_VALUE"""),"19900821 202521 1 006")</f>
        <v>19900821 202521 1 006</v>
      </c>
      <c r="G400" s="3"/>
      <c r="H400" s="3"/>
      <c r="I400" s="3" t="str">
        <f ca="1">IFERROR(__xludf.DUMMYFUNCTION("""COMPUTED_VALUE"""),"PPPK")</f>
        <v>PPPK</v>
      </c>
      <c r="J400" s="3" t="str">
        <f ca="1">IFERROR(__xludf.DUMMYFUNCTION("""COMPUTED_VALUE"""),"Pegawai PPPK")</f>
        <v>Pegawai PPPK</v>
      </c>
      <c r="K400" s="5" t="str">
        <f ca="1">IFERROR(__xludf.DUMMYFUNCTION("""COMPUTED_VALUE"""),"L")</f>
        <v>L</v>
      </c>
      <c r="L400" s="3" t="str">
        <f ca="1">IFERROR(__xludf.DUMMYFUNCTION("""COMPUTED_VALUE"""),"Purwokerto")</f>
        <v>Purwokerto</v>
      </c>
      <c r="M400" s="11">
        <f ca="1">IFERROR(__xludf.DUMMYFUNCTION("""COMPUTED_VALUE"""),33106)</f>
        <v>33106</v>
      </c>
      <c r="N400" s="4"/>
      <c r="O400" s="3" t="str">
        <f ca="1">IFERROR(__xludf.DUMMYFUNCTION("""COMPUTED_VALUE"""),"IX")</f>
        <v>IX</v>
      </c>
      <c r="P400" s="7">
        <f ca="1">IFERROR(__xludf.DUMMYFUNCTION("""COMPUTED_VALUE"""),45717)</f>
        <v>45717</v>
      </c>
      <c r="Q400" s="3" t="str">
        <f ca="1">IFERROR(__xludf.DUMMYFUNCTION("""COMPUTED_VALUE"""),"287.10/Un.19/K.AUPK/KP.01.3/02/2025")</f>
        <v>287.10/Un.19/K.AUPK/KP.01.3/02/2025</v>
      </c>
      <c r="R400" s="3" t="str">
        <f ca="1">IFERROR(__xludf.DUMMYFUNCTION("""COMPUTED_VALUE"""),"Arsiparis")</f>
        <v>Arsiparis</v>
      </c>
      <c r="S400" s="3" t="str">
        <f ca="1">IFERROR(__xludf.DUMMYFUNCTION("""COMPUTED_VALUE"""),"Ahli Pertama")</f>
        <v>Ahli Pertama</v>
      </c>
      <c r="T400" s="7">
        <f ca="1">IFERROR(__xludf.DUMMYFUNCTION("""COMPUTED_VALUE"""),45717)</f>
        <v>45717</v>
      </c>
      <c r="U400" s="3"/>
      <c r="V400" s="7">
        <f ca="1">IFERROR(__xludf.DUMMYFUNCTION("""COMPUTED_VALUE"""),45716)</f>
        <v>45716</v>
      </c>
      <c r="W400" s="3">
        <f ca="1">IFERROR(__xludf.DUMMYFUNCTION("""COMPUTED_VALUE"""),8)</f>
        <v>8</v>
      </c>
      <c r="X400" s="3"/>
      <c r="Y400" s="3" t="str">
        <f ca="1">IFERROR(__xludf.DUMMYFUNCTION("""COMPUTED_VALUE"""),"S-1")</f>
        <v>S-1</v>
      </c>
      <c r="Z400" s="3" t="str">
        <f ca="1">IFERROR(__xludf.DUMMYFUNCTION("""COMPUTED_VALUE"""),"0 Tahun 8 Bulan 1 Hari")</f>
        <v>0 Tahun 8 Bulan 1 Hari</v>
      </c>
      <c r="AA400" s="8">
        <f ca="1">IFERROR(__xludf.DUMMYFUNCTION("""COMPUTED_VALUE"""),54302)</f>
        <v>54302</v>
      </c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4"/>
      <c r="AR400" s="3"/>
      <c r="AS400" s="4"/>
      <c r="AT400" s="3"/>
      <c r="AU400" s="3"/>
    </row>
    <row r="401" spans="1:47" x14ac:dyDescent="0.2">
      <c r="A401" s="12">
        <v>400</v>
      </c>
      <c r="B401" s="3" t="str">
        <f ca="1">IFERROR(__xludf.DUMMYFUNCTION("""COMPUTED_VALUE"""),"Muhammad Wahyudin Rizal")</f>
        <v>Muhammad Wahyudin Rizal</v>
      </c>
      <c r="C401" s="3" t="str">
        <f ca="1">IFERROR(__xludf.DUMMYFUNCTION("""COMPUTED_VALUE"""),"Muhammad Wahyudin Rizal, S.IP.")</f>
        <v>Muhammad Wahyudin Rizal, S.IP.</v>
      </c>
      <c r="D401" s="3" t="str">
        <f ca="1">IFERROR(__xludf.DUMMYFUNCTION("""COMPUTED_VALUE"""),"Muhammad Wahyudin Rizal, S.IP.")</f>
        <v>Muhammad Wahyudin Rizal, S.IP.</v>
      </c>
      <c r="E401" s="3" t="str">
        <f ca="1">IFERROR(__xludf.DUMMYFUNCTION("""COMPUTED_VALUE"""),"199501012025211032")</f>
        <v>199501012025211032</v>
      </c>
      <c r="F401" s="3" t="str">
        <f ca="1">IFERROR(__xludf.DUMMYFUNCTION("""COMPUTED_VALUE"""),"19950101 202521 1 032")</f>
        <v>19950101 202521 1 032</v>
      </c>
      <c r="G401" s="3"/>
      <c r="H401" s="3"/>
      <c r="I401" s="3" t="str">
        <f ca="1">IFERROR(__xludf.DUMMYFUNCTION("""COMPUTED_VALUE"""),"PPPK")</f>
        <v>PPPK</v>
      </c>
      <c r="J401" s="3" t="str">
        <f ca="1">IFERROR(__xludf.DUMMYFUNCTION("""COMPUTED_VALUE"""),"Pegawai PPPK")</f>
        <v>Pegawai PPPK</v>
      </c>
      <c r="K401" s="5" t="str">
        <f ca="1">IFERROR(__xludf.DUMMYFUNCTION("""COMPUTED_VALUE"""),"L")</f>
        <v>L</v>
      </c>
      <c r="L401" s="3" t="str">
        <f ca="1">IFERROR(__xludf.DUMMYFUNCTION("""COMPUTED_VALUE"""),"Cilacap")</f>
        <v>Cilacap</v>
      </c>
      <c r="M401" s="11">
        <f ca="1">IFERROR(__xludf.DUMMYFUNCTION("""COMPUTED_VALUE"""),34700)</f>
        <v>34700</v>
      </c>
      <c r="N401" s="4"/>
      <c r="O401" s="3" t="str">
        <f ca="1">IFERROR(__xludf.DUMMYFUNCTION("""COMPUTED_VALUE"""),"IX")</f>
        <v>IX</v>
      </c>
      <c r="P401" s="7">
        <f ca="1">IFERROR(__xludf.DUMMYFUNCTION("""COMPUTED_VALUE"""),45717)</f>
        <v>45717</v>
      </c>
      <c r="Q401" s="3" t="str">
        <f ca="1">IFERROR(__xludf.DUMMYFUNCTION("""COMPUTED_VALUE"""),"287.33/Un.19/K.AUPK/KP.01.3/02/2025")</f>
        <v>287.33/Un.19/K.AUPK/KP.01.3/02/2025</v>
      </c>
      <c r="R401" s="3" t="str">
        <f ca="1">IFERROR(__xludf.DUMMYFUNCTION("""COMPUTED_VALUE"""),"Pustakawan")</f>
        <v>Pustakawan</v>
      </c>
      <c r="S401" s="3" t="str">
        <f ca="1">IFERROR(__xludf.DUMMYFUNCTION("""COMPUTED_VALUE"""),"Ahli Pertama")</f>
        <v>Ahli Pertama</v>
      </c>
      <c r="T401" s="7">
        <f ca="1">IFERROR(__xludf.DUMMYFUNCTION("""COMPUTED_VALUE"""),45717)</f>
        <v>45717</v>
      </c>
      <c r="U401" s="3"/>
      <c r="V401" s="7">
        <f ca="1">IFERROR(__xludf.DUMMYFUNCTION("""COMPUTED_VALUE"""),45716)</f>
        <v>45716</v>
      </c>
      <c r="W401" s="3">
        <f ca="1">IFERROR(__xludf.DUMMYFUNCTION("""COMPUTED_VALUE"""),8)</f>
        <v>8</v>
      </c>
      <c r="X401" s="3"/>
      <c r="Y401" s="3" t="str">
        <f ca="1">IFERROR(__xludf.DUMMYFUNCTION("""COMPUTED_VALUE"""),"S-1")</f>
        <v>S-1</v>
      </c>
      <c r="Z401" s="3" t="str">
        <f ca="1">IFERROR(__xludf.DUMMYFUNCTION("""COMPUTED_VALUE"""),"0 Tahun 8 Bulan 1 Hari")</f>
        <v>0 Tahun 8 Bulan 1 Hari</v>
      </c>
      <c r="AA401" s="8">
        <f ca="1">IFERROR(__xludf.DUMMYFUNCTION("""COMPUTED_VALUE"""),55916)</f>
        <v>55916</v>
      </c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4"/>
      <c r="AR401" s="3"/>
      <c r="AS401" s="4"/>
      <c r="AT401" s="3"/>
      <c r="AU401" s="3"/>
    </row>
    <row r="402" spans="1:47" x14ac:dyDescent="0.2">
      <c r="A402" s="12">
        <v>401</v>
      </c>
      <c r="B402" s="3" t="str">
        <f ca="1">IFERROR(__xludf.DUMMYFUNCTION("""COMPUTED_VALUE"""),"‌Mukhammad Agus `Athourrokhman")</f>
        <v>‌Mukhammad Agus `Athourrokhman</v>
      </c>
      <c r="C402" s="3" t="str">
        <f ca="1">IFERROR(__xludf.DUMMYFUNCTION("""COMPUTED_VALUE"""),"‌Mukhammad Agus `Athourrokhman, S.E.")</f>
        <v>‌Mukhammad Agus `Athourrokhman, S.E.</v>
      </c>
      <c r="D402" s="3" t="str">
        <f ca="1">IFERROR(__xludf.DUMMYFUNCTION("""COMPUTED_VALUE"""),"‌Mukhammad Agus `Athourrokhman, S.E.")</f>
        <v>‌Mukhammad Agus `Athourrokhman, S.E.</v>
      </c>
      <c r="E402" s="3" t="str">
        <f ca="1">IFERROR(__xludf.DUMMYFUNCTION("""COMPUTED_VALUE"""),"199408062025211017")</f>
        <v>199408062025211017</v>
      </c>
      <c r="F402" s="3" t="str">
        <f ca="1">IFERROR(__xludf.DUMMYFUNCTION("""COMPUTED_VALUE"""),"19940806 202521 1 017")</f>
        <v>19940806 202521 1 017</v>
      </c>
      <c r="G402" s="3"/>
      <c r="H402" s="3"/>
      <c r="I402" s="3" t="str">
        <f ca="1">IFERROR(__xludf.DUMMYFUNCTION("""COMPUTED_VALUE"""),"PPPK")</f>
        <v>PPPK</v>
      </c>
      <c r="J402" s="3" t="str">
        <f ca="1">IFERROR(__xludf.DUMMYFUNCTION("""COMPUTED_VALUE"""),"Pegawai PPPK")</f>
        <v>Pegawai PPPK</v>
      </c>
      <c r="K402" s="5" t="str">
        <f ca="1">IFERROR(__xludf.DUMMYFUNCTION("""COMPUTED_VALUE"""),"L")</f>
        <v>L</v>
      </c>
      <c r="L402" s="3" t="str">
        <f ca="1">IFERROR(__xludf.DUMMYFUNCTION("""COMPUTED_VALUE"""),"Banyumas")</f>
        <v>Banyumas</v>
      </c>
      <c r="M402" s="11">
        <f ca="1">IFERROR(__xludf.DUMMYFUNCTION("""COMPUTED_VALUE"""),34552)</f>
        <v>34552</v>
      </c>
      <c r="N402" s="4"/>
      <c r="O402" s="3" t="str">
        <f ca="1">IFERROR(__xludf.DUMMYFUNCTION("""COMPUTED_VALUE"""),"IX")</f>
        <v>IX</v>
      </c>
      <c r="P402" s="7">
        <f ca="1">IFERROR(__xludf.DUMMYFUNCTION("""COMPUTED_VALUE"""),45717)</f>
        <v>45717</v>
      </c>
      <c r="Q402" s="3" t="str">
        <f ca="1">IFERROR(__xludf.DUMMYFUNCTION("""COMPUTED_VALUE"""),"287.1/Un.19/K.AUPK/KP.01.3/02/2025")</f>
        <v>287.1/Un.19/K.AUPK/KP.01.3/02/2025</v>
      </c>
      <c r="R402" s="3" t="str">
        <f ca="1">IFERROR(__xludf.DUMMYFUNCTION("""COMPUTED_VALUE"""),"Analis Kebijakan")</f>
        <v>Analis Kebijakan</v>
      </c>
      <c r="S402" s="3" t="str">
        <f ca="1">IFERROR(__xludf.DUMMYFUNCTION("""COMPUTED_VALUE"""),"Ahli Pertama")</f>
        <v>Ahli Pertama</v>
      </c>
      <c r="T402" s="7">
        <f ca="1">IFERROR(__xludf.DUMMYFUNCTION("""COMPUTED_VALUE"""),45717)</f>
        <v>45717</v>
      </c>
      <c r="U402" s="3"/>
      <c r="V402" s="7">
        <f ca="1">IFERROR(__xludf.DUMMYFUNCTION("""COMPUTED_VALUE"""),45716)</f>
        <v>45716</v>
      </c>
      <c r="W402" s="3">
        <f ca="1">IFERROR(__xludf.DUMMYFUNCTION("""COMPUTED_VALUE"""),8)</f>
        <v>8</v>
      </c>
      <c r="X402" s="3"/>
      <c r="Y402" s="3" t="str">
        <f ca="1">IFERROR(__xludf.DUMMYFUNCTION("""COMPUTED_VALUE"""),"S-1")</f>
        <v>S-1</v>
      </c>
      <c r="Z402" s="3" t="str">
        <f ca="1">IFERROR(__xludf.DUMMYFUNCTION("""COMPUTED_VALUE"""),"0 Tahun 8 Bulan 1 Hari")</f>
        <v>0 Tahun 8 Bulan 1 Hari</v>
      </c>
      <c r="AA402" s="8">
        <f ca="1">IFERROR(__xludf.DUMMYFUNCTION("""COMPUTED_VALUE"""),55763)</f>
        <v>55763</v>
      </c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4"/>
      <c r="AR402" s="3"/>
      <c r="AS402" s="4"/>
      <c r="AT402" s="3"/>
      <c r="AU402" s="3"/>
    </row>
    <row r="403" spans="1:47" x14ac:dyDescent="0.2">
      <c r="A403" s="12">
        <v>402</v>
      </c>
      <c r="B403" s="3" t="str">
        <f ca="1">IFERROR(__xludf.DUMMYFUNCTION("""COMPUTED_VALUE"""),"Mukhammad Aqil Muzakki")</f>
        <v>Mukhammad Aqil Muzakki</v>
      </c>
      <c r="C403" s="3" t="str">
        <f ca="1">IFERROR(__xludf.DUMMYFUNCTION("""COMPUTED_VALUE"""),"Mukhammad Aqil Muzakki, S.E.Sy.")</f>
        <v>Mukhammad Aqil Muzakki, S.E.Sy.</v>
      </c>
      <c r="D403" s="3" t="str">
        <f ca="1">IFERROR(__xludf.DUMMYFUNCTION("""COMPUTED_VALUE"""),"Mukhammad Aqil Muzakki, S.E.Sy., M.E.")</f>
        <v>Mukhammad Aqil Muzakki, S.E.Sy., M.E.</v>
      </c>
      <c r="E403" s="3" t="str">
        <f ca="1">IFERROR(__xludf.DUMMYFUNCTION("""COMPUTED_VALUE"""),"198902172025211010")</f>
        <v>198902172025211010</v>
      </c>
      <c r="F403" s="3" t="str">
        <f ca="1">IFERROR(__xludf.DUMMYFUNCTION("""COMPUTED_VALUE"""),"19890217 202521 1 010")</f>
        <v>19890217 202521 1 010</v>
      </c>
      <c r="G403" s="3" t="str">
        <f ca="1">IFERROR(__xludf.DUMMYFUNCTION("""COMPUTED_VALUE"""),"2117018903")</f>
        <v>2117018903</v>
      </c>
      <c r="H403" s="3"/>
      <c r="I403" s="3" t="str">
        <f ca="1">IFERROR(__xludf.DUMMYFUNCTION("""COMPUTED_VALUE"""),"PPPK")</f>
        <v>PPPK</v>
      </c>
      <c r="J403" s="3" t="str">
        <f ca="1">IFERROR(__xludf.DUMMYFUNCTION("""COMPUTED_VALUE"""),"Pegawai PPPK")</f>
        <v>Pegawai PPPK</v>
      </c>
      <c r="K403" s="5" t="str">
        <f ca="1">IFERROR(__xludf.DUMMYFUNCTION("""COMPUTED_VALUE"""),"L")</f>
        <v>L</v>
      </c>
      <c r="L403" s="3" t="str">
        <f ca="1">IFERROR(__xludf.DUMMYFUNCTION("""COMPUTED_VALUE"""),"Banyumas")</f>
        <v>Banyumas</v>
      </c>
      <c r="M403" s="11">
        <f ca="1">IFERROR(__xludf.DUMMYFUNCTION("""COMPUTED_VALUE"""),32556)</f>
        <v>32556</v>
      </c>
      <c r="N403" s="4"/>
      <c r="O403" s="3" t="str">
        <f ca="1">IFERROR(__xludf.DUMMYFUNCTION("""COMPUTED_VALUE"""),"IX")</f>
        <v>IX</v>
      </c>
      <c r="P403" s="7">
        <f ca="1">IFERROR(__xludf.DUMMYFUNCTION("""COMPUTED_VALUE"""),45717)</f>
        <v>45717</v>
      </c>
      <c r="Q403" s="3" t="str">
        <f ca="1">IFERROR(__xludf.DUMMYFUNCTION("""COMPUTED_VALUE"""),"287.23/Un.19/K.AUPK/KP.01.3/02/2025")</f>
        <v>287.23/Un.19/K.AUPK/KP.01.3/02/2025</v>
      </c>
      <c r="R403" s="3" t="str">
        <f ca="1">IFERROR(__xludf.DUMMYFUNCTION("""COMPUTED_VALUE"""),"‌Pengelola Pengadaan Barang/Jasa")</f>
        <v>‌Pengelola Pengadaan Barang/Jasa</v>
      </c>
      <c r="S403" s="3" t="str">
        <f ca="1">IFERROR(__xludf.DUMMYFUNCTION("""COMPUTED_VALUE"""),"Ahli Pertama")</f>
        <v>Ahli Pertama</v>
      </c>
      <c r="T403" s="7">
        <f ca="1">IFERROR(__xludf.DUMMYFUNCTION("""COMPUTED_VALUE"""),45717)</f>
        <v>45717</v>
      </c>
      <c r="U403" s="3"/>
      <c r="V403" s="7">
        <f ca="1">IFERROR(__xludf.DUMMYFUNCTION("""COMPUTED_VALUE"""),45716)</f>
        <v>45716</v>
      </c>
      <c r="W403" s="3">
        <f ca="1">IFERROR(__xludf.DUMMYFUNCTION("""COMPUTED_VALUE"""),8)</f>
        <v>8</v>
      </c>
      <c r="X403" s="3"/>
      <c r="Y403" s="3" t="str">
        <f ca="1">IFERROR(__xludf.DUMMYFUNCTION("""COMPUTED_VALUE"""),"S-2")</f>
        <v>S-2</v>
      </c>
      <c r="Z403" s="3" t="str">
        <f ca="1">IFERROR(__xludf.DUMMYFUNCTION("""COMPUTED_VALUE"""),"0 Tahun 8 Bulan 1 Hari")</f>
        <v>0 Tahun 8 Bulan 1 Hari</v>
      </c>
      <c r="AA403" s="8">
        <f ca="1">IFERROR(__xludf.DUMMYFUNCTION("""COMPUTED_VALUE"""),53752)</f>
        <v>53752</v>
      </c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4"/>
      <c r="AR403" s="3"/>
      <c r="AS403" s="4"/>
      <c r="AT403" s="3"/>
      <c r="AU403" s="3"/>
    </row>
    <row r="404" spans="1:47" x14ac:dyDescent="0.2">
      <c r="A404" s="12">
        <v>403</v>
      </c>
      <c r="B404" s="3" t="str">
        <f ca="1">IFERROR(__xludf.DUMMYFUNCTION("""COMPUTED_VALUE"""),"Moh. Ali Ma'sum")</f>
        <v>Moh. Ali Ma'sum</v>
      </c>
      <c r="C404" s="3" t="str">
        <f ca="1">IFERROR(__xludf.DUMMYFUNCTION("""COMPUTED_VALUE"""),"Moh. Ali Ma'sum, S.H.")</f>
        <v>Moh. Ali Ma'sum, S.H.</v>
      </c>
      <c r="D404" s="3" t="str">
        <f ca="1">IFERROR(__xludf.DUMMYFUNCTION("""COMPUTED_VALUE"""),"Moh. Ali Ma'sum, S.H.")</f>
        <v>Moh. Ali Ma'sum, S.H.</v>
      </c>
      <c r="E404" s="3" t="str">
        <f ca="1">IFERROR(__xludf.DUMMYFUNCTION("""COMPUTED_VALUE"""),"197911052024211006")</f>
        <v>197911052024211006</v>
      </c>
      <c r="F404" s="3" t="str">
        <f ca="1">IFERROR(__xludf.DUMMYFUNCTION("""COMPUTED_VALUE"""),"19791105 202421 1 006")</f>
        <v>19791105 202421 1 006</v>
      </c>
      <c r="G404" s="3"/>
      <c r="H404" s="3"/>
      <c r="I404" s="3" t="str">
        <f ca="1">IFERROR(__xludf.DUMMYFUNCTION("""COMPUTED_VALUE"""),"PPPK")</f>
        <v>PPPK</v>
      </c>
      <c r="J404" s="3" t="str">
        <f ca="1">IFERROR(__xludf.DUMMYFUNCTION("""COMPUTED_VALUE"""),"Pegawai PPPK")</f>
        <v>Pegawai PPPK</v>
      </c>
      <c r="K404" s="5" t="str">
        <f ca="1">IFERROR(__xludf.DUMMYFUNCTION("""COMPUTED_VALUE"""),"L")</f>
        <v>L</v>
      </c>
      <c r="L404" s="3" t="str">
        <f ca="1">IFERROR(__xludf.DUMMYFUNCTION("""COMPUTED_VALUE"""),"Kebumen")</f>
        <v>Kebumen</v>
      </c>
      <c r="M404" s="11">
        <f ca="1">IFERROR(__xludf.DUMMYFUNCTION("""COMPUTED_VALUE"""),29164)</f>
        <v>29164</v>
      </c>
      <c r="N404" s="4"/>
      <c r="O404" s="3" t="str">
        <f ca="1">IFERROR(__xludf.DUMMYFUNCTION("""COMPUTED_VALUE"""),"IX")</f>
        <v>IX</v>
      </c>
      <c r="P404" s="7">
        <f ca="1">IFERROR(__xludf.DUMMYFUNCTION("""COMPUTED_VALUE"""),45352)</f>
        <v>45352</v>
      </c>
      <c r="Q404" s="3" t="str">
        <f ca="1">IFERROR(__xludf.DUMMYFUNCTION("""COMPUTED_VALUE"""),"495.5/Un.19/K.AUPK/KP.00.3/02/2024")</f>
        <v>495.5/Un.19/K.AUPK/KP.00.3/02/2024</v>
      </c>
      <c r="R404" s="3" t="str">
        <f ca="1">IFERROR(__xludf.DUMMYFUNCTION("""COMPUTED_VALUE"""),"Analis Hukum")</f>
        <v>Analis Hukum</v>
      </c>
      <c r="S404" s="3" t="str">
        <f ca="1">IFERROR(__xludf.DUMMYFUNCTION("""COMPUTED_VALUE"""),"Ahli Pertama")</f>
        <v>Ahli Pertama</v>
      </c>
      <c r="T404" s="7">
        <f ca="1">IFERROR(__xludf.DUMMYFUNCTION("""COMPUTED_VALUE"""),45352)</f>
        <v>45352</v>
      </c>
      <c r="U404" s="3"/>
      <c r="V404" s="7">
        <f ca="1">IFERROR(__xludf.DUMMYFUNCTION("""COMPUTED_VALUE"""),45351)</f>
        <v>45351</v>
      </c>
      <c r="W404" s="3">
        <f ca="1">IFERROR(__xludf.DUMMYFUNCTION("""COMPUTED_VALUE"""),8)</f>
        <v>8</v>
      </c>
      <c r="X404" s="3"/>
      <c r="Y404" s="3" t="str">
        <f ca="1">IFERROR(__xludf.DUMMYFUNCTION("""COMPUTED_VALUE"""),"S-1")</f>
        <v>S-1</v>
      </c>
      <c r="Z404" s="3" t="str">
        <f ca="1">IFERROR(__xludf.DUMMYFUNCTION("""COMPUTED_VALUE"""),"1 Tahun 8 Bulan 27 Hari")</f>
        <v>1 Tahun 8 Bulan 27 Hari</v>
      </c>
      <c r="AA404" s="8">
        <f ca="1">IFERROR(__xludf.DUMMYFUNCTION("""COMPUTED_VALUE"""),50375)</f>
        <v>50375</v>
      </c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4"/>
      <c r="AR404" s="3"/>
      <c r="AS404" s="4"/>
      <c r="AT404" s="3"/>
      <c r="AU404" s="3"/>
    </row>
    <row r="405" spans="1:47" x14ac:dyDescent="0.2">
      <c r="A405" s="12">
        <v>404</v>
      </c>
      <c r="B405" s="3" t="str">
        <f ca="1">IFERROR(__xludf.DUMMYFUNCTION("""COMPUTED_VALUE"""),"Nida Zulfa Wahyuni")</f>
        <v>Nida Zulfa Wahyuni</v>
      </c>
      <c r="C405" s="3" t="str">
        <f ca="1">IFERROR(__xludf.DUMMYFUNCTION("""COMPUTED_VALUE"""),"Nida Zulfa Wahyuni, S.E.")</f>
        <v>Nida Zulfa Wahyuni, S.E.</v>
      </c>
      <c r="D405" s="3" t="str">
        <f ca="1">IFERROR(__xludf.DUMMYFUNCTION("""COMPUTED_VALUE"""),"Nida Zulfa Wahyuni, S.E.")</f>
        <v>Nida Zulfa Wahyuni, S.E.</v>
      </c>
      <c r="E405" s="3" t="str">
        <f ca="1">IFERROR(__xludf.DUMMYFUNCTION("""COMPUTED_VALUE"""),"198906132025212016")</f>
        <v>198906132025212016</v>
      </c>
      <c r="F405" s="3" t="str">
        <f ca="1">IFERROR(__xludf.DUMMYFUNCTION("""COMPUTED_VALUE"""),"19890613 202521 2 016")</f>
        <v>19890613 202521 2 016</v>
      </c>
      <c r="G405" s="3"/>
      <c r="H405" s="3"/>
      <c r="I405" s="3" t="str">
        <f ca="1">IFERROR(__xludf.DUMMYFUNCTION("""COMPUTED_VALUE"""),"PPPK")</f>
        <v>PPPK</v>
      </c>
      <c r="J405" s="3" t="str">
        <f ca="1">IFERROR(__xludf.DUMMYFUNCTION("""COMPUTED_VALUE"""),"Pegawai PPPK")</f>
        <v>Pegawai PPPK</v>
      </c>
      <c r="K405" s="5" t="str">
        <f ca="1">IFERROR(__xludf.DUMMYFUNCTION("""COMPUTED_VALUE"""),"P")</f>
        <v>P</v>
      </c>
      <c r="L405" s="3" t="str">
        <f ca="1">IFERROR(__xludf.DUMMYFUNCTION("""COMPUTED_VALUE"""),"Kebumen")</f>
        <v>Kebumen</v>
      </c>
      <c r="M405" s="11">
        <f ca="1">IFERROR(__xludf.DUMMYFUNCTION("""COMPUTED_VALUE"""),32672)</f>
        <v>32672</v>
      </c>
      <c r="N405" s="4"/>
      <c r="O405" s="3" t="str">
        <f ca="1">IFERROR(__xludf.DUMMYFUNCTION("""COMPUTED_VALUE"""),"IX")</f>
        <v>IX</v>
      </c>
      <c r="P405" s="7">
        <f ca="1">IFERROR(__xludf.DUMMYFUNCTION("""COMPUTED_VALUE"""),45717)</f>
        <v>45717</v>
      </c>
      <c r="Q405" s="3" t="str">
        <f ca="1">IFERROR(__xludf.DUMMYFUNCTION("""COMPUTED_VALUE"""),"287.17/Un.19/K.AUPK/KP.01.3/02/2025")</f>
        <v>287.17/Un.19/K.AUPK/KP.01.3/02/2025</v>
      </c>
      <c r="R405" s="3" t="str">
        <f ca="1">IFERROR(__xludf.DUMMYFUNCTION("""COMPUTED_VALUE"""),"‌Penata Layanan Operasional")</f>
        <v>‌Penata Layanan Operasional</v>
      </c>
      <c r="S405" s="3" t="str">
        <f ca="1">IFERROR(__xludf.DUMMYFUNCTION("""COMPUTED_VALUE"""),"Pelaksana")</f>
        <v>Pelaksana</v>
      </c>
      <c r="T405" s="7">
        <f ca="1">IFERROR(__xludf.DUMMYFUNCTION("""COMPUTED_VALUE"""),45717)</f>
        <v>45717</v>
      </c>
      <c r="U405" s="3"/>
      <c r="V405" s="7">
        <f ca="1">IFERROR(__xludf.DUMMYFUNCTION("""COMPUTED_VALUE"""),45716)</f>
        <v>45716</v>
      </c>
      <c r="W405" s="3">
        <f ca="1">IFERROR(__xludf.DUMMYFUNCTION("""COMPUTED_VALUE"""),7)</f>
        <v>7</v>
      </c>
      <c r="X405" s="3"/>
      <c r="Y405" s="3" t="str">
        <f ca="1">IFERROR(__xludf.DUMMYFUNCTION("""COMPUTED_VALUE"""),"S-1")</f>
        <v>S-1</v>
      </c>
      <c r="Z405" s="3" t="str">
        <f ca="1">IFERROR(__xludf.DUMMYFUNCTION("""COMPUTED_VALUE"""),"0 Tahun 8 Bulan 1 Hari")</f>
        <v>0 Tahun 8 Bulan 1 Hari</v>
      </c>
      <c r="AA405" s="8">
        <f ca="1">IFERROR(__xludf.DUMMYFUNCTION("""COMPUTED_VALUE"""),53874)</f>
        <v>53874</v>
      </c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4"/>
      <c r="AR405" s="3"/>
      <c r="AS405" s="4"/>
      <c r="AT405" s="3"/>
      <c r="AU405" s="3"/>
    </row>
    <row r="406" spans="1:47" x14ac:dyDescent="0.2">
      <c r="A406" s="12">
        <v>405</v>
      </c>
      <c r="B406" s="3" t="str">
        <f ca="1">IFERROR(__xludf.DUMMYFUNCTION("""COMPUTED_VALUE"""),"NIsa-Un Naja")</f>
        <v>NIsa-Un Naja</v>
      </c>
      <c r="C406" s="3" t="str">
        <f ca="1">IFERROR(__xludf.DUMMYFUNCTION("""COMPUTED_VALUE"""),"NIsa-Un Naja, SIP.")</f>
        <v>NIsa-Un Naja, SIP.</v>
      </c>
      <c r="D406" s="3" t="str">
        <f ca="1">IFERROR(__xludf.DUMMYFUNCTION("""COMPUTED_VALUE"""),"NIsa-Un Naja, SIP.")</f>
        <v>NIsa-Un Naja, SIP.</v>
      </c>
      <c r="E406" s="3" t="str">
        <f ca="1">IFERROR(__xludf.DUMMYFUNCTION("""COMPUTED_VALUE"""),"199112142023212037")</f>
        <v>199112142023212037</v>
      </c>
      <c r="F406" s="3" t="str">
        <f ca="1">IFERROR(__xludf.DUMMYFUNCTION("""COMPUTED_VALUE"""),"19911214 202321 2 037")</f>
        <v>19911214 202321 2 037</v>
      </c>
      <c r="G406" s="3"/>
      <c r="H406" s="3"/>
      <c r="I406" s="3" t="str">
        <f ca="1">IFERROR(__xludf.DUMMYFUNCTION("""COMPUTED_VALUE"""),"PPPK")</f>
        <v>PPPK</v>
      </c>
      <c r="J406" s="3" t="str">
        <f ca="1">IFERROR(__xludf.DUMMYFUNCTION("""COMPUTED_VALUE"""),"Pegawai PPPK")</f>
        <v>Pegawai PPPK</v>
      </c>
      <c r="K406" s="5" t="str">
        <f ca="1">IFERROR(__xludf.DUMMYFUNCTION("""COMPUTED_VALUE"""),"P")</f>
        <v>P</v>
      </c>
      <c r="L406" s="3" t="str">
        <f ca="1">IFERROR(__xludf.DUMMYFUNCTION("""COMPUTED_VALUE"""),"Banyumas")</f>
        <v>Banyumas</v>
      </c>
      <c r="M406" s="11">
        <f ca="1">IFERROR(__xludf.DUMMYFUNCTION("""COMPUTED_VALUE"""),33586)</f>
        <v>33586</v>
      </c>
      <c r="N406" s="4"/>
      <c r="O406" s="3" t="str">
        <f ca="1">IFERROR(__xludf.DUMMYFUNCTION("""COMPUTED_VALUE"""),"IX")</f>
        <v>IX</v>
      </c>
      <c r="P406" s="7">
        <f ca="1">IFERROR(__xludf.DUMMYFUNCTION("""COMPUTED_VALUE"""),45139)</f>
        <v>45139</v>
      </c>
      <c r="Q406" s="3" t="str">
        <f ca="1">IFERROR(__xludf.DUMMYFUNCTION("""COMPUTED_VALUE"""),"997/Un.19/K.AUPK/KP.00.3/07/2023")</f>
        <v>997/Un.19/K.AUPK/KP.00.3/07/2023</v>
      </c>
      <c r="R406" s="3" t="str">
        <f ca="1">IFERROR(__xludf.DUMMYFUNCTION("""COMPUTED_VALUE"""),"Pustakawan")</f>
        <v>Pustakawan</v>
      </c>
      <c r="S406" s="3" t="str">
        <f ca="1">IFERROR(__xludf.DUMMYFUNCTION("""COMPUTED_VALUE"""),"Ahli Pertama")</f>
        <v>Ahli Pertama</v>
      </c>
      <c r="T406" s="7">
        <f ca="1">IFERROR(__xludf.DUMMYFUNCTION("""COMPUTED_VALUE"""),45139)</f>
        <v>45139</v>
      </c>
      <c r="U406" s="3"/>
      <c r="V406" s="7">
        <f ca="1">IFERROR(__xludf.DUMMYFUNCTION("""COMPUTED_VALUE"""),45138)</f>
        <v>45138</v>
      </c>
      <c r="W406" s="3">
        <f ca="1">IFERROR(__xludf.DUMMYFUNCTION("""COMPUTED_VALUE"""),8)</f>
        <v>8</v>
      </c>
      <c r="X406" s="3"/>
      <c r="Y406" s="3" t="str">
        <f ca="1">IFERROR(__xludf.DUMMYFUNCTION("""COMPUTED_VALUE"""),"S-1")</f>
        <v>S-1</v>
      </c>
      <c r="Z406" s="3" t="str">
        <f ca="1">IFERROR(__xludf.DUMMYFUNCTION("""COMPUTED_VALUE"""),"2 Tahun 4 Bulan 27 Hari")</f>
        <v>2 Tahun 4 Bulan 27 Hari</v>
      </c>
      <c r="AA406" s="8">
        <f ca="1">IFERROR(__xludf.DUMMYFUNCTION("""COMPUTED_VALUE"""),54789)</f>
        <v>54789</v>
      </c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4"/>
      <c r="AR406" s="3"/>
      <c r="AS406" s="4"/>
      <c r="AT406" s="3"/>
      <c r="AU406" s="3"/>
    </row>
    <row r="407" spans="1:47" x14ac:dyDescent="0.2">
      <c r="A407" s="12">
        <v>406</v>
      </c>
      <c r="B407" s="3" t="str">
        <f ca="1">IFERROR(__xludf.DUMMYFUNCTION("""COMPUTED_VALUE"""),"Nofi Setiani")</f>
        <v>Nofi Setiani</v>
      </c>
      <c r="C407" s="3" t="str">
        <f ca="1">IFERROR(__xludf.DUMMYFUNCTION("""COMPUTED_VALUE"""),"Nofi Setiani, S.Pd.I.")</f>
        <v>Nofi Setiani, S.Pd.I.</v>
      </c>
      <c r="D407" s="3" t="str">
        <f ca="1">IFERROR(__xludf.DUMMYFUNCTION("""COMPUTED_VALUE"""),"Nofi Setiani, S.Pd.I.")</f>
        <v>Nofi Setiani, S.Pd.I.</v>
      </c>
      <c r="E407" s="3" t="str">
        <f ca="1">IFERROR(__xludf.DUMMYFUNCTION("""COMPUTED_VALUE"""),"199011012025212010")</f>
        <v>199011012025212010</v>
      </c>
      <c r="F407" s="3" t="str">
        <f ca="1">IFERROR(__xludf.DUMMYFUNCTION("""COMPUTED_VALUE"""),"19901101 202521 2 010")</f>
        <v>19901101 202521 2 010</v>
      </c>
      <c r="G407" s="3"/>
      <c r="H407" s="3"/>
      <c r="I407" s="3" t="str">
        <f ca="1">IFERROR(__xludf.DUMMYFUNCTION("""COMPUTED_VALUE"""),"PPPK")</f>
        <v>PPPK</v>
      </c>
      <c r="J407" s="3" t="str">
        <f ca="1">IFERROR(__xludf.DUMMYFUNCTION("""COMPUTED_VALUE"""),"Pegawai PPPK")</f>
        <v>Pegawai PPPK</v>
      </c>
      <c r="K407" s="5" t="str">
        <f ca="1">IFERROR(__xludf.DUMMYFUNCTION("""COMPUTED_VALUE"""),"P")</f>
        <v>P</v>
      </c>
      <c r="L407" s="3" t="str">
        <f ca="1">IFERROR(__xludf.DUMMYFUNCTION("""COMPUTED_VALUE"""),"Banyumas")</f>
        <v>Banyumas</v>
      </c>
      <c r="M407" s="11">
        <f ca="1">IFERROR(__xludf.DUMMYFUNCTION("""COMPUTED_VALUE"""),33178)</f>
        <v>33178</v>
      </c>
      <c r="N407" s="4"/>
      <c r="O407" s="3" t="str">
        <f ca="1">IFERROR(__xludf.DUMMYFUNCTION("""COMPUTED_VALUE"""),"IX")</f>
        <v>IX</v>
      </c>
      <c r="P407" s="7">
        <f ca="1">IFERROR(__xludf.DUMMYFUNCTION("""COMPUTED_VALUE"""),45717)</f>
        <v>45717</v>
      </c>
      <c r="Q407" s="3" t="str">
        <f ca="1">IFERROR(__xludf.DUMMYFUNCTION("""COMPUTED_VALUE"""),"287.18/Un.19/K.AUPK/KP.01.3/02/2025")</f>
        <v>287.18/Un.19/K.AUPK/KP.01.3/02/2025</v>
      </c>
      <c r="R407" s="3" t="str">
        <f ca="1">IFERROR(__xludf.DUMMYFUNCTION("""COMPUTED_VALUE"""),"‌Penata Layanan Operasional")</f>
        <v>‌Penata Layanan Operasional</v>
      </c>
      <c r="S407" s="3" t="str">
        <f ca="1">IFERROR(__xludf.DUMMYFUNCTION("""COMPUTED_VALUE"""),"Pelaksana")</f>
        <v>Pelaksana</v>
      </c>
      <c r="T407" s="7">
        <f ca="1">IFERROR(__xludf.DUMMYFUNCTION("""COMPUTED_VALUE"""),45717)</f>
        <v>45717</v>
      </c>
      <c r="U407" s="3"/>
      <c r="V407" s="7">
        <f ca="1">IFERROR(__xludf.DUMMYFUNCTION("""COMPUTED_VALUE"""),45716)</f>
        <v>45716</v>
      </c>
      <c r="W407" s="3">
        <f ca="1">IFERROR(__xludf.DUMMYFUNCTION("""COMPUTED_VALUE"""),7)</f>
        <v>7</v>
      </c>
      <c r="X407" s="3"/>
      <c r="Y407" s="3" t="str">
        <f ca="1">IFERROR(__xludf.DUMMYFUNCTION("""COMPUTED_VALUE"""),"S-1")</f>
        <v>S-1</v>
      </c>
      <c r="Z407" s="3" t="str">
        <f ca="1">IFERROR(__xludf.DUMMYFUNCTION("""COMPUTED_VALUE"""),"0 Tahun 8 Bulan 1 Hari")</f>
        <v>0 Tahun 8 Bulan 1 Hari</v>
      </c>
      <c r="AA407" s="8">
        <f ca="1">IFERROR(__xludf.DUMMYFUNCTION("""COMPUTED_VALUE"""),54393)</f>
        <v>54393</v>
      </c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4"/>
      <c r="AR407" s="3"/>
      <c r="AS407" s="4"/>
      <c r="AT407" s="3"/>
      <c r="AU407" s="3"/>
    </row>
    <row r="408" spans="1:47" x14ac:dyDescent="0.2">
      <c r="A408" s="12">
        <v>407</v>
      </c>
      <c r="B408" s="3" t="str">
        <f ca="1">IFERROR(__xludf.DUMMYFUNCTION("""COMPUTED_VALUE"""),"Nur Anisa Setyaningrum")</f>
        <v>Nur Anisa Setyaningrum</v>
      </c>
      <c r="C408" s="3" t="str">
        <f ca="1">IFERROR(__xludf.DUMMYFUNCTION("""COMPUTED_VALUE"""),"Nur Anisa Setyaningrum, S.E.Sy.")</f>
        <v>Nur Anisa Setyaningrum, S.E.Sy.</v>
      </c>
      <c r="D408" s="3" t="str">
        <f ca="1">IFERROR(__xludf.DUMMYFUNCTION("""COMPUTED_VALUE"""),"Nur Anisa Setyaningrum, S.E.Sy., M.E.")</f>
        <v>Nur Anisa Setyaningrum, S.E.Sy., M.E.</v>
      </c>
      <c r="E408" s="3" t="str">
        <f ca="1">IFERROR(__xludf.DUMMYFUNCTION("""COMPUTED_VALUE"""),"199207082025212015")</f>
        <v>199207082025212015</v>
      </c>
      <c r="F408" s="3" t="str">
        <f ca="1">IFERROR(__xludf.DUMMYFUNCTION("""COMPUTED_VALUE"""),"19920708 202521 2 015")</f>
        <v>19920708 202521 2 015</v>
      </c>
      <c r="G408" s="3"/>
      <c r="H408" s="3"/>
      <c r="I408" s="3" t="str">
        <f ca="1">IFERROR(__xludf.DUMMYFUNCTION("""COMPUTED_VALUE"""),"PPPK")</f>
        <v>PPPK</v>
      </c>
      <c r="J408" s="3" t="str">
        <f ca="1">IFERROR(__xludf.DUMMYFUNCTION("""COMPUTED_VALUE"""),"Pegawai PPPK")</f>
        <v>Pegawai PPPK</v>
      </c>
      <c r="K408" s="5" t="str">
        <f ca="1">IFERROR(__xludf.DUMMYFUNCTION("""COMPUTED_VALUE"""),"P")</f>
        <v>P</v>
      </c>
      <c r="L408" s="3" t="str">
        <f ca="1">IFERROR(__xludf.DUMMYFUNCTION("""COMPUTED_VALUE"""),"Purwokerto")</f>
        <v>Purwokerto</v>
      </c>
      <c r="M408" s="11">
        <f ca="1">IFERROR(__xludf.DUMMYFUNCTION("""COMPUTED_VALUE"""),33793)</f>
        <v>33793</v>
      </c>
      <c r="N408" s="4"/>
      <c r="O408" s="3" t="str">
        <f ca="1">IFERROR(__xludf.DUMMYFUNCTION("""COMPUTED_VALUE"""),"IX")</f>
        <v>IX</v>
      </c>
      <c r="P408" s="7">
        <f ca="1">IFERROR(__xludf.DUMMYFUNCTION("""COMPUTED_VALUE"""),45717)</f>
        <v>45717</v>
      </c>
      <c r="Q408" s="3" t="str">
        <f ca="1">IFERROR(__xludf.DUMMYFUNCTION("""COMPUTED_VALUE"""),"287.26/Un.19/K.AUPK/KP.01.3/02/2025")</f>
        <v>287.26/Un.19/K.AUPK/KP.01.3/02/2025</v>
      </c>
      <c r="R408" s="3" t="str">
        <f ca="1">IFERROR(__xludf.DUMMYFUNCTION("""COMPUTED_VALUE"""),"Perencana")</f>
        <v>Perencana</v>
      </c>
      <c r="S408" s="3" t="str">
        <f ca="1">IFERROR(__xludf.DUMMYFUNCTION("""COMPUTED_VALUE"""),"Ahli Pertama")</f>
        <v>Ahli Pertama</v>
      </c>
      <c r="T408" s="7">
        <f ca="1">IFERROR(__xludf.DUMMYFUNCTION("""COMPUTED_VALUE"""),45717)</f>
        <v>45717</v>
      </c>
      <c r="U408" s="3"/>
      <c r="V408" s="7">
        <f ca="1">IFERROR(__xludf.DUMMYFUNCTION("""COMPUTED_VALUE"""),45716)</f>
        <v>45716</v>
      </c>
      <c r="W408" s="3">
        <f ca="1">IFERROR(__xludf.DUMMYFUNCTION("""COMPUTED_VALUE"""),8)</f>
        <v>8</v>
      </c>
      <c r="X408" s="3"/>
      <c r="Y408" s="3" t="str">
        <f ca="1">IFERROR(__xludf.DUMMYFUNCTION("""COMPUTED_VALUE"""),"S-2")</f>
        <v>S-2</v>
      </c>
      <c r="Z408" s="3" t="str">
        <f ca="1">IFERROR(__xludf.DUMMYFUNCTION("""COMPUTED_VALUE"""),"0 Tahun 8 Bulan 1 Hari")</f>
        <v>0 Tahun 8 Bulan 1 Hari</v>
      </c>
      <c r="AA408" s="8">
        <f ca="1">IFERROR(__xludf.DUMMYFUNCTION("""COMPUTED_VALUE"""),55001)</f>
        <v>55001</v>
      </c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4"/>
      <c r="AR408" s="3"/>
      <c r="AS408" s="4"/>
      <c r="AT408" s="3"/>
      <c r="AU408" s="3"/>
    </row>
    <row r="409" spans="1:47" x14ac:dyDescent="0.2">
      <c r="A409" s="12">
        <v>408</v>
      </c>
      <c r="B409" s="3" t="str">
        <f ca="1">IFERROR(__xludf.DUMMYFUNCTION("""COMPUTED_VALUE"""),"Nurlaeli Destiyanti")</f>
        <v>Nurlaeli Destiyanti</v>
      </c>
      <c r="C409" s="3" t="str">
        <f ca="1">IFERROR(__xludf.DUMMYFUNCTION("""COMPUTED_VALUE"""),"Nurlaeli Destiyanti, S.E.Sy.")</f>
        <v>Nurlaeli Destiyanti, S.E.Sy.</v>
      </c>
      <c r="D409" s="3" t="str">
        <f ca="1">IFERROR(__xludf.DUMMYFUNCTION("""COMPUTED_VALUE"""),"Nurlaeli Destiyanti, S.E.Sy., M.E.")</f>
        <v>Nurlaeli Destiyanti, S.E.Sy., M.E.</v>
      </c>
      <c r="E409" s="3" t="str">
        <f ca="1">IFERROR(__xludf.DUMMYFUNCTION("""COMPUTED_VALUE"""),"199212202025212008")</f>
        <v>199212202025212008</v>
      </c>
      <c r="F409" s="3" t="str">
        <f ca="1">IFERROR(__xludf.DUMMYFUNCTION("""COMPUTED_VALUE"""),"19921220 202521 2 008")</f>
        <v>19921220 202521 2 008</v>
      </c>
      <c r="G409" s="3"/>
      <c r="H409" s="3"/>
      <c r="I409" s="3" t="str">
        <f ca="1">IFERROR(__xludf.DUMMYFUNCTION("""COMPUTED_VALUE"""),"PPPK")</f>
        <v>PPPK</v>
      </c>
      <c r="J409" s="3" t="str">
        <f ca="1">IFERROR(__xludf.DUMMYFUNCTION("""COMPUTED_VALUE"""),"Pegawai PPPK")</f>
        <v>Pegawai PPPK</v>
      </c>
      <c r="K409" s="5" t="str">
        <f ca="1">IFERROR(__xludf.DUMMYFUNCTION("""COMPUTED_VALUE"""),"P")</f>
        <v>P</v>
      </c>
      <c r="L409" s="3" t="str">
        <f ca="1">IFERROR(__xludf.DUMMYFUNCTION("""COMPUTED_VALUE"""),"Banyumas")</f>
        <v>Banyumas</v>
      </c>
      <c r="M409" s="11">
        <f ca="1">IFERROR(__xludf.DUMMYFUNCTION("""COMPUTED_VALUE"""),33958)</f>
        <v>33958</v>
      </c>
      <c r="N409" s="4"/>
      <c r="O409" s="3" t="str">
        <f ca="1">IFERROR(__xludf.DUMMYFUNCTION("""COMPUTED_VALUE"""),"IX")</f>
        <v>IX</v>
      </c>
      <c r="P409" s="7">
        <f ca="1">IFERROR(__xludf.DUMMYFUNCTION("""COMPUTED_VALUE"""),45717)</f>
        <v>45717</v>
      </c>
      <c r="Q409" s="3" t="str">
        <f ca="1">IFERROR(__xludf.DUMMYFUNCTION("""COMPUTED_VALUE"""),"287.11/Un.19/K.AUPK/KP.01.3/02/2025")</f>
        <v>287.11/Un.19/K.AUPK/KP.01.3/02/2025</v>
      </c>
      <c r="R409" s="3" t="str">
        <f ca="1">IFERROR(__xludf.DUMMYFUNCTION("""COMPUTED_VALUE"""),"Arsiparis")</f>
        <v>Arsiparis</v>
      </c>
      <c r="S409" s="3" t="str">
        <f ca="1">IFERROR(__xludf.DUMMYFUNCTION("""COMPUTED_VALUE"""),"Ahli Pertama")</f>
        <v>Ahli Pertama</v>
      </c>
      <c r="T409" s="7">
        <f ca="1">IFERROR(__xludf.DUMMYFUNCTION("""COMPUTED_VALUE"""),45717)</f>
        <v>45717</v>
      </c>
      <c r="U409" s="3"/>
      <c r="V409" s="7">
        <f ca="1">IFERROR(__xludf.DUMMYFUNCTION("""COMPUTED_VALUE"""),45716)</f>
        <v>45716</v>
      </c>
      <c r="W409" s="3">
        <f ca="1">IFERROR(__xludf.DUMMYFUNCTION("""COMPUTED_VALUE"""),8)</f>
        <v>8</v>
      </c>
      <c r="X409" s="3"/>
      <c r="Y409" s="3" t="str">
        <f ca="1">IFERROR(__xludf.DUMMYFUNCTION("""COMPUTED_VALUE"""),"S-2")</f>
        <v>S-2</v>
      </c>
      <c r="Z409" s="3" t="str">
        <f ca="1">IFERROR(__xludf.DUMMYFUNCTION("""COMPUTED_VALUE"""),"0 Tahun 8 Bulan 1 Hari")</f>
        <v>0 Tahun 8 Bulan 1 Hari</v>
      </c>
      <c r="AA409" s="8">
        <f ca="1">IFERROR(__xludf.DUMMYFUNCTION("""COMPUTED_VALUE"""),55154)</f>
        <v>55154</v>
      </c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4"/>
      <c r="AR409" s="3"/>
      <c r="AS409" s="4"/>
      <c r="AT409" s="3"/>
      <c r="AU409" s="3"/>
    </row>
    <row r="410" spans="1:47" x14ac:dyDescent="0.2">
      <c r="A410" s="12">
        <v>409</v>
      </c>
      <c r="B410" s="3" t="str">
        <f ca="1">IFERROR(__xludf.DUMMYFUNCTION("""COMPUTED_VALUE"""),"Pirman")</f>
        <v>Pirman</v>
      </c>
      <c r="C410" s="3" t="str">
        <f ca="1">IFERROR(__xludf.DUMMYFUNCTION("""COMPUTED_VALUE"""),"Pirman, S.Sy.")</f>
        <v>Pirman, S.Sy.</v>
      </c>
      <c r="D410" s="3" t="str">
        <f ca="1">IFERROR(__xludf.DUMMYFUNCTION("""COMPUTED_VALUE"""),"Pirman, S.Sy.")</f>
        <v>Pirman, S.Sy.</v>
      </c>
      <c r="E410" s="3" t="str">
        <f ca="1">IFERROR(__xludf.DUMMYFUNCTION("""COMPUTED_VALUE"""),"199006142025211003")</f>
        <v>199006142025211003</v>
      </c>
      <c r="F410" s="3" t="str">
        <f ca="1">IFERROR(__xludf.DUMMYFUNCTION("""COMPUTED_VALUE"""),"19900614 202521 1 003")</f>
        <v>19900614 202521 1 003</v>
      </c>
      <c r="G410" s="3"/>
      <c r="H410" s="3"/>
      <c r="I410" s="3" t="str">
        <f ca="1">IFERROR(__xludf.DUMMYFUNCTION("""COMPUTED_VALUE"""),"PPPK")</f>
        <v>PPPK</v>
      </c>
      <c r="J410" s="3" t="str">
        <f ca="1">IFERROR(__xludf.DUMMYFUNCTION("""COMPUTED_VALUE"""),"Pegawai PPPK")</f>
        <v>Pegawai PPPK</v>
      </c>
      <c r="K410" s="5" t="str">
        <f ca="1">IFERROR(__xludf.DUMMYFUNCTION("""COMPUTED_VALUE"""),"L")</f>
        <v>L</v>
      </c>
      <c r="L410" s="3" t="str">
        <f ca="1">IFERROR(__xludf.DUMMYFUNCTION("""COMPUTED_VALUE"""),"Cilacap")</f>
        <v>Cilacap</v>
      </c>
      <c r="M410" s="11">
        <f ca="1">IFERROR(__xludf.DUMMYFUNCTION("""COMPUTED_VALUE"""),33038)</f>
        <v>33038</v>
      </c>
      <c r="N410" s="4"/>
      <c r="O410" s="3" t="str">
        <f ca="1">IFERROR(__xludf.DUMMYFUNCTION("""COMPUTED_VALUE"""),"IX")</f>
        <v>IX</v>
      </c>
      <c r="P410" s="7">
        <f ca="1">IFERROR(__xludf.DUMMYFUNCTION("""COMPUTED_VALUE"""),45717)</f>
        <v>45717</v>
      </c>
      <c r="Q410" s="3" t="str">
        <f ca="1">IFERROR(__xludf.DUMMYFUNCTION("""COMPUTED_VALUE"""),"287.2/Un.19/K.AUPK/KP.01.3/02/2025")</f>
        <v>287.2/Un.19/K.AUPK/KP.01.3/02/2025</v>
      </c>
      <c r="R410" s="3" t="str">
        <f ca="1">IFERROR(__xludf.DUMMYFUNCTION("""COMPUTED_VALUE"""),"Analis Kebijakan")</f>
        <v>Analis Kebijakan</v>
      </c>
      <c r="S410" s="3" t="str">
        <f ca="1">IFERROR(__xludf.DUMMYFUNCTION("""COMPUTED_VALUE"""),"Ahli Pertama")</f>
        <v>Ahli Pertama</v>
      </c>
      <c r="T410" s="7">
        <f ca="1">IFERROR(__xludf.DUMMYFUNCTION("""COMPUTED_VALUE"""),45717)</f>
        <v>45717</v>
      </c>
      <c r="U410" s="3"/>
      <c r="V410" s="7">
        <f ca="1">IFERROR(__xludf.DUMMYFUNCTION("""COMPUTED_VALUE"""),45716)</f>
        <v>45716</v>
      </c>
      <c r="W410" s="3">
        <f ca="1">IFERROR(__xludf.DUMMYFUNCTION("""COMPUTED_VALUE"""),8)</f>
        <v>8</v>
      </c>
      <c r="X410" s="3"/>
      <c r="Y410" s="3" t="str">
        <f ca="1">IFERROR(__xludf.DUMMYFUNCTION("""COMPUTED_VALUE"""),"S-1")</f>
        <v>S-1</v>
      </c>
      <c r="Z410" s="3" t="str">
        <f ca="1">IFERROR(__xludf.DUMMYFUNCTION("""COMPUTED_VALUE"""),"0 Tahun 8 Bulan 1 Hari")</f>
        <v>0 Tahun 8 Bulan 1 Hari</v>
      </c>
      <c r="AA410" s="8">
        <f ca="1">IFERROR(__xludf.DUMMYFUNCTION("""COMPUTED_VALUE"""),54240)</f>
        <v>54240</v>
      </c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4"/>
      <c r="AR410" s="3"/>
      <c r="AS410" s="4"/>
      <c r="AT410" s="3"/>
      <c r="AU410" s="3"/>
    </row>
    <row r="411" spans="1:47" x14ac:dyDescent="0.2">
      <c r="A411" s="12">
        <v>410</v>
      </c>
      <c r="B411" s="3" t="str">
        <f ca="1">IFERROR(__xludf.DUMMYFUNCTION("""COMPUTED_VALUE"""),"Rama Dani Saputra")</f>
        <v>Rama Dani Saputra</v>
      </c>
      <c r="C411" s="3" t="str">
        <f ca="1">IFERROR(__xludf.DUMMYFUNCTION("""COMPUTED_VALUE"""),"Rama Dani Saputra, S.Kom.")</f>
        <v>Rama Dani Saputra, S.Kom.</v>
      </c>
      <c r="D411" s="3" t="str">
        <f ca="1">IFERROR(__xludf.DUMMYFUNCTION("""COMPUTED_VALUE"""),"Rama Dani Saputra, S.Kom.")</f>
        <v>Rama Dani Saputra, S.Kom.</v>
      </c>
      <c r="E411" s="3" t="str">
        <f ca="1">IFERROR(__xludf.DUMMYFUNCTION("""COMPUTED_VALUE"""),"199502272024211021")</f>
        <v>199502272024211021</v>
      </c>
      <c r="F411" s="3" t="str">
        <f ca="1">IFERROR(__xludf.DUMMYFUNCTION("""COMPUTED_VALUE"""),"19950227 202421 1 021")</f>
        <v>19950227 202421 1 021</v>
      </c>
      <c r="G411" s="3"/>
      <c r="H411" s="3"/>
      <c r="I411" s="3" t="str">
        <f ca="1">IFERROR(__xludf.DUMMYFUNCTION("""COMPUTED_VALUE"""),"PPPK")</f>
        <v>PPPK</v>
      </c>
      <c r="J411" s="3" t="str">
        <f ca="1">IFERROR(__xludf.DUMMYFUNCTION("""COMPUTED_VALUE"""),"Pegawai PPPK")</f>
        <v>Pegawai PPPK</v>
      </c>
      <c r="K411" s="5" t="str">
        <f ca="1">IFERROR(__xludf.DUMMYFUNCTION("""COMPUTED_VALUE"""),"L")</f>
        <v>L</v>
      </c>
      <c r="L411" s="3" t="str">
        <f ca="1">IFERROR(__xludf.DUMMYFUNCTION("""COMPUTED_VALUE"""),"Cilacap")</f>
        <v>Cilacap</v>
      </c>
      <c r="M411" s="11">
        <f ca="1">IFERROR(__xludf.DUMMYFUNCTION("""COMPUTED_VALUE"""),34757)</f>
        <v>34757</v>
      </c>
      <c r="N411" s="4"/>
      <c r="O411" s="3" t="str">
        <f ca="1">IFERROR(__xludf.DUMMYFUNCTION("""COMPUTED_VALUE"""),"IX")</f>
        <v>IX</v>
      </c>
      <c r="P411" s="7">
        <f ca="1">IFERROR(__xludf.DUMMYFUNCTION("""COMPUTED_VALUE"""),45352)</f>
        <v>45352</v>
      </c>
      <c r="Q411" s="3" t="str">
        <f ca="1">IFERROR(__xludf.DUMMYFUNCTION("""COMPUTED_VALUE"""),"495.7/Un.19/K.AUPK/KP.00.3/02/2024")</f>
        <v>495.7/Un.19/K.AUPK/KP.00.3/02/2024</v>
      </c>
      <c r="R411" s="3" t="str">
        <f ca="1">IFERROR(__xludf.DUMMYFUNCTION("""COMPUTED_VALUE"""),"Pranata Komputer")</f>
        <v>Pranata Komputer</v>
      </c>
      <c r="S411" s="3" t="str">
        <f ca="1">IFERROR(__xludf.DUMMYFUNCTION("""COMPUTED_VALUE"""),"Ahli Pertama")</f>
        <v>Ahli Pertama</v>
      </c>
      <c r="T411" s="7">
        <f ca="1">IFERROR(__xludf.DUMMYFUNCTION("""COMPUTED_VALUE"""),45352)</f>
        <v>45352</v>
      </c>
      <c r="U411" s="3"/>
      <c r="V411" s="7">
        <f ca="1">IFERROR(__xludf.DUMMYFUNCTION("""COMPUTED_VALUE"""),45351)</f>
        <v>45351</v>
      </c>
      <c r="W411" s="3">
        <f ca="1">IFERROR(__xludf.DUMMYFUNCTION("""COMPUTED_VALUE"""),8)</f>
        <v>8</v>
      </c>
      <c r="X411" s="3"/>
      <c r="Y411" s="3" t="str">
        <f ca="1">IFERROR(__xludf.DUMMYFUNCTION("""COMPUTED_VALUE"""),"S-1")</f>
        <v>S-1</v>
      </c>
      <c r="Z411" s="3" t="str">
        <f ca="1">IFERROR(__xludf.DUMMYFUNCTION("""COMPUTED_VALUE"""),"1 Tahun 8 Bulan 27 Hari")</f>
        <v>1 Tahun 8 Bulan 27 Hari</v>
      </c>
      <c r="AA411" s="8">
        <f ca="1">IFERROR(__xludf.DUMMYFUNCTION("""COMPUTED_VALUE"""),55944)</f>
        <v>55944</v>
      </c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4"/>
      <c r="AR411" s="3"/>
      <c r="AS411" s="4"/>
      <c r="AT411" s="3"/>
      <c r="AU411" s="3"/>
    </row>
    <row r="412" spans="1:47" x14ac:dyDescent="0.2">
      <c r="A412" s="12">
        <v>411</v>
      </c>
      <c r="B412" s="3" t="str">
        <f ca="1">IFERROR(__xludf.DUMMYFUNCTION("""COMPUTED_VALUE"""),"Redhika Rakhmania Rinandela")</f>
        <v>Redhika Rakhmania Rinandela</v>
      </c>
      <c r="C412" s="3" t="str">
        <f ca="1">IFERROR(__xludf.DUMMYFUNCTION("""COMPUTED_VALUE"""),"Redhika Rakhmania Rinandela, S.P.")</f>
        <v>Redhika Rakhmania Rinandela, S.P.</v>
      </c>
      <c r="D412" s="3" t="str">
        <f ca="1">IFERROR(__xludf.DUMMYFUNCTION("""COMPUTED_VALUE"""),"Redhika Rakhmania Rinandela, S.P.")</f>
        <v>Redhika Rakhmania Rinandela, S.P.</v>
      </c>
      <c r="E412" s="3" t="str">
        <f ca="1">IFERROR(__xludf.DUMMYFUNCTION("""COMPUTED_VALUE"""),"199008082025212014")</f>
        <v>199008082025212014</v>
      </c>
      <c r="F412" s="3" t="str">
        <f ca="1">IFERROR(__xludf.DUMMYFUNCTION("""COMPUTED_VALUE"""),"19900808 202521 2 014")</f>
        <v>19900808 202521 2 014</v>
      </c>
      <c r="G412" s="3"/>
      <c r="H412" s="3"/>
      <c r="I412" s="3" t="str">
        <f ca="1">IFERROR(__xludf.DUMMYFUNCTION("""COMPUTED_VALUE"""),"PPPK")</f>
        <v>PPPK</v>
      </c>
      <c r="J412" s="3" t="str">
        <f ca="1">IFERROR(__xludf.DUMMYFUNCTION("""COMPUTED_VALUE"""),"Pegawai PPPK")</f>
        <v>Pegawai PPPK</v>
      </c>
      <c r="K412" s="5" t="str">
        <f ca="1">IFERROR(__xludf.DUMMYFUNCTION("""COMPUTED_VALUE"""),"P")</f>
        <v>P</v>
      </c>
      <c r="L412" s="3" t="str">
        <f ca="1">IFERROR(__xludf.DUMMYFUNCTION("""COMPUTED_VALUE"""),"Purbalingga")</f>
        <v>Purbalingga</v>
      </c>
      <c r="M412" s="11">
        <f ca="1">IFERROR(__xludf.DUMMYFUNCTION("""COMPUTED_VALUE"""),33093)</f>
        <v>33093</v>
      </c>
      <c r="N412" s="4"/>
      <c r="O412" s="3" t="str">
        <f ca="1">IFERROR(__xludf.DUMMYFUNCTION("""COMPUTED_VALUE"""),"IX")</f>
        <v>IX</v>
      </c>
      <c r="P412" s="7">
        <f ca="1">IFERROR(__xludf.DUMMYFUNCTION("""COMPUTED_VALUE"""),45717)</f>
        <v>45717</v>
      </c>
      <c r="Q412" s="3" t="str">
        <f ca="1">IFERROR(__xludf.DUMMYFUNCTION("""COMPUTED_VALUE"""),"287.12/Un.19/K.AUPK/KP.01.3/02/2025")</f>
        <v>287.12/Un.19/K.AUPK/KP.01.3/02/2025</v>
      </c>
      <c r="R412" s="3" t="str">
        <f ca="1">IFERROR(__xludf.DUMMYFUNCTION("""COMPUTED_VALUE"""),"Arsiparis")</f>
        <v>Arsiparis</v>
      </c>
      <c r="S412" s="3" t="str">
        <f ca="1">IFERROR(__xludf.DUMMYFUNCTION("""COMPUTED_VALUE"""),"Ahli Pertama")</f>
        <v>Ahli Pertama</v>
      </c>
      <c r="T412" s="7">
        <f ca="1">IFERROR(__xludf.DUMMYFUNCTION("""COMPUTED_VALUE"""),45717)</f>
        <v>45717</v>
      </c>
      <c r="U412" s="3"/>
      <c r="V412" s="7">
        <f ca="1">IFERROR(__xludf.DUMMYFUNCTION("""COMPUTED_VALUE"""),45716)</f>
        <v>45716</v>
      </c>
      <c r="W412" s="3">
        <f ca="1">IFERROR(__xludf.DUMMYFUNCTION("""COMPUTED_VALUE"""),8)</f>
        <v>8</v>
      </c>
      <c r="X412" s="3"/>
      <c r="Y412" s="3" t="str">
        <f ca="1">IFERROR(__xludf.DUMMYFUNCTION("""COMPUTED_VALUE"""),"S-1")</f>
        <v>S-1</v>
      </c>
      <c r="Z412" s="3" t="str">
        <f ca="1">IFERROR(__xludf.DUMMYFUNCTION("""COMPUTED_VALUE"""),"0 Tahun 8 Bulan 1 Hari")</f>
        <v>0 Tahun 8 Bulan 1 Hari</v>
      </c>
      <c r="AA412" s="8">
        <f ca="1">IFERROR(__xludf.DUMMYFUNCTION("""COMPUTED_VALUE"""),54302)</f>
        <v>54302</v>
      </c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4"/>
      <c r="AR412" s="3"/>
      <c r="AS412" s="4"/>
      <c r="AT412" s="3"/>
      <c r="AU412" s="3"/>
    </row>
    <row r="413" spans="1:47" x14ac:dyDescent="0.2">
      <c r="A413" s="12">
        <v>412</v>
      </c>
      <c r="B413" s="3" t="str">
        <f ca="1">IFERROR(__xludf.DUMMYFUNCTION("""COMPUTED_VALUE"""),"Restu Umar Fauzi")</f>
        <v>Restu Umar Fauzi</v>
      </c>
      <c r="C413" s="3" t="str">
        <f ca="1">IFERROR(__xludf.DUMMYFUNCTION("""COMPUTED_VALUE"""),"Restu Umar Fauzi")</f>
        <v>Restu Umar Fauzi</v>
      </c>
      <c r="D413" s="3" t="str">
        <f ca="1">IFERROR(__xludf.DUMMYFUNCTION("""COMPUTED_VALUE"""),"Restu Umar Fauzi, A.Ma.Pust.")</f>
        <v>Restu Umar Fauzi, A.Ma.Pust.</v>
      </c>
      <c r="E413" s="3" t="str">
        <f ca="1">IFERROR(__xludf.DUMMYFUNCTION("""COMPUTED_VALUE"""),"199207182025211017")</f>
        <v>199207182025211017</v>
      </c>
      <c r="F413" s="3" t="str">
        <f ca="1">IFERROR(__xludf.DUMMYFUNCTION("""COMPUTED_VALUE"""),"19920718 202521 1 017")</f>
        <v>19920718 202521 1 017</v>
      </c>
      <c r="G413" s="3"/>
      <c r="H413" s="3"/>
      <c r="I413" s="3" t="str">
        <f ca="1">IFERROR(__xludf.DUMMYFUNCTION("""COMPUTED_VALUE"""),"PPPK")</f>
        <v>PPPK</v>
      </c>
      <c r="J413" s="3" t="str">
        <f ca="1">IFERROR(__xludf.DUMMYFUNCTION("""COMPUTED_VALUE"""),"Pegawai PPPK")</f>
        <v>Pegawai PPPK</v>
      </c>
      <c r="K413" s="5" t="str">
        <f ca="1">IFERROR(__xludf.DUMMYFUNCTION("""COMPUTED_VALUE"""),"L")</f>
        <v>L</v>
      </c>
      <c r="L413" s="3" t="str">
        <f ca="1">IFERROR(__xludf.DUMMYFUNCTION("""COMPUTED_VALUE"""),"Purwokerto")</f>
        <v>Purwokerto</v>
      </c>
      <c r="M413" s="11">
        <f ca="1">IFERROR(__xludf.DUMMYFUNCTION("""COMPUTED_VALUE"""),33773)</f>
        <v>33773</v>
      </c>
      <c r="N413" s="4"/>
      <c r="O413" s="3" t="str">
        <f ca="1">IFERROR(__xludf.DUMMYFUNCTION("""COMPUTED_VALUE"""),"V")</f>
        <v>V</v>
      </c>
      <c r="P413" s="7">
        <f ca="1">IFERROR(__xludf.DUMMYFUNCTION("""COMPUTED_VALUE"""),45717)</f>
        <v>45717</v>
      </c>
      <c r="Q413" s="3" t="str">
        <f ca="1">IFERROR(__xludf.DUMMYFUNCTION("""COMPUTED_VALUE"""),"287.21/Un.19/K.AUPK/KP.01.3/02/2025")</f>
        <v>287.21/Un.19/K.AUPK/KP.01.3/02/2025</v>
      </c>
      <c r="R413" s="3" t="str">
        <f ca="1">IFERROR(__xludf.DUMMYFUNCTION("""COMPUTED_VALUE"""),"‌Pengadministrasi Perkantoran")</f>
        <v>‌Pengadministrasi Perkantoran</v>
      </c>
      <c r="S413" s="3" t="str">
        <f ca="1">IFERROR(__xludf.DUMMYFUNCTION("""COMPUTED_VALUE"""),"Pelaksana")</f>
        <v>Pelaksana</v>
      </c>
      <c r="T413" s="7">
        <f ca="1">IFERROR(__xludf.DUMMYFUNCTION("""COMPUTED_VALUE"""),45717)</f>
        <v>45717</v>
      </c>
      <c r="U413" s="3"/>
      <c r="V413" s="7">
        <f ca="1">IFERROR(__xludf.DUMMYFUNCTION("""COMPUTED_VALUE"""),45716)</f>
        <v>45716</v>
      </c>
      <c r="W413" s="3">
        <f ca="1">IFERROR(__xludf.DUMMYFUNCTION("""COMPUTED_VALUE"""),5)</f>
        <v>5</v>
      </c>
      <c r="X413" s="3"/>
      <c r="Y413" s="3" t="str">
        <f ca="1">IFERROR(__xludf.DUMMYFUNCTION("""COMPUTED_VALUE"""),"S-1")</f>
        <v>S-1</v>
      </c>
      <c r="Z413" s="3" t="str">
        <f ca="1">IFERROR(__xludf.DUMMYFUNCTION("""COMPUTED_VALUE"""),"0 Tahun 8 Bulan 1 Hari")</f>
        <v>0 Tahun 8 Bulan 1 Hari</v>
      </c>
      <c r="AA413" s="8">
        <f ca="1">IFERROR(__xludf.DUMMYFUNCTION("""COMPUTED_VALUE"""),54970)</f>
        <v>54970</v>
      </c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4"/>
      <c r="AR413" s="3"/>
      <c r="AS413" s="4"/>
      <c r="AT413" s="3"/>
      <c r="AU413" s="3"/>
    </row>
    <row r="414" spans="1:47" x14ac:dyDescent="0.2">
      <c r="A414" s="12">
        <v>413</v>
      </c>
      <c r="B414" s="3" t="str">
        <f ca="1">IFERROR(__xludf.DUMMYFUNCTION("""COMPUTED_VALUE"""),"Rizky Amalia")</f>
        <v>Rizky Amalia</v>
      </c>
      <c r="C414" s="3" t="str">
        <f ca="1">IFERROR(__xludf.DUMMYFUNCTION("""COMPUTED_VALUE"""),"Hj. Rizky Amalia, S.IP.")</f>
        <v>Hj. Rizky Amalia, S.IP.</v>
      </c>
      <c r="D414" s="3" t="str">
        <f ca="1">IFERROR(__xludf.DUMMYFUNCTION("""COMPUTED_VALUE"""),"Hj. Rizky Amalia, S.IP., M.I.Kom.")</f>
        <v>Hj. Rizky Amalia, S.IP., M.I.Kom.</v>
      </c>
      <c r="E414" s="3" t="str">
        <f ca="1">IFERROR(__xludf.DUMMYFUNCTION("""COMPUTED_VALUE"""),"199511042025212009")</f>
        <v>199511042025212009</v>
      </c>
      <c r="F414" s="3" t="str">
        <f ca="1">IFERROR(__xludf.DUMMYFUNCTION("""COMPUTED_VALUE"""),"19951104 202521 2 009")</f>
        <v>19951104 202521 2 009</v>
      </c>
      <c r="G414" s="3"/>
      <c r="H414" s="3"/>
      <c r="I414" s="3" t="str">
        <f ca="1">IFERROR(__xludf.DUMMYFUNCTION("""COMPUTED_VALUE"""),"PPPK")</f>
        <v>PPPK</v>
      </c>
      <c r="J414" s="3" t="str">
        <f ca="1">IFERROR(__xludf.DUMMYFUNCTION("""COMPUTED_VALUE"""),"Pegawai PPPK")</f>
        <v>Pegawai PPPK</v>
      </c>
      <c r="K414" s="5" t="str">
        <f ca="1">IFERROR(__xludf.DUMMYFUNCTION("""COMPUTED_VALUE"""),"P")</f>
        <v>P</v>
      </c>
      <c r="L414" s="3" t="str">
        <f ca="1">IFERROR(__xludf.DUMMYFUNCTION("""COMPUTED_VALUE"""),"Karanganyar")</f>
        <v>Karanganyar</v>
      </c>
      <c r="M414" s="11">
        <f ca="1">IFERROR(__xludf.DUMMYFUNCTION("""COMPUTED_VALUE"""),35007)</f>
        <v>35007</v>
      </c>
      <c r="N414" s="4"/>
      <c r="O414" s="3" t="str">
        <f ca="1">IFERROR(__xludf.DUMMYFUNCTION("""COMPUTED_VALUE"""),"IX")</f>
        <v>IX</v>
      </c>
      <c r="P414" s="7">
        <f ca="1">IFERROR(__xludf.DUMMYFUNCTION("""COMPUTED_VALUE"""),45717)</f>
        <v>45717</v>
      </c>
      <c r="Q414" s="3" t="str">
        <f ca="1">IFERROR(__xludf.DUMMYFUNCTION("""COMPUTED_VALUE"""),"287.3/Un.19/K.AUPK/KP.01.3/02/2025")</f>
        <v>287.3/Un.19/K.AUPK/KP.01.3/02/2025</v>
      </c>
      <c r="R414" s="3" t="str">
        <f ca="1">IFERROR(__xludf.DUMMYFUNCTION("""COMPUTED_VALUE"""),"Analis Kebijakan")</f>
        <v>Analis Kebijakan</v>
      </c>
      <c r="S414" s="3" t="str">
        <f ca="1">IFERROR(__xludf.DUMMYFUNCTION("""COMPUTED_VALUE"""),"Ahli Pertama")</f>
        <v>Ahli Pertama</v>
      </c>
      <c r="T414" s="7">
        <f ca="1">IFERROR(__xludf.DUMMYFUNCTION("""COMPUTED_VALUE"""),45717)</f>
        <v>45717</v>
      </c>
      <c r="U414" s="3"/>
      <c r="V414" s="7">
        <f ca="1">IFERROR(__xludf.DUMMYFUNCTION("""COMPUTED_VALUE"""),45716)</f>
        <v>45716</v>
      </c>
      <c r="W414" s="3">
        <f ca="1">IFERROR(__xludf.DUMMYFUNCTION("""COMPUTED_VALUE"""),8)</f>
        <v>8</v>
      </c>
      <c r="X414" s="3"/>
      <c r="Y414" s="3" t="str">
        <f ca="1">IFERROR(__xludf.DUMMYFUNCTION("""COMPUTED_VALUE"""),"S-2")</f>
        <v>S-2</v>
      </c>
      <c r="Z414" s="3" t="str">
        <f ca="1">IFERROR(__xludf.DUMMYFUNCTION("""COMPUTED_VALUE"""),"0 Tahun 8 Bulan 1 Hari")</f>
        <v>0 Tahun 8 Bulan 1 Hari</v>
      </c>
      <c r="AA414" s="8">
        <f ca="1">IFERROR(__xludf.DUMMYFUNCTION("""COMPUTED_VALUE"""),56219)</f>
        <v>56219</v>
      </c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4"/>
      <c r="AR414" s="3"/>
      <c r="AS414" s="4"/>
      <c r="AT414" s="3"/>
      <c r="AU414" s="3"/>
    </row>
    <row r="415" spans="1:47" x14ac:dyDescent="0.2">
      <c r="A415" s="12">
        <v>414</v>
      </c>
      <c r="B415" s="3" t="str">
        <f ca="1">IFERROR(__xludf.DUMMYFUNCTION("""COMPUTED_VALUE"""),"Rohmatul Fitroh")</f>
        <v>Rohmatul Fitroh</v>
      </c>
      <c r="C415" s="3" t="str">
        <f ca="1">IFERROR(__xludf.DUMMYFUNCTION("""COMPUTED_VALUE"""),"Rohmatul Fitroh, S.Sy.")</f>
        <v>Rohmatul Fitroh, S.Sy.</v>
      </c>
      <c r="D415" s="3" t="str">
        <f ca="1">IFERROR(__xludf.DUMMYFUNCTION("""COMPUTED_VALUE"""),"Rohmatul Fitroh, S.Sy.")</f>
        <v>Rohmatul Fitroh, S.Sy.</v>
      </c>
      <c r="E415" s="3" t="str">
        <f ca="1">IFERROR(__xludf.DUMMYFUNCTION("""COMPUTED_VALUE"""),"199004272025212016")</f>
        <v>199004272025212016</v>
      </c>
      <c r="F415" s="3" t="str">
        <f ca="1">IFERROR(__xludf.DUMMYFUNCTION("""COMPUTED_VALUE"""),"19900427 202521 2 016")</f>
        <v>19900427 202521 2 016</v>
      </c>
      <c r="G415" s="3"/>
      <c r="H415" s="3"/>
      <c r="I415" s="3" t="str">
        <f ca="1">IFERROR(__xludf.DUMMYFUNCTION("""COMPUTED_VALUE"""),"PPPK")</f>
        <v>PPPK</v>
      </c>
      <c r="J415" s="3" t="str">
        <f ca="1">IFERROR(__xludf.DUMMYFUNCTION("""COMPUTED_VALUE"""),"Pegawai PPPK")</f>
        <v>Pegawai PPPK</v>
      </c>
      <c r="K415" s="5" t="str">
        <f ca="1">IFERROR(__xludf.DUMMYFUNCTION("""COMPUTED_VALUE"""),"P")</f>
        <v>P</v>
      </c>
      <c r="L415" s="3" t="str">
        <f ca="1">IFERROR(__xludf.DUMMYFUNCTION("""COMPUTED_VALUE"""),"Banyumas")</f>
        <v>Banyumas</v>
      </c>
      <c r="M415" s="11">
        <f ca="1">IFERROR(__xludf.DUMMYFUNCTION("""COMPUTED_VALUE"""),32990)</f>
        <v>32990</v>
      </c>
      <c r="N415" s="4"/>
      <c r="O415" s="3" t="str">
        <f ca="1">IFERROR(__xludf.DUMMYFUNCTION("""COMPUTED_VALUE"""),"IX")</f>
        <v>IX</v>
      </c>
      <c r="P415" s="7">
        <f ca="1">IFERROR(__xludf.DUMMYFUNCTION("""COMPUTED_VALUE"""),45717)</f>
        <v>45717</v>
      </c>
      <c r="Q415" s="3" t="str">
        <f ca="1">IFERROR(__xludf.DUMMYFUNCTION("""COMPUTED_VALUE"""),"287.27/Un.19/K.AUPK/KP.01.3/02/2025")</f>
        <v>287.27/Un.19/K.AUPK/KP.01.3/02/2025</v>
      </c>
      <c r="R415" s="3" t="str">
        <f ca="1">IFERROR(__xludf.DUMMYFUNCTION("""COMPUTED_VALUE"""),"Pranata Hubungan Masyarakat")</f>
        <v>Pranata Hubungan Masyarakat</v>
      </c>
      <c r="S415" s="3" t="str">
        <f ca="1">IFERROR(__xludf.DUMMYFUNCTION("""COMPUTED_VALUE"""),"Ahli Pertama")</f>
        <v>Ahli Pertama</v>
      </c>
      <c r="T415" s="7">
        <f ca="1">IFERROR(__xludf.DUMMYFUNCTION("""COMPUTED_VALUE"""),45717)</f>
        <v>45717</v>
      </c>
      <c r="U415" s="3"/>
      <c r="V415" s="7">
        <f ca="1">IFERROR(__xludf.DUMMYFUNCTION("""COMPUTED_VALUE"""),45716)</f>
        <v>45716</v>
      </c>
      <c r="W415" s="3">
        <f ca="1">IFERROR(__xludf.DUMMYFUNCTION("""COMPUTED_VALUE"""),8)</f>
        <v>8</v>
      </c>
      <c r="X415" s="3"/>
      <c r="Y415" s="3" t="str">
        <f ca="1">IFERROR(__xludf.DUMMYFUNCTION("""COMPUTED_VALUE"""),"S-1")</f>
        <v>S-1</v>
      </c>
      <c r="Z415" s="3" t="str">
        <f ca="1">IFERROR(__xludf.DUMMYFUNCTION("""COMPUTED_VALUE"""),"0 Tahun 8 Bulan 1 Hari")</f>
        <v>0 Tahun 8 Bulan 1 Hari</v>
      </c>
      <c r="AA415" s="8">
        <f ca="1">IFERROR(__xludf.DUMMYFUNCTION("""COMPUTED_VALUE"""),54179)</f>
        <v>54179</v>
      </c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4"/>
      <c r="AR415" s="3"/>
      <c r="AS415" s="4"/>
      <c r="AT415" s="3"/>
      <c r="AU415" s="3"/>
    </row>
    <row r="416" spans="1:47" x14ac:dyDescent="0.2">
      <c r="A416" s="12">
        <v>415</v>
      </c>
      <c r="B416" s="3" t="str">
        <f ca="1">IFERROR(__xludf.DUMMYFUNCTION("""COMPUTED_VALUE"""),"Saeful Arifin")</f>
        <v>Saeful Arifin</v>
      </c>
      <c r="C416" s="3" t="str">
        <f ca="1">IFERROR(__xludf.DUMMYFUNCTION("""COMPUTED_VALUE"""),"Saeful Arifin, S.E.")</f>
        <v>Saeful Arifin, S.E.</v>
      </c>
      <c r="D416" s="3" t="str">
        <f ca="1">IFERROR(__xludf.DUMMYFUNCTION("""COMPUTED_VALUE"""),"Saeful Arifin, S.E.")</f>
        <v>Saeful Arifin, S.E.</v>
      </c>
      <c r="E416" s="3" t="str">
        <f ca="1">IFERROR(__xludf.DUMMYFUNCTION("""COMPUTED_VALUE"""),"199305212023211021")</f>
        <v>199305212023211021</v>
      </c>
      <c r="F416" s="3" t="str">
        <f ca="1">IFERROR(__xludf.DUMMYFUNCTION("""COMPUTED_VALUE"""),"19930521 202321 1 021")</f>
        <v>19930521 202321 1 021</v>
      </c>
      <c r="G416" s="3"/>
      <c r="H416" s="3"/>
      <c r="I416" s="3" t="str">
        <f ca="1">IFERROR(__xludf.DUMMYFUNCTION("""COMPUTED_VALUE"""),"PPPK")</f>
        <v>PPPK</v>
      </c>
      <c r="J416" s="3" t="str">
        <f ca="1">IFERROR(__xludf.DUMMYFUNCTION("""COMPUTED_VALUE"""),"Pegawai PPPK")</f>
        <v>Pegawai PPPK</v>
      </c>
      <c r="K416" s="5" t="str">
        <f ca="1">IFERROR(__xludf.DUMMYFUNCTION("""COMPUTED_VALUE"""),"L")</f>
        <v>L</v>
      </c>
      <c r="L416" s="3" t="str">
        <f ca="1">IFERROR(__xludf.DUMMYFUNCTION("""COMPUTED_VALUE"""),"Cilacap")</f>
        <v>Cilacap</v>
      </c>
      <c r="M416" s="11">
        <f ca="1">IFERROR(__xludf.DUMMYFUNCTION("""COMPUTED_VALUE"""),34110)</f>
        <v>34110</v>
      </c>
      <c r="N416" s="4"/>
      <c r="O416" s="3" t="str">
        <f ca="1">IFERROR(__xludf.DUMMYFUNCTION("""COMPUTED_VALUE"""),"IX")</f>
        <v>IX</v>
      </c>
      <c r="P416" s="7">
        <f ca="1">IFERROR(__xludf.DUMMYFUNCTION("""COMPUTED_VALUE"""),45139)</f>
        <v>45139</v>
      </c>
      <c r="Q416" s="3" t="str">
        <f ca="1">IFERROR(__xludf.DUMMYFUNCTION("""COMPUTED_VALUE"""),"1000/Un.19/K.AUPK/KP.00.3/07/2023")</f>
        <v>1000/Un.19/K.AUPK/KP.00.3/07/2023</v>
      </c>
      <c r="R416" s="3" t="str">
        <f ca="1">IFERROR(__xludf.DUMMYFUNCTION("""COMPUTED_VALUE"""),"Perencana")</f>
        <v>Perencana</v>
      </c>
      <c r="S416" s="3" t="str">
        <f ca="1">IFERROR(__xludf.DUMMYFUNCTION("""COMPUTED_VALUE"""),"Ahli Pertama")</f>
        <v>Ahli Pertama</v>
      </c>
      <c r="T416" s="7">
        <f ca="1">IFERROR(__xludf.DUMMYFUNCTION("""COMPUTED_VALUE"""),45139)</f>
        <v>45139</v>
      </c>
      <c r="U416" s="3"/>
      <c r="V416" s="7">
        <f ca="1">IFERROR(__xludf.DUMMYFUNCTION("""COMPUTED_VALUE"""),45138)</f>
        <v>45138</v>
      </c>
      <c r="W416" s="3">
        <f ca="1">IFERROR(__xludf.DUMMYFUNCTION("""COMPUTED_VALUE"""),8)</f>
        <v>8</v>
      </c>
      <c r="X416" s="3"/>
      <c r="Y416" s="3" t="str">
        <f ca="1">IFERROR(__xludf.DUMMYFUNCTION("""COMPUTED_VALUE"""),"S-1")</f>
        <v>S-1</v>
      </c>
      <c r="Z416" s="3" t="str">
        <f ca="1">IFERROR(__xludf.DUMMYFUNCTION("""COMPUTED_VALUE"""),"2 Tahun 4 Bulan 27 Hari")</f>
        <v>2 Tahun 4 Bulan 27 Hari</v>
      </c>
      <c r="AA416" s="8">
        <f ca="1">IFERROR(__xludf.DUMMYFUNCTION("""COMPUTED_VALUE"""),55305)</f>
        <v>55305</v>
      </c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4"/>
      <c r="AR416" s="3"/>
      <c r="AS416" s="4"/>
      <c r="AT416" s="3"/>
      <c r="AU416" s="3"/>
    </row>
    <row r="417" spans="1:47" x14ac:dyDescent="0.2">
      <c r="A417" s="12">
        <v>416</v>
      </c>
      <c r="B417" s="3" t="str">
        <f ca="1">IFERROR(__xludf.DUMMYFUNCTION("""COMPUTED_VALUE"""),"Slamet Waluyo")</f>
        <v>Slamet Waluyo</v>
      </c>
      <c r="C417" s="3" t="str">
        <f ca="1">IFERROR(__xludf.DUMMYFUNCTION("""COMPUTED_VALUE"""),"Slamet Waluyo, S.Pd.I.")</f>
        <v>Slamet Waluyo, S.Pd.I.</v>
      </c>
      <c r="D417" s="3" t="str">
        <f ca="1">IFERROR(__xludf.DUMMYFUNCTION("""COMPUTED_VALUE"""),"Slamet Waluyo, S.Pd.I.")</f>
        <v>Slamet Waluyo, S.Pd.I.</v>
      </c>
      <c r="E417" s="3" t="str">
        <f ca="1">IFERROR(__xludf.DUMMYFUNCTION("""COMPUTED_VALUE"""),"198111122025211007")</f>
        <v>198111122025211007</v>
      </c>
      <c r="F417" s="3" t="str">
        <f ca="1">IFERROR(__xludf.DUMMYFUNCTION("""COMPUTED_VALUE"""),"19811112 202521 1 007")</f>
        <v>19811112 202521 1 007</v>
      </c>
      <c r="G417" s="3"/>
      <c r="H417" s="3"/>
      <c r="I417" s="3" t="str">
        <f ca="1">IFERROR(__xludf.DUMMYFUNCTION("""COMPUTED_VALUE"""),"PPPK")</f>
        <v>PPPK</v>
      </c>
      <c r="J417" s="3" t="str">
        <f ca="1">IFERROR(__xludf.DUMMYFUNCTION("""COMPUTED_VALUE"""),"Pegawai PPPK")</f>
        <v>Pegawai PPPK</v>
      </c>
      <c r="K417" s="5" t="str">
        <f ca="1">IFERROR(__xludf.DUMMYFUNCTION("""COMPUTED_VALUE"""),"L")</f>
        <v>L</v>
      </c>
      <c r="L417" s="3" t="str">
        <f ca="1">IFERROR(__xludf.DUMMYFUNCTION("""COMPUTED_VALUE"""),"Banyumas")</f>
        <v>Banyumas</v>
      </c>
      <c r="M417" s="11">
        <f ca="1">IFERROR(__xludf.DUMMYFUNCTION("""COMPUTED_VALUE"""),29902)</f>
        <v>29902</v>
      </c>
      <c r="N417" s="4"/>
      <c r="O417" s="3" t="str">
        <f ca="1">IFERROR(__xludf.DUMMYFUNCTION("""COMPUTED_VALUE"""),"IX")</f>
        <v>IX</v>
      </c>
      <c r="P417" s="7">
        <f ca="1">IFERROR(__xludf.DUMMYFUNCTION("""COMPUTED_VALUE"""),45717)</f>
        <v>45717</v>
      </c>
      <c r="Q417" s="3" t="str">
        <f ca="1">IFERROR(__xludf.DUMMYFUNCTION("""COMPUTED_VALUE"""),"287.19/Un.19/K.AUPK/KP.01.3/02/2025")</f>
        <v>287.19/Un.19/K.AUPK/KP.01.3/02/2025</v>
      </c>
      <c r="R417" s="3" t="str">
        <f ca="1">IFERROR(__xludf.DUMMYFUNCTION("""COMPUTED_VALUE"""),"‌Penata Layanan Operasional")</f>
        <v>‌Penata Layanan Operasional</v>
      </c>
      <c r="S417" s="3" t="str">
        <f ca="1">IFERROR(__xludf.DUMMYFUNCTION("""COMPUTED_VALUE"""),"Pelaksana")</f>
        <v>Pelaksana</v>
      </c>
      <c r="T417" s="7">
        <f ca="1">IFERROR(__xludf.DUMMYFUNCTION("""COMPUTED_VALUE"""),45717)</f>
        <v>45717</v>
      </c>
      <c r="U417" s="3"/>
      <c r="V417" s="7">
        <f ca="1">IFERROR(__xludf.DUMMYFUNCTION("""COMPUTED_VALUE"""),45716)</f>
        <v>45716</v>
      </c>
      <c r="W417" s="3">
        <f ca="1">IFERROR(__xludf.DUMMYFUNCTION("""COMPUTED_VALUE"""),7)</f>
        <v>7</v>
      </c>
      <c r="X417" s="3"/>
      <c r="Y417" s="3" t="str">
        <f ca="1">IFERROR(__xludf.DUMMYFUNCTION("""COMPUTED_VALUE"""),"S-1")</f>
        <v>S-1</v>
      </c>
      <c r="Z417" s="3" t="str">
        <f ca="1">IFERROR(__xludf.DUMMYFUNCTION("""COMPUTED_VALUE"""),"0 Tahun 8 Bulan 1 Hari")</f>
        <v>0 Tahun 8 Bulan 1 Hari</v>
      </c>
      <c r="AA417" s="8">
        <f ca="1">IFERROR(__xludf.DUMMYFUNCTION("""COMPUTED_VALUE"""),51105)</f>
        <v>51105</v>
      </c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4"/>
      <c r="AR417" s="3"/>
      <c r="AS417" s="4"/>
      <c r="AT417" s="3"/>
      <c r="AU417" s="3"/>
    </row>
    <row r="418" spans="1:47" x14ac:dyDescent="0.2">
      <c r="A418" s="12">
        <v>417</v>
      </c>
      <c r="B418" s="3" t="str">
        <f ca="1">IFERROR(__xludf.DUMMYFUNCTION("""COMPUTED_VALUE"""),"Tohir Zuhdi")</f>
        <v>Tohir Zuhdi</v>
      </c>
      <c r="C418" s="3" t="str">
        <f ca="1">IFERROR(__xludf.DUMMYFUNCTION("""COMPUTED_VALUE"""),"Tohir Zuhdi, S.Kom.")</f>
        <v>Tohir Zuhdi, S.Kom.</v>
      </c>
      <c r="D418" s="3" t="str">
        <f ca="1">IFERROR(__xludf.DUMMYFUNCTION("""COMPUTED_VALUE"""),"Tohir Zuhdi, S.Kom.")</f>
        <v>Tohir Zuhdi, S.Kom.</v>
      </c>
      <c r="E418" s="3" t="str">
        <f ca="1">IFERROR(__xludf.DUMMYFUNCTION("""COMPUTED_VALUE"""),"198612272025211009")</f>
        <v>198612272025211009</v>
      </c>
      <c r="F418" s="3" t="str">
        <f ca="1">IFERROR(__xludf.DUMMYFUNCTION("""COMPUTED_VALUE"""),"19861227 202521 1 009")</f>
        <v>19861227 202521 1 009</v>
      </c>
      <c r="G418" s="3"/>
      <c r="H418" s="3"/>
      <c r="I418" s="3" t="str">
        <f ca="1">IFERROR(__xludf.DUMMYFUNCTION("""COMPUTED_VALUE"""),"PPPK")</f>
        <v>PPPK</v>
      </c>
      <c r="J418" s="3" t="str">
        <f ca="1">IFERROR(__xludf.DUMMYFUNCTION("""COMPUTED_VALUE"""),"Pegawai PPPK")</f>
        <v>Pegawai PPPK</v>
      </c>
      <c r="K418" s="5" t="str">
        <f ca="1">IFERROR(__xludf.DUMMYFUNCTION("""COMPUTED_VALUE"""),"L")</f>
        <v>L</v>
      </c>
      <c r="L418" s="3" t="str">
        <f ca="1">IFERROR(__xludf.DUMMYFUNCTION("""COMPUTED_VALUE"""),"Banyumas")</f>
        <v>Banyumas</v>
      </c>
      <c r="M418" s="11">
        <f ca="1">IFERROR(__xludf.DUMMYFUNCTION("""COMPUTED_VALUE"""),31773)</f>
        <v>31773</v>
      </c>
      <c r="N418" s="4"/>
      <c r="O418" s="3" t="str">
        <f ca="1">IFERROR(__xludf.DUMMYFUNCTION("""COMPUTED_VALUE"""),"IX")</f>
        <v>IX</v>
      </c>
      <c r="P418" s="7">
        <f ca="1">IFERROR(__xludf.DUMMYFUNCTION("""COMPUTED_VALUE"""),45717)</f>
        <v>45717</v>
      </c>
      <c r="Q418" s="3" t="str">
        <f ca="1">IFERROR(__xludf.DUMMYFUNCTION("""COMPUTED_VALUE"""),"287.31/Un.19/K.AUPK/KP.01.3/02/2025")</f>
        <v>287.31/Un.19/K.AUPK/KP.01.3/02/2025</v>
      </c>
      <c r="R418" s="3" t="str">
        <f ca="1">IFERROR(__xludf.DUMMYFUNCTION("""COMPUTED_VALUE"""),"Pranata Komputer")</f>
        <v>Pranata Komputer</v>
      </c>
      <c r="S418" s="3" t="str">
        <f ca="1">IFERROR(__xludf.DUMMYFUNCTION("""COMPUTED_VALUE"""),"Ahli Pertama")</f>
        <v>Ahli Pertama</v>
      </c>
      <c r="T418" s="7">
        <f ca="1">IFERROR(__xludf.DUMMYFUNCTION("""COMPUTED_VALUE"""),45717)</f>
        <v>45717</v>
      </c>
      <c r="U418" s="3"/>
      <c r="V418" s="7">
        <f ca="1">IFERROR(__xludf.DUMMYFUNCTION("""COMPUTED_VALUE"""),45716)</f>
        <v>45716</v>
      </c>
      <c r="W418" s="3">
        <f ca="1">IFERROR(__xludf.DUMMYFUNCTION("""COMPUTED_VALUE"""),8)</f>
        <v>8</v>
      </c>
      <c r="X418" s="3"/>
      <c r="Y418" s="3" t="str">
        <f ca="1">IFERROR(__xludf.DUMMYFUNCTION("""COMPUTED_VALUE"""),"S-1")</f>
        <v>S-1</v>
      </c>
      <c r="Z418" s="3" t="str">
        <f ca="1">IFERROR(__xludf.DUMMYFUNCTION("""COMPUTED_VALUE"""),"0 Tahun 8 Bulan 1 Hari")</f>
        <v>0 Tahun 8 Bulan 1 Hari</v>
      </c>
      <c r="AA418" s="8">
        <f ca="1">IFERROR(__xludf.DUMMYFUNCTION("""COMPUTED_VALUE"""),52963)</f>
        <v>52963</v>
      </c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4"/>
      <c r="AR418" s="3"/>
      <c r="AS418" s="4"/>
      <c r="AT418" s="3"/>
      <c r="AU418" s="3"/>
    </row>
    <row r="419" spans="1:47" x14ac:dyDescent="0.2">
      <c r="A419" s="12">
        <v>418</v>
      </c>
      <c r="B419" s="3" t="str">
        <f ca="1">IFERROR(__xludf.DUMMYFUNCTION("""COMPUTED_VALUE"""),"Uswatun Chasanah")</f>
        <v>Uswatun Chasanah</v>
      </c>
      <c r="C419" s="3" t="str">
        <f ca="1">IFERROR(__xludf.DUMMYFUNCTION("""COMPUTED_VALUE"""),"Uswatun Chasanah, S.E.Sy.")</f>
        <v>Uswatun Chasanah, S.E.Sy.</v>
      </c>
      <c r="D419" s="3" t="str">
        <f ca="1">IFERROR(__xludf.DUMMYFUNCTION("""COMPUTED_VALUE"""),"Uswatun Chasanah, S.E.Sy., M.E.")</f>
        <v>Uswatun Chasanah, S.E.Sy., M.E.</v>
      </c>
      <c r="E419" s="3" t="str">
        <f ca="1">IFERROR(__xludf.DUMMYFUNCTION("""COMPUTED_VALUE"""),"198911112025212006")</f>
        <v>198911112025212006</v>
      </c>
      <c r="F419" s="3" t="str">
        <f ca="1">IFERROR(__xludf.DUMMYFUNCTION("""COMPUTED_VALUE"""),"19891111 202521 2 006")</f>
        <v>19891111 202521 2 006</v>
      </c>
      <c r="G419" s="3"/>
      <c r="H419" s="3"/>
      <c r="I419" s="3" t="str">
        <f ca="1">IFERROR(__xludf.DUMMYFUNCTION("""COMPUTED_VALUE"""),"PPPK")</f>
        <v>PPPK</v>
      </c>
      <c r="J419" s="3" t="str">
        <f ca="1">IFERROR(__xludf.DUMMYFUNCTION("""COMPUTED_VALUE"""),"Pegawai PPPK")</f>
        <v>Pegawai PPPK</v>
      </c>
      <c r="K419" s="5" t="str">
        <f ca="1">IFERROR(__xludf.DUMMYFUNCTION("""COMPUTED_VALUE"""),"P")</f>
        <v>P</v>
      </c>
      <c r="L419" s="3" t="str">
        <f ca="1">IFERROR(__xludf.DUMMYFUNCTION("""COMPUTED_VALUE"""),"Banyumas")</f>
        <v>Banyumas</v>
      </c>
      <c r="M419" s="11">
        <f ca="1">IFERROR(__xludf.DUMMYFUNCTION("""COMPUTED_VALUE"""),32823)</f>
        <v>32823</v>
      </c>
      <c r="N419" s="4"/>
      <c r="O419" s="3" t="str">
        <f ca="1">IFERROR(__xludf.DUMMYFUNCTION("""COMPUTED_VALUE"""),"IX")</f>
        <v>IX</v>
      </c>
      <c r="P419" s="7">
        <f ca="1">IFERROR(__xludf.DUMMYFUNCTION("""COMPUTED_VALUE"""),45717)</f>
        <v>45717</v>
      </c>
      <c r="Q419" s="3" t="str">
        <f ca="1">IFERROR(__xludf.DUMMYFUNCTION("""COMPUTED_VALUE"""),"287.13/Un.19/K.AUPK/KP.01.3/02/2025")</f>
        <v>287.13/Un.19/K.AUPK/KP.01.3/02/2025</v>
      </c>
      <c r="R419" s="3" t="str">
        <f ca="1">IFERROR(__xludf.DUMMYFUNCTION("""COMPUTED_VALUE"""),"Arsiparis")</f>
        <v>Arsiparis</v>
      </c>
      <c r="S419" s="3" t="str">
        <f ca="1">IFERROR(__xludf.DUMMYFUNCTION("""COMPUTED_VALUE"""),"Ahli Pertama")</f>
        <v>Ahli Pertama</v>
      </c>
      <c r="T419" s="7">
        <f ca="1">IFERROR(__xludf.DUMMYFUNCTION("""COMPUTED_VALUE"""),45717)</f>
        <v>45717</v>
      </c>
      <c r="U419" s="3"/>
      <c r="V419" s="7">
        <f ca="1">IFERROR(__xludf.DUMMYFUNCTION("""COMPUTED_VALUE"""),45716)</f>
        <v>45716</v>
      </c>
      <c r="W419" s="3">
        <f ca="1">IFERROR(__xludf.DUMMYFUNCTION("""COMPUTED_VALUE"""),8)</f>
        <v>8</v>
      </c>
      <c r="X419" s="3"/>
      <c r="Y419" s="3" t="str">
        <f ca="1">IFERROR(__xludf.DUMMYFUNCTION("""COMPUTED_VALUE"""),"S-2")</f>
        <v>S-2</v>
      </c>
      <c r="Z419" s="3" t="str">
        <f ca="1">IFERROR(__xludf.DUMMYFUNCTION("""COMPUTED_VALUE"""),"0 Tahun 8 Bulan 1 Hari")</f>
        <v>0 Tahun 8 Bulan 1 Hari</v>
      </c>
      <c r="AA419" s="8">
        <f ca="1">IFERROR(__xludf.DUMMYFUNCTION("""COMPUTED_VALUE"""),54027)</f>
        <v>54027</v>
      </c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4"/>
      <c r="AR419" s="3"/>
      <c r="AS419" s="4"/>
      <c r="AT419" s="3"/>
      <c r="AU419" s="3"/>
    </row>
    <row r="420" spans="1:47" x14ac:dyDescent="0.2">
      <c r="A420" s="12">
        <v>419</v>
      </c>
      <c r="B420" s="3" t="str">
        <f ca="1">IFERROR(__xludf.DUMMYFUNCTION("""COMPUTED_VALUE"""),"Vanndam Harjanu")</f>
        <v>Vanndam Harjanu</v>
      </c>
      <c r="C420" s="3" t="str">
        <f ca="1">IFERROR(__xludf.DUMMYFUNCTION("""COMPUTED_VALUE"""),"Vanndam Harjanu, S.Kom.")</f>
        <v>Vanndam Harjanu, S.Kom.</v>
      </c>
      <c r="D420" s="3" t="str">
        <f ca="1">IFERROR(__xludf.DUMMYFUNCTION("""COMPUTED_VALUE"""),"Vanndam Harjanu, S.Kom.")</f>
        <v>Vanndam Harjanu, S.Kom.</v>
      </c>
      <c r="E420" s="3" t="str">
        <f ca="1">IFERROR(__xludf.DUMMYFUNCTION("""COMPUTED_VALUE"""),"199501192024211024")</f>
        <v>199501192024211024</v>
      </c>
      <c r="F420" s="3" t="str">
        <f ca="1">IFERROR(__xludf.DUMMYFUNCTION("""COMPUTED_VALUE"""),"19950119 202421 1 024")</f>
        <v>19950119 202421 1 024</v>
      </c>
      <c r="G420" s="3"/>
      <c r="H420" s="3"/>
      <c r="I420" s="3" t="str">
        <f ca="1">IFERROR(__xludf.DUMMYFUNCTION("""COMPUTED_VALUE"""),"PPPK")</f>
        <v>PPPK</v>
      </c>
      <c r="J420" s="3" t="str">
        <f ca="1">IFERROR(__xludf.DUMMYFUNCTION("""COMPUTED_VALUE"""),"Pegawai PPPK")</f>
        <v>Pegawai PPPK</v>
      </c>
      <c r="K420" s="5" t="str">
        <f ca="1">IFERROR(__xludf.DUMMYFUNCTION("""COMPUTED_VALUE"""),"L")</f>
        <v>L</v>
      </c>
      <c r="L420" s="3" t="str">
        <f ca="1">IFERROR(__xludf.DUMMYFUNCTION("""COMPUTED_VALUE"""),"Banyumas")</f>
        <v>Banyumas</v>
      </c>
      <c r="M420" s="11">
        <f ca="1">IFERROR(__xludf.DUMMYFUNCTION("""COMPUTED_VALUE"""),34718)</f>
        <v>34718</v>
      </c>
      <c r="N420" s="4"/>
      <c r="O420" s="3" t="str">
        <f ca="1">IFERROR(__xludf.DUMMYFUNCTION("""COMPUTED_VALUE"""),"IX")</f>
        <v>IX</v>
      </c>
      <c r="P420" s="7">
        <f ca="1">IFERROR(__xludf.DUMMYFUNCTION("""COMPUTED_VALUE"""),45352)</f>
        <v>45352</v>
      </c>
      <c r="Q420" s="3" t="str">
        <f ca="1">IFERROR(__xludf.DUMMYFUNCTION("""COMPUTED_VALUE"""),"495.8/Un.19/K.AUPK/KP.00.3/02/2024")</f>
        <v>495.8/Un.19/K.AUPK/KP.00.3/02/2024</v>
      </c>
      <c r="R420" s="3" t="str">
        <f ca="1">IFERROR(__xludf.DUMMYFUNCTION("""COMPUTED_VALUE"""),"Analis Sumber Daya Manusia Aparatur")</f>
        <v>Analis Sumber Daya Manusia Aparatur</v>
      </c>
      <c r="S420" s="3" t="str">
        <f ca="1">IFERROR(__xludf.DUMMYFUNCTION("""COMPUTED_VALUE"""),"Ahli Pertama")</f>
        <v>Ahli Pertama</v>
      </c>
      <c r="T420" s="7">
        <f ca="1">IFERROR(__xludf.DUMMYFUNCTION("""COMPUTED_VALUE"""),45352)</f>
        <v>45352</v>
      </c>
      <c r="U420" s="3"/>
      <c r="V420" s="7">
        <f ca="1">IFERROR(__xludf.DUMMYFUNCTION("""COMPUTED_VALUE"""),45351)</f>
        <v>45351</v>
      </c>
      <c r="W420" s="3">
        <f ca="1">IFERROR(__xludf.DUMMYFUNCTION("""COMPUTED_VALUE"""),8)</f>
        <v>8</v>
      </c>
      <c r="X420" s="3"/>
      <c r="Y420" s="3" t="str">
        <f ca="1">IFERROR(__xludf.DUMMYFUNCTION("""COMPUTED_VALUE"""),"S-1")</f>
        <v>S-1</v>
      </c>
      <c r="Z420" s="3" t="str">
        <f ca="1">IFERROR(__xludf.DUMMYFUNCTION("""COMPUTED_VALUE"""),"1 Tahun 8 Bulan 27 Hari")</f>
        <v>1 Tahun 8 Bulan 27 Hari</v>
      </c>
      <c r="AA420" s="8">
        <f ca="1">IFERROR(__xludf.DUMMYFUNCTION("""COMPUTED_VALUE"""),55916)</f>
        <v>55916</v>
      </c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4"/>
      <c r="AR420" s="3"/>
      <c r="AS420" s="4"/>
      <c r="AT420" s="3"/>
      <c r="AU420" s="3"/>
    </row>
    <row r="421" spans="1:47" x14ac:dyDescent="0.2">
      <c r="A421" s="12">
        <v>420</v>
      </c>
      <c r="B421" s="3" t="str">
        <f ca="1">IFERROR(__xludf.DUMMYFUNCTION("""COMPUTED_VALUE"""),"Zakki Naufal")</f>
        <v>Zakki Naufal</v>
      </c>
      <c r="C421" s="3" t="str">
        <f ca="1">IFERROR(__xludf.DUMMYFUNCTION("""COMPUTED_VALUE"""),"Zakki Naufal, S.Kom.")</f>
        <v>Zakki Naufal, S.Kom.</v>
      </c>
      <c r="D421" s="3" t="str">
        <f ca="1">IFERROR(__xludf.DUMMYFUNCTION("""COMPUTED_VALUE"""),"Zakki Naufal, S.Kom.")</f>
        <v>Zakki Naufal, S.Kom.</v>
      </c>
      <c r="E421" s="3" t="str">
        <f ca="1">IFERROR(__xludf.DUMMYFUNCTION("""COMPUTED_VALUE"""),"199005052025211032")</f>
        <v>199005052025211032</v>
      </c>
      <c r="F421" s="3" t="str">
        <f ca="1">IFERROR(__xludf.DUMMYFUNCTION("""COMPUTED_VALUE"""),"19900505 202521 1 032")</f>
        <v>19900505 202521 1 032</v>
      </c>
      <c r="G421" s="3"/>
      <c r="H421" s="3"/>
      <c r="I421" s="3" t="str">
        <f ca="1">IFERROR(__xludf.DUMMYFUNCTION("""COMPUTED_VALUE"""),"PPPK")</f>
        <v>PPPK</v>
      </c>
      <c r="J421" s="3" t="str">
        <f ca="1">IFERROR(__xludf.DUMMYFUNCTION("""COMPUTED_VALUE"""),"Pegawai PPPK")</f>
        <v>Pegawai PPPK</v>
      </c>
      <c r="K421" s="5" t="str">
        <f ca="1">IFERROR(__xludf.DUMMYFUNCTION("""COMPUTED_VALUE"""),"L")</f>
        <v>L</v>
      </c>
      <c r="L421" s="3" t="str">
        <f ca="1">IFERROR(__xludf.DUMMYFUNCTION("""COMPUTED_VALUE"""),"Purwokerto")</f>
        <v>Purwokerto</v>
      </c>
      <c r="M421" s="11">
        <f ca="1">IFERROR(__xludf.DUMMYFUNCTION("""COMPUTED_VALUE"""),32998)</f>
        <v>32998</v>
      </c>
      <c r="N421" s="4"/>
      <c r="O421" s="3" t="str">
        <f ca="1">IFERROR(__xludf.DUMMYFUNCTION("""COMPUTED_VALUE"""),"IX")</f>
        <v>IX</v>
      </c>
      <c r="P421" s="7">
        <f ca="1">IFERROR(__xludf.DUMMYFUNCTION("""COMPUTED_VALUE"""),45717)</f>
        <v>45717</v>
      </c>
      <c r="Q421" s="3" t="str">
        <f ca="1">IFERROR(__xludf.DUMMYFUNCTION("""COMPUTED_VALUE"""),"287.32/Un.19/K.AUPK/KP.01.3/02/2025")</f>
        <v>287.32/Un.19/K.AUPK/KP.01.3/02/2025</v>
      </c>
      <c r="R421" s="3" t="str">
        <f ca="1">IFERROR(__xludf.DUMMYFUNCTION("""COMPUTED_VALUE"""),"Pranata Komputer")</f>
        <v>Pranata Komputer</v>
      </c>
      <c r="S421" s="3" t="str">
        <f ca="1">IFERROR(__xludf.DUMMYFUNCTION("""COMPUTED_VALUE"""),"Ahli Pertama")</f>
        <v>Ahli Pertama</v>
      </c>
      <c r="T421" s="7">
        <f ca="1">IFERROR(__xludf.DUMMYFUNCTION("""COMPUTED_VALUE"""),45717)</f>
        <v>45717</v>
      </c>
      <c r="U421" s="3"/>
      <c r="V421" s="7">
        <f ca="1">IFERROR(__xludf.DUMMYFUNCTION("""COMPUTED_VALUE"""),45716)</f>
        <v>45716</v>
      </c>
      <c r="W421" s="3">
        <f ca="1">IFERROR(__xludf.DUMMYFUNCTION("""COMPUTED_VALUE"""),8)</f>
        <v>8</v>
      </c>
      <c r="X421" s="3"/>
      <c r="Y421" s="3" t="str">
        <f ca="1">IFERROR(__xludf.DUMMYFUNCTION("""COMPUTED_VALUE"""),"S-1")</f>
        <v>S-1</v>
      </c>
      <c r="Z421" s="3" t="str">
        <f ca="1">IFERROR(__xludf.DUMMYFUNCTION("""COMPUTED_VALUE"""),"0 Tahun 8 Bulan 1 Hari")</f>
        <v>0 Tahun 8 Bulan 1 Hari</v>
      </c>
      <c r="AA421" s="8">
        <f ca="1">IFERROR(__xludf.DUMMYFUNCTION("""COMPUTED_VALUE"""),54210)</f>
        <v>54210</v>
      </c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4"/>
      <c r="AR421" s="3"/>
      <c r="AS421" s="4"/>
      <c r="AT421" s="3"/>
      <c r="AU421" s="3"/>
    </row>
    <row r="422" spans="1:47" x14ac:dyDescent="0.2">
      <c r="A422" s="12">
        <v>421</v>
      </c>
      <c r="B422" s="3" t="str">
        <f ca="1">IFERROR(__xludf.DUMMYFUNCTION("""COMPUTED_VALUE"""),"Ach. Nurrochman")</f>
        <v>Ach. Nurrochman</v>
      </c>
      <c r="C422" s="3" t="str">
        <f ca="1">IFERROR(__xludf.DUMMYFUNCTION("""COMPUTED_VALUE"""),"Ach. Nurrochman")</f>
        <v>Ach. Nurrochman</v>
      </c>
      <c r="D422" s="3" t="str">
        <f ca="1">IFERROR(__xludf.DUMMYFUNCTION("""COMPUTED_VALUE"""),"Ach. Nurrochman")</f>
        <v>Ach. Nurrochman</v>
      </c>
      <c r="E422" s="3" t="str">
        <f ca="1">IFERROR(__xludf.DUMMYFUNCTION("""COMPUTED_VALUE"""),"199504192025211044")</f>
        <v>199504192025211044</v>
      </c>
      <c r="F422" s="3" t="str">
        <f ca="1">IFERROR(__xludf.DUMMYFUNCTION("""COMPUTED_VALUE"""),"19950419 202521 1 044")</f>
        <v>19950419 202521 1 044</v>
      </c>
      <c r="G422" s="3"/>
      <c r="H422" s="3"/>
      <c r="I422" s="3" t="str">
        <f ca="1">IFERROR(__xludf.DUMMYFUNCTION("""COMPUTED_VALUE"""),"PPPK")</f>
        <v>PPPK</v>
      </c>
      <c r="J422" s="3" t="str">
        <f ca="1">IFERROR(__xludf.DUMMYFUNCTION("""COMPUTED_VALUE"""),"Pegawai PPPK")</f>
        <v>Pegawai PPPK</v>
      </c>
      <c r="K422" s="5" t="str">
        <f ca="1">IFERROR(__xludf.DUMMYFUNCTION("""COMPUTED_VALUE"""),"L")</f>
        <v>L</v>
      </c>
      <c r="L422" s="3" t="str">
        <f ca="1">IFERROR(__xludf.DUMMYFUNCTION("""COMPUTED_VALUE"""),"Banyumas")</f>
        <v>Banyumas</v>
      </c>
      <c r="M422" s="11">
        <f ca="1">IFERROR(__xludf.DUMMYFUNCTION("""COMPUTED_VALUE"""),34808)</f>
        <v>34808</v>
      </c>
      <c r="N422" s="4"/>
      <c r="O422" s="3" t="str">
        <f ca="1">IFERROR(__xludf.DUMMYFUNCTION("""COMPUTED_VALUE"""),"V")</f>
        <v>V</v>
      </c>
      <c r="P422" s="11">
        <f ca="1">IFERROR(__xludf.DUMMYFUNCTION("""COMPUTED_VALUE"""),45931)</f>
        <v>45931</v>
      </c>
      <c r="Q422" s="3" t="str">
        <f ca="1">IFERROR(__xludf.DUMMYFUNCTION("""COMPUTED_VALUE"""),"SK.P2-002302/B.II/KP.00.3/09/2025")</f>
        <v>SK.P2-002302/B.II/KP.00.3/09/2025</v>
      </c>
      <c r="R422" s="3" t="str">
        <f ca="1">IFERROR(__xludf.DUMMYFUNCTION("""COMPUTED_VALUE"""),"‌Pengadministrasi Perkantoran")</f>
        <v>‌Pengadministrasi Perkantoran</v>
      </c>
      <c r="S422" s="3" t="str">
        <f ca="1">IFERROR(__xludf.DUMMYFUNCTION("""COMPUTED_VALUE"""),"Pelaksana")</f>
        <v>Pelaksana</v>
      </c>
      <c r="T422" s="11">
        <f ca="1">IFERROR(__xludf.DUMMYFUNCTION("""COMPUTED_VALUE"""),45931)</f>
        <v>45931</v>
      </c>
      <c r="U422" s="3"/>
      <c r="V422" s="7">
        <f ca="1">IFERROR(__xludf.DUMMYFUNCTION("""COMPUTED_VALUE"""),45922)</f>
        <v>45922</v>
      </c>
      <c r="W422" s="3">
        <f ca="1">IFERROR(__xludf.DUMMYFUNCTION("""COMPUTED_VALUE"""),5)</f>
        <v>5</v>
      </c>
      <c r="X422" s="3"/>
      <c r="Y422" s="3" t="str">
        <f ca="1">IFERROR(__xludf.DUMMYFUNCTION("""COMPUTED_VALUE"""),"SMK")</f>
        <v>SMK</v>
      </c>
      <c r="Z422" s="3" t="str">
        <f ca="1">IFERROR(__xludf.DUMMYFUNCTION("""COMPUTED_VALUE"""),"0 Tahun 3 Bulan 5 Hari")</f>
        <v>0 Tahun 3 Bulan 5 Hari</v>
      </c>
      <c r="AA422" s="8">
        <f ca="1">IFERROR(__xludf.DUMMYFUNCTION("""COMPUTED_VALUE"""),56005)</f>
        <v>56005</v>
      </c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4"/>
      <c r="AR422" s="3"/>
      <c r="AS422" s="4"/>
      <c r="AT422" s="3"/>
      <c r="AU422" s="3"/>
    </row>
    <row r="423" spans="1:47" x14ac:dyDescent="0.2">
      <c r="A423" s="12">
        <v>422</v>
      </c>
      <c r="B423" s="3" t="str">
        <f ca="1">IFERROR(__xludf.DUMMYFUNCTION("""COMPUTED_VALUE"""),"Agit Yanuar")</f>
        <v>Agit Yanuar</v>
      </c>
      <c r="C423" s="3" t="str">
        <f ca="1">IFERROR(__xludf.DUMMYFUNCTION("""COMPUTED_VALUE"""),"Agit Yanuar")</f>
        <v>Agit Yanuar</v>
      </c>
      <c r="D423" s="3" t="str">
        <f ca="1">IFERROR(__xludf.DUMMYFUNCTION("""COMPUTED_VALUE"""),"Agit Yanuar")</f>
        <v>Agit Yanuar</v>
      </c>
      <c r="E423" s="3" t="str">
        <f ca="1">IFERROR(__xludf.DUMMYFUNCTION("""COMPUTED_VALUE"""),"199412222025211057")</f>
        <v>199412222025211057</v>
      </c>
      <c r="F423" s="3" t="str">
        <f ca="1">IFERROR(__xludf.DUMMYFUNCTION("""COMPUTED_VALUE"""),"19941222 202521 1 057")</f>
        <v>19941222 202521 1 057</v>
      </c>
      <c r="G423" s="3"/>
      <c r="H423" s="3"/>
      <c r="I423" s="3" t="str">
        <f ca="1">IFERROR(__xludf.DUMMYFUNCTION("""COMPUTED_VALUE"""),"PPPK")</f>
        <v>PPPK</v>
      </c>
      <c r="J423" s="3" t="str">
        <f ca="1">IFERROR(__xludf.DUMMYFUNCTION("""COMPUTED_VALUE"""),"Pegawai PPPK")</f>
        <v>Pegawai PPPK</v>
      </c>
      <c r="K423" s="5" t="str">
        <f ca="1">IFERROR(__xludf.DUMMYFUNCTION("""COMPUTED_VALUE"""),"L")</f>
        <v>L</v>
      </c>
      <c r="L423" s="3" t="str">
        <f ca="1">IFERROR(__xludf.DUMMYFUNCTION("""COMPUTED_VALUE"""),"Cilacap")</f>
        <v>Cilacap</v>
      </c>
      <c r="M423" s="11">
        <f ca="1">IFERROR(__xludf.DUMMYFUNCTION("""COMPUTED_VALUE"""),34690)</f>
        <v>34690</v>
      </c>
      <c r="N423" s="4"/>
      <c r="O423" s="3" t="str">
        <f ca="1">IFERROR(__xludf.DUMMYFUNCTION("""COMPUTED_VALUE"""),"V")</f>
        <v>V</v>
      </c>
      <c r="P423" s="11">
        <f ca="1">IFERROR(__xludf.DUMMYFUNCTION("""COMPUTED_VALUE"""),45931)</f>
        <v>45931</v>
      </c>
      <c r="Q423" s="3" t="str">
        <f ca="1">IFERROR(__xludf.DUMMYFUNCTION("""COMPUTED_VALUE"""),"SK.P2-002285/B.II/KP.00.3/09/2025")</f>
        <v>SK.P2-002285/B.II/KP.00.3/09/2025</v>
      </c>
      <c r="R423" s="3" t="str">
        <f ca="1">IFERROR(__xludf.DUMMYFUNCTION("""COMPUTED_VALUE"""),"‌Operator Layanan Operasional")</f>
        <v>‌Operator Layanan Operasional</v>
      </c>
      <c r="S423" s="3" t="str">
        <f ca="1">IFERROR(__xludf.DUMMYFUNCTION("""COMPUTED_VALUE"""),"Pelaksana")</f>
        <v>Pelaksana</v>
      </c>
      <c r="T423" s="11">
        <f ca="1">IFERROR(__xludf.DUMMYFUNCTION("""COMPUTED_VALUE"""),45931)</f>
        <v>45931</v>
      </c>
      <c r="U423" s="3"/>
      <c r="V423" s="7">
        <f ca="1">IFERROR(__xludf.DUMMYFUNCTION("""COMPUTED_VALUE"""),45922)</f>
        <v>45922</v>
      </c>
      <c r="W423" s="3">
        <f ca="1">IFERROR(__xludf.DUMMYFUNCTION("""COMPUTED_VALUE"""),5)</f>
        <v>5</v>
      </c>
      <c r="X423" s="3"/>
      <c r="Y423" s="3" t="str">
        <f ca="1">IFERROR(__xludf.DUMMYFUNCTION("""COMPUTED_VALUE"""),"SMA")</f>
        <v>SMA</v>
      </c>
      <c r="Z423" s="3" t="str">
        <f ca="1">IFERROR(__xludf.DUMMYFUNCTION("""COMPUTED_VALUE"""),"0 Tahun 3 Bulan 5 Hari")</f>
        <v>0 Tahun 3 Bulan 5 Hari</v>
      </c>
      <c r="AA423" s="8">
        <f ca="1">IFERROR(__xludf.DUMMYFUNCTION("""COMPUTED_VALUE"""),55885)</f>
        <v>55885</v>
      </c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4"/>
      <c r="AR423" s="3"/>
      <c r="AS423" s="4"/>
      <c r="AT423" s="3"/>
      <c r="AU423" s="3"/>
    </row>
    <row r="424" spans="1:47" x14ac:dyDescent="0.2">
      <c r="A424" s="12">
        <v>423</v>
      </c>
      <c r="B424" s="3" t="str">
        <f ca="1">IFERROR(__xludf.DUMMYFUNCTION("""COMPUTED_VALUE"""),"Ali Ma'ruf")</f>
        <v>Ali Ma'ruf</v>
      </c>
      <c r="C424" s="3" t="str">
        <f ca="1">IFERROR(__xludf.DUMMYFUNCTION("""COMPUTED_VALUE"""),"Ali Ma'ruf")</f>
        <v>Ali Ma'ruf</v>
      </c>
      <c r="D424" s="3" t="str">
        <f ca="1">IFERROR(__xludf.DUMMYFUNCTION("""COMPUTED_VALUE"""),"Ali Ma'ruf")</f>
        <v>Ali Ma'ruf</v>
      </c>
      <c r="E424" s="3" t="str">
        <f ca="1">IFERROR(__xludf.DUMMYFUNCTION("""COMPUTED_VALUE"""),"197407282025211012")</f>
        <v>197407282025211012</v>
      </c>
      <c r="F424" s="3" t="str">
        <f ca="1">IFERROR(__xludf.DUMMYFUNCTION("""COMPUTED_VALUE"""),"19740728 202521 1 012")</f>
        <v>19740728 202521 1 012</v>
      </c>
      <c r="G424" s="3"/>
      <c r="H424" s="3"/>
      <c r="I424" s="3" t="str">
        <f ca="1">IFERROR(__xludf.DUMMYFUNCTION("""COMPUTED_VALUE"""),"PPPK")</f>
        <v>PPPK</v>
      </c>
      <c r="J424" s="3" t="str">
        <f ca="1">IFERROR(__xludf.DUMMYFUNCTION("""COMPUTED_VALUE"""),"Pegawai PPPK")</f>
        <v>Pegawai PPPK</v>
      </c>
      <c r="K424" s="5" t="str">
        <f ca="1">IFERROR(__xludf.DUMMYFUNCTION("""COMPUTED_VALUE"""),"L")</f>
        <v>L</v>
      </c>
      <c r="L424" s="3" t="str">
        <f ca="1">IFERROR(__xludf.DUMMYFUNCTION("""COMPUTED_VALUE"""),"Banyumas")</f>
        <v>Banyumas</v>
      </c>
      <c r="M424" s="11">
        <f ca="1">IFERROR(__xludf.DUMMYFUNCTION("""COMPUTED_VALUE"""),27238)</f>
        <v>27238</v>
      </c>
      <c r="N424" s="4"/>
      <c r="O424" s="3" t="str">
        <f ca="1">IFERROR(__xludf.DUMMYFUNCTION("""COMPUTED_VALUE"""),"V")</f>
        <v>V</v>
      </c>
      <c r="P424" s="11">
        <f ca="1">IFERROR(__xludf.DUMMYFUNCTION("""COMPUTED_VALUE"""),45931)</f>
        <v>45931</v>
      </c>
      <c r="Q424" s="3" t="str">
        <f ca="1">IFERROR(__xludf.DUMMYFUNCTION("""COMPUTED_VALUE"""),"SK.P2-002303/B.II/KP.00.3/09/2025")</f>
        <v>SK.P2-002303/B.II/KP.00.3/09/2025</v>
      </c>
      <c r="R424" s="3" t="str">
        <f ca="1">IFERROR(__xludf.DUMMYFUNCTION("""COMPUTED_VALUE"""),"‌Pengadministrasi Perkantoran")</f>
        <v>‌Pengadministrasi Perkantoran</v>
      </c>
      <c r="S424" s="3" t="str">
        <f ca="1">IFERROR(__xludf.DUMMYFUNCTION("""COMPUTED_VALUE"""),"Pelaksana")</f>
        <v>Pelaksana</v>
      </c>
      <c r="T424" s="11">
        <f ca="1">IFERROR(__xludf.DUMMYFUNCTION("""COMPUTED_VALUE"""),45931)</f>
        <v>45931</v>
      </c>
      <c r="U424" s="3"/>
      <c r="V424" s="7">
        <f ca="1">IFERROR(__xludf.DUMMYFUNCTION("""COMPUTED_VALUE"""),45922)</f>
        <v>45922</v>
      </c>
      <c r="W424" s="3">
        <f ca="1">IFERROR(__xludf.DUMMYFUNCTION("""COMPUTED_VALUE"""),5)</f>
        <v>5</v>
      </c>
      <c r="X424" s="3"/>
      <c r="Y424" s="3" t="str">
        <f ca="1">IFERROR(__xludf.DUMMYFUNCTION("""COMPUTED_VALUE"""),"SMA")</f>
        <v>SMA</v>
      </c>
      <c r="Z424" s="3" t="str">
        <f ca="1">IFERROR(__xludf.DUMMYFUNCTION("""COMPUTED_VALUE"""),"0 Tahun 3 Bulan 5 Hari")</f>
        <v>0 Tahun 3 Bulan 5 Hari</v>
      </c>
      <c r="AA424" s="8">
        <f ca="1">IFERROR(__xludf.DUMMYFUNCTION("""COMPUTED_VALUE"""),48427)</f>
        <v>48427</v>
      </c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4"/>
      <c r="AR424" s="3"/>
      <c r="AS424" s="4"/>
      <c r="AT424" s="3"/>
      <c r="AU424" s="3"/>
    </row>
    <row r="425" spans="1:47" x14ac:dyDescent="0.2">
      <c r="A425" s="12">
        <v>424</v>
      </c>
      <c r="B425" s="3" t="str">
        <f ca="1">IFERROR(__xludf.DUMMYFUNCTION("""COMPUTED_VALUE"""),"Andi Rachman")</f>
        <v>Andi Rachman</v>
      </c>
      <c r="C425" s="3" t="str">
        <f ca="1">IFERROR(__xludf.DUMMYFUNCTION("""COMPUTED_VALUE"""),"Andi Rachman, A.Md.")</f>
        <v>Andi Rachman, A.Md.</v>
      </c>
      <c r="D425" s="3" t="str">
        <f ca="1">IFERROR(__xludf.DUMMYFUNCTION("""COMPUTED_VALUE"""),"Andi Rachman, A.Md.")</f>
        <v>Andi Rachman, A.Md.</v>
      </c>
      <c r="E425" s="3" t="str">
        <f ca="1">IFERROR(__xludf.DUMMYFUNCTION("""COMPUTED_VALUE"""),"198111212025211034")</f>
        <v>198111212025211034</v>
      </c>
      <c r="F425" s="3" t="str">
        <f ca="1">IFERROR(__xludf.DUMMYFUNCTION("""COMPUTED_VALUE"""),"19811121 202521 1 034")</f>
        <v>19811121 202521 1 034</v>
      </c>
      <c r="G425" s="3"/>
      <c r="H425" s="3"/>
      <c r="I425" s="3" t="str">
        <f ca="1">IFERROR(__xludf.DUMMYFUNCTION("""COMPUTED_VALUE"""),"PPPK")</f>
        <v>PPPK</v>
      </c>
      <c r="J425" s="3" t="str">
        <f ca="1">IFERROR(__xludf.DUMMYFUNCTION("""COMPUTED_VALUE"""),"Pegawai PPPK")</f>
        <v>Pegawai PPPK</v>
      </c>
      <c r="K425" s="5" t="str">
        <f ca="1">IFERROR(__xludf.DUMMYFUNCTION("""COMPUTED_VALUE"""),"L")</f>
        <v>L</v>
      </c>
      <c r="L425" s="3" t="str">
        <f ca="1">IFERROR(__xludf.DUMMYFUNCTION("""COMPUTED_VALUE"""),"Purwokerto")</f>
        <v>Purwokerto</v>
      </c>
      <c r="M425" s="11">
        <f ca="1">IFERROR(__xludf.DUMMYFUNCTION("""COMPUTED_VALUE"""),29911)</f>
        <v>29911</v>
      </c>
      <c r="N425" s="4"/>
      <c r="O425" s="3" t="str">
        <f ca="1">IFERROR(__xludf.DUMMYFUNCTION("""COMPUTED_VALUE"""),"VII")</f>
        <v>VII</v>
      </c>
      <c r="P425" s="11">
        <f ca="1">IFERROR(__xludf.DUMMYFUNCTION("""COMPUTED_VALUE"""),45931)</f>
        <v>45931</v>
      </c>
      <c r="Q425" s="3" t="str">
        <f ca="1">IFERROR(__xludf.DUMMYFUNCTION("""COMPUTED_VALUE"""),"SK.P2-002284/B.II/KP.00.3/09/2025")</f>
        <v>SK.P2-002284/B.II/KP.00.3/09/2025</v>
      </c>
      <c r="R425" s="3" t="str">
        <f ca="1">IFERROR(__xludf.DUMMYFUNCTION("""COMPUTED_VALUE"""),"‌Pengelola Layanan Operasional")</f>
        <v>‌Pengelola Layanan Operasional</v>
      </c>
      <c r="S425" s="3" t="str">
        <f ca="1">IFERROR(__xludf.DUMMYFUNCTION("""COMPUTED_VALUE"""),"Pelaksana")</f>
        <v>Pelaksana</v>
      </c>
      <c r="T425" s="11">
        <f ca="1">IFERROR(__xludf.DUMMYFUNCTION("""COMPUTED_VALUE"""),45931)</f>
        <v>45931</v>
      </c>
      <c r="U425" s="3"/>
      <c r="V425" s="7">
        <f ca="1">IFERROR(__xludf.DUMMYFUNCTION("""COMPUTED_VALUE"""),45922)</f>
        <v>45922</v>
      </c>
      <c r="W425" s="3">
        <f ca="1">IFERROR(__xludf.DUMMYFUNCTION("""COMPUTED_VALUE"""),6)</f>
        <v>6</v>
      </c>
      <c r="X425" s="3"/>
      <c r="Y425" s="3" t="str">
        <f ca="1">IFERROR(__xludf.DUMMYFUNCTION("""COMPUTED_VALUE"""),"D-3")</f>
        <v>D-3</v>
      </c>
      <c r="Z425" s="3" t="str">
        <f ca="1">IFERROR(__xludf.DUMMYFUNCTION("""COMPUTED_VALUE"""),"0 Tahun 3 Bulan 5 Hari")</f>
        <v>0 Tahun 3 Bulan 5 Hari</v>
      </c>
      <c r="AA425" s="8">
        <f ca="1">IFERROR(__xludf.DUMMYFUNCTION("""COMPUTED_VALUE"""),51105)</f>
        <v>51105</v>
      </c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4"/>
      <c r="AR425" s="3"/>
      <c r="AS425" s="4"/>
      <c r="AT425" s="3"/>
      <c r="AU425" s="3"/>
    </row>
    <row r="426" spans="1:47" x14ac:dyDescent="0.2">
      <c r="A426" s="12">
        <v>425</v>
      </c>
      <c r="B426" s="3" t="str">
        <f ca="1">IFERROR(__xludf.DUMMYFUNCTION("""COMPUTED_VALUE"""),"Ardi Setiawan")</f>
        <v>Ardi Setiawan</v>
      </c>
      <c r="C426" s="3" t="str">
        <f ca="1">IFERROR(__xludf.DUMMYFUNCTION("""COMPUTED_VALUE"""),"Ardi Setiawan")</f>
        <v>Ardi Setiawan</v>
      </c>
      <c r="D426" s="3" t="str">
        <f ca="1">IFERROR(__xludf.DUMMYFUNCTION("""COMPUTED_VALUE"""),"Ardi Setiawan")</f>
        <v>Ardi Setiawan</v>
      </c>
      <c r="E426" s="3" t="str">
        <f ca="1">IFERROR(__xludf.DUMMYFUNCTION("""COMPUTED_VALUE"""),"197906142025211034")</f>
        <v>197906142025211034</v>
      </c>
      <c r="F426" s="3" t="str">
        <f ca="1">IFERROR(__xludf.DUMMYFUNCTION("""COMPUTED_VALUE"""),"19790614 202521 1 034")</f>
        <v>19790614 202521 1 034</v>
      </c>
      <c r="G426" s="3"/>
      <c r="H426" s="3"/>
      <c r="I426" s="3" t="str">
        <f ca="1">IFERROR(__xludf.DUMMYFUNCTION("""COMPUTED_VALUE"""),"PPPK")</f>
        <v>PPPK</v>
      </c>
      <c r="J426" s="3" t="str">
        <f ca="1">IFERROR(__xludf.DUMMYFUNCTION("""COMPUTED_VALUE"""),"Pegawai PPPK")</f>
        <v>Pegawai PPPK</v>
      </c>
      <c r="K426" s="5" t="str">
        <f ca="1">IFERROR(__xludf.DUMMYFUNCTION("""COMPUTED_VALUE"""),"L")</f>
        <v>L</v>
      </c>
      <c r="L426" s="3" t="str">
        <f ca="1">IFERROR(__xludf.DUMMYFUNCTION("""COMPUTED_VALUE"""),"Bogor")</f>
        <v>Bogor</v>
      </c>
      <c r="M426" s="11">
        <f ca="1">IFERROR(__xludf.DUMMYFUNCTION("""COMPUTED_VALUE"""),29020)</f>
        <v>29020</v>
      </c>
      <c r="N426" s="4"/>
      <c r="O426" s="3" t="str">
        <f ca="1">IFERROR(__xludf.DUMMYFUNCTION("""COMPUTED_VALUE"""),"V")</f>
        <v>V</v>
      </c>
      <c r="P426" s="11">
        <f ca="1">IFERROR(__xludf.DUMMYFUNCTION("""COMPUTED_VALUE"""),45931)</f>
        <v>45931</v>
      </c>
      <c r="Q426" s="3" t="str">
        <f ca="1">IFERROR(__xludf.DUMMYFUNCTION("""COMPUTED_VALUE"""),"SK.P2-002286/B.II/KP.00.3/09/2025")</f>
        <v>SK.P2-002286/B.II/KP.00.3/09/2025</v>
      </c>
      <c r="R426" s="3" t="str">
        <f ca="1">IFERROR(__xludf.DUMMYFUNCTION("""COMPUTED_VALUE"""),"‌Operator Layanan Operasional")</f>
        <v>‌Operator Layanan Operasional</v>
      </c>
      <c r="S426" s="3" t="str">
        <f ca="1">IFERROR(__xludf.DUMMYFUNCTION("""COMPUTED_VALUE"""),"Pelaksana")</f>
        <v>Pelaksana</v>
      </c>
      <c r="T426" s="11">
        <f ca="1">IFERROR(__xludf.DUMMYFUNCTION("""COMPUTED_VALUE"""),45931)</f>
        <v>45931</v>
      </c>
      <c r="U426" s="3"/>
      <c r="V426" s="7">
        <f ca="1">IFERROR(__xludf.DUMMYFUNCTION("""COMPUTED_VALUE"""),45922)</f>
        <v>45922</v>
      </c>
      <c r="W426" s="3">
        <f ca="1">IFERROR(__xludf.DUMMYFUNCTION("""COMPUTED_VALUE"""),5)</f>
        <v>5</v>
      </c>
      <c r="X426" s="3"/>
      <c r="Y426" s="3" t="str">
        <f ca="1">IFERROR(__xludf.DUMMYFUNCTION("""COMPUTED_VALUE"""),"SMK")</f>
        <v>SMK</v>
      </c>
      <c r="Z426" s="3" t="str">
        <f ca="1">IFERROR(__xludf.DUMMYFUNCTION("""COMPUTED_VALUE"""),"0 Tahun 3 Bulan 5 Hari")</f>
        <v>0 Tahun 3 Bulan 5 Hari</v>
      </c>
      <c r="AA426" s="8">
        <f ca="1">IFERROR(__xludf.DUMMYFUNCTION("""COMPUTED_VALUE"""),50222)</f>
        <v>50222</v>
      </c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4"/>
      <c r="AR426" s="3"/>
      <c r="AS426" s="4"/>
      <c r="AT426" s="3"/>
      <c r="AU426" s="3"/>
    </row>
    <row r="427" spans="1:47" x14ac:dyDescent="0.2">
      <c r="A427" s="12">
        <v>426</v>
      </c>
      <c r="B427" s="3" t="str">
        <f ca="1">IFERROR(__xludf.DUMMYFUNCTION("""COMPUTED_VALUE"""),"Dika Aji Prasetyo")</f>
        <v>Dika Aji Prasetyo</v>
      </c>
      <c r="C427" s="3" t="str">
        <f ca="1">IFERROR(__xludf.DUMMYFUNCTION("""COMPUTED_VALUE"""),"Dika Aji Prasetyo")</f>
        <v>Dika Aji Prasetyo</v>
      </c>
      <c r="D427" s="3" t="str">
        <f ca="1">IFERROR(__xludf.DUMMYFUNCTION("""COMPUTED_VALUE"""),"Dika Aji Prasetyo")</f>
        <v>Dika Aji Prasetyo</v>
      </c>
      <c r="E427" s="3" t="str">
        <f ca="1">IFERROR(__xludf.DUMMYFUNCTION("""COMPUTED_VALUE"""),"199609262025211037")</f>
        <v>199609262025211037</v>
      </c>
      <c r="F427" s="3" t="str">
        <f ca="1">IFERROR(__xludf.DUMMYFUNCTION("""COMPUTED_VALUE"""),"19960926 202521 1 037")</f>
        <v>19960926 202521 1 037</v>
      </c>
      <c r="G427" s="3"/>
      <c r="H427" s="3"/>
      <c r="I427" s="3" t="str">
        <f ca="1">IFERROR(__xludf.DUMMYFUNCTION("""COMPUTED_VALUE"""),"PPPK")</f>
        <v>PPPK</v>
      </c>
      <c r="J427" s="3" t="str">
        <f ca="1">IFERROR(__xludf.DUMMYFUNCTION("""COMPUTED_VALUE"""),"Pegawai PPPK")</f>
        <v>Pegawai PPPK</v>
      </c>
      <c r="K427" s="5" t="str">
        <f ca="1">IFERROR(__xludf.DUMMYFUNCTION("""COMPUTED_VALUE"""),"L")</f>
        <v>L</v>
      </c>
      <c r="L427" s="3" t="str">
        <f ca="1">IFERROR(__xludf.DUMMYFUNCTION("""COMPUTED_VALUE"""),"Banyumas")</f>
        <v>Banyumas</v>
      </c>
      <c r="M427" s="11">
        <f ca="1">IFERROR(__xludf.DUMMYFUNCTION("""COMPUTED_VALUE"""),35334)</f>
        <v>35334</v>
      </c>
      <c r="N427" s="4"/>
      <c r="O427" s="3" t="str">
        <f ca="1">IFERROR(__xludf.DUMMYFUNCTION("""COMPUTED_VALUE"""),"V")</f>
        <v>V</v>
      </c>
      <c r="P427" s="11">
        <f ca="1">IFERROR(__xludf.DUMMYFUNCTION("""COMPUTED_VALUE"""),45931)</f>
        <v>45931</v>
      </c>
      <c r="Q427" s="3" t="str">
        <f ca="1">IFERROR(__xludf.DUMMYFUNCTION("""COMPUTED_VALUE"""),"SK.P2-002287/B.II/KP.00.3/09/2025")</f>
        <v>SK.P2-002287/B.II/KP.00.3/09/2025</v>
      </c>
      <c r="R427" s="3" t="str">
        <f ca="1">IFERROR(__xludf.DUMMYFUNCTION("""COMPUTED_VALUE"""),"‌Operator Layanan Operasional")</f>
        <v>‌Operator Layanan Operasional</v>
      </c>
      <c r="S427" s="3" t="str">
        <f ca="1">IFERROR(__xludf.DUMMYFUNCTION("""COMPUTED_VALUE"""),"Pelaksana")</f>
        <v>Pelaksana</v>
      </c>
      <c r="T427" s="11">
        <f ca="1">IFERROR(__xludf.DUMMYFUNCTION("""COMPUTED_VALUE"""),45931)</f>
        <v>45931</v>
      </c>
      <c r="U427" s="3"/>
      <c r="V427" s="7">
        <f ca="1">IFERROR(__xludf.DUMMYFUNCTION("""COMPUTED_VALUE"""),45922)</f>
        <v>45922</v>
      </c>
      <c r="W427" s="3">
        <f ca="1">IFERROR(__xludf.DUMMYFUNCTION("""COMPUTED_VALUE"""),5)</f>
        <v>5</v>
      </c>
      <c r="X427" s="3"/>
      <c r="Y427" s="3" t="str">
        <f ca="1">IFERROR(__xludf.DUMMYFUNCTION("""COMPUTED_VALUE"""),"SMK")</f>
        <v>SMK</v>
      </c>
      <c r="Z427" s="3" t="str">
        <f ca="1">IFERROR(__xludf.DUMMYFUNCTION("""COMPUTED_VALUE"""),"0 Tahun 3 Bulan 5 Hari")</f>
        <v>0 Tahun 3 Bulan 5 Hari</v>
      </c>
      <c r="AA427" s="8">
        <f ca="1">IFERROR(__xludf.DUMMYFUNCTION("""COMPUTED_VALUE"""),56523)</f>
        <v>56523</v>
      </c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4"/>
      <c r="AR427" s="3"/>
      <c r="AS427" s="4"/>
      <c r="AT427" s="3"/>
      <c r="AU427" s="3"/>
    </row>
    <row r="428" spans="1:47" x14ac:dyDescent="0.2">
      <c r="A428" s="12">
        <v>427</v>
      </c>
      <c r="B428" s="3" t="str">
        <f ca="1">IFERROR(__xludf.DUMMYFUNCTION("""COMPUTED_VALUE"""),"Febri Purmono")</f>
        <v>Febri Purmono</v>
      </c>
      <c r="C428" s="3" t="str">
        <f ca="1">IFERROR(__xludf.DUMMYFUNCTION("""COMPUTED_VALUE"""),"Febri Purmono")</f>
        <v>Febri Purmono</v>
      </c>
      <c r="D428" s="3" t="str">
        <f ca="1">IFERROR(__xludf.DUMMYFUNCTION("""COMPUTED_VALUE"""),"Febri Purmono")</f>
        <v>Febri Purmono</v>
      </c>
      <c r="E428" s="3" t="str">
        <f ca="1">IFERROR(__xludf.DUMMYFUNCTION("""COMPUTED_VALUE"""),"199411112025211047")</f>
        <v>199411112025211047</v>
      </c>
      <c r="F428" s="3" t="str">
        <f ca="1">IFERROR(__xludf.DUMMYFUNCTION("""COMPUTED_VALUE"""),"19941111 202521 1 047")</f>
        <v>19941111 202521 1 047</v>
      </c>
      <c r="G428" s="3"/>
      <c r="H428" s="3"/>
      <c r="I428" s="3" t="str">
        <f ca="1">IFERROR(__xludf.DUMMYFUNCTION("""COMPUTED_VALUE"""),"PPPK")</f>
        <v>PPPK</v>
      </c>
      <c r="J428" s="3" t="str">
        <f ca="1">IFERROR(__xludf.DUMMYFUNCTION("""COMPUTED_VALUE"""),"Pegawai PPPK")</f>
        <v>Pegawai PPPK</v>
      </c>
      <c r="K428" s="5" t="str">
        <f ca="1">IFERROR(__xludf.DUMMYFUNCTION("""COMPUTED_VALUE"""),"L")</f>
        <v>L</v>
      </c>
      <c r="L428" s="3" t="str">
        <f ca="1">IFERROR(__xludf.DUMMYFUNCTION("""COMPUTED_VALUE"""),"Temanggung")</f>
        <v>Temanggung</v>
      </c>
      <c r="M428" s="11">
        <f ca="1">IFERROR(__xludf.DUMMYFUNCTION("""COMPUTED_VALUE"""),34649)</f>
        <v>34649</v>
      </c>
      <c r="N428" s="4"/>
      <c r="O428" s="3" t="str">
        <f ca="1">IFERROR(__xludf.DUMMYFUNCTION("""COMPUTED_VALUE"""),"V")</f>
        <v>V</v>
      </c>
      <c r="P428" s="11">
        <f ca="1">IFERROR(__xludf.DUMMYFUNCTION("""COMPUTED_VALUE"""),45931)</f>
        <v>45931</v>
      </c>
      <c r="Q428" s="3" t="str">
        <f ca="1">IFERROR(__xludf.DUMMYFUNCTION("""COMPUTED_VALUE"""),"SK.P2-002288/B.II/KP.00.3/09/2025")</f>
        <v>SK.P2-002288/B.II/KP.00.3/09/2025</v>
      </c>
      <c r="R428" s="3" t="str">
        <f ca="1">IFERROR(__xludf.DUMMYFUNCTION("""COMPUTED_VALUE"""),"‌Operator Layanan Operasional")</f>
        <v>‌Operator Layanan Operasional</v>
      </c>
      <c r="S428" s="3" t="str">
        <f ca="1">IFERROR(__xludf.DUMMYFUNCTION("""COMPUTED_VALUE"""),"Pelaksana")</f>
        <v>Pelaksana</v>
      </c>
      <c r="T428" s="11">
        <f ca="1">IFERROR(__xludf.DUMMYFUNCTION("""COMPUTED_VALUE"""),45931)</f>
        <v>45931</v>
      </c>
      <c r="U428" s="3"/>
      <c r="V428" s="7">
        <f ca="1">IFERROR(__xludf.DUMMYFUNCTION("""COMPUTED_VALUE"""),45922)</f>
        <v>45922</v>
      </c>
      <c r="W428" s="3">
        <f ca="1">IFERROR(__xludf.DUMMYFUNCTION("""COMPUTED_VALUE"""),5)</f>
        <v>5</v>
      </c>
      <c r="X428" s="3"/>
      <c r="Y428" s="3" t="str">
        <f ca="1">IFERROR(__xludf.DUMMYFUNCTION("""COMPUTED_VALUE"""),"SMA")</f>
        <v>SMA</v>
      </c>
      <c r="Z428" s="3" t="str">
        <f ca="1">IFERROR(__xludf.DUMMYFUNCTION("""COMPUTED_VALUE"""),"0 Tahun 3 Bulan 5 Hari")</f>
        <v>0 Tahun 3 Bulan 5 Hari</v>
      </c>
      <c r="AA428" s="8">
        <f ca="1">IFERROR(__xludf.DUMMYFUNCTION("""COMPUTED_VALUE"""),55854)</f>
        <v>55854</v>
      </c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4"/>
      <c r="AR428" s="3"/>
      <c r="AS428" s="4"/>
      <c r="AT428" s="3"/>
      <c r="AU428" s="3"/>
    </row>
    <row r="429" spans="1:47" x14ac:dyDescent="0.2">
      <c r="A429" s="12">
        <v>428</v>
      </c>
      <c r="B429" s="3" t="str">
        <f ca="1">IFERROR(__xludf.DUMMYFUNCTION("""COMPUTED_VALUE"""),"Haris Hidayatullah")</f>
        <v>Haris Hidayatullah</v>
      </c>
      <c r="C429" s="3" t="str">
        <f ca="1">IFERROR(__xludf.DUMMYFUNCTION("""COMPUTED_VALUE"""),"Haris Hidayatullah, S.Pd.I.")</f>
        <v>Haris Hidayatullah, S.Pd.I.</v>
      </c>
      <c r="D429" s="3" t="str">
        <f ca="1">IFERROR(__xludf.DUMMYFUNCTION("""COMPUTED_VALUE"""),"Haris Hidayatullah, S.Pd.I.")</f>
        <v>Haris Hidayatullah, S.Pd.I.</v>
      </c>
      <c r="E429" s="3" t="str">
        <f ca="1">IFERROR(__xludf.DUMMYFUNCTION("""COMPUTED_VALUE"""),"199105082025211047")</f>
        <v>199105082025211047</v>
      </c>
      <c r="F429" s="3" t="str">
        <f ca="1">IFERROR(__xludf.DUMMYFUNCTION("""COMPUTED_VALUE"""),"19910508 202521 1 047")</f>
        <v>19910508 202521 1 047</v>
      </c>
      <c r="G429" s="3"/>
      <c r="H429" s="3"/>
      <c r="I429" s="3" t="str">
        <f ca="1">IFERROR(__xludf.DUMMYFUNCTION("""COMPUTED_VALUE"""),"PPPK")</f>
        <v>PPPK</v>
      </c>
      <c r="J429" s="3" t="str">
        <f ca="1">IFERROR(__xludf.DUMMYFUNCTION("""COMPUTED_VALUE"""),"Pegawai PPPK")</f>
        <v>Pegawai PPPK</v>
      </c>
      <c r="K429" s="5" t="str">
        <f ca="1">IFERROR(__xludf.DUMMYFUNCTION("""COMPUTED_VALUE"""),"L")</f>
        <v>L</v>
      </c>
      <c r="L429" s="3" t="str">
        <f ca="1">IFERROR(__xludf.DUMMYFUNCTION("""COMPUTED_VALUE"""),"Lamongan")</f>
        <v>Lamongan</v>
      </c>
      <c r="M429" s="11">
        <f ca="1">IFERROR(__xludf.DUMMYFUNCTION("""COMPUTED_VALUE"""),33366)</f>
        <v>33366</v>
      </c>
      <c r="N429" s="3"/>
      <c r="O429" s="3" t="str">
        <f ca="1">IFERROR(__xludf.DUMMYFUNCTION("""COMPUTED_VALUE"""),"IX")</f>
        <v>IX</v>
      </c>
      <c r="P429" s="11">
        <f ca="1">IFERROR(__xludf.DUMMYFUNCTION("""COMPUTED_VALUE"""),45931)</f>
        <v>45931</v>
      </c>
      <c r="Q429" s="3" t="str">
        <f ca="1">IFERROR(__xludf.DUMMYFUNCTION("""COMPUTED_VALUE"""),"SK.P2-002277/B.II/KP.00.3/09/2025")</f>
        <v>SK.P2-002277/B.II/KP.00.3/09/2025</v>
      </c>
      <c r="R429" s="3" t="str">
        <f ca="1">IFERROR(__xludf.DUMMYFUNCTION("""COMPUTED_VALUE"""),"‌Penata Layanan Operasional")</f>
        <v>‌Penata Layanan Operasional</v>
      </c>
      <c r="S429" s="3" t="str">
        <f ca="1">IFERROR(__xludf.DUMMYFUNCTION("""COMPUTED_VALUE"""),"Pelaksana")</f>
        <v>Pelaksana</v>
      </c>
      <c r="T429" s="11">
        <f ca="1">IFERROR(__xludf.DUMMYFUNCTION("""COMPUTED_VALUE"""),45931)</f>
        <v>45931</v>
      </c>
      <c r="U429" s="3"/>
      <c r="V429" s="7">
        <f ca="1">IFERROR(__xludf.DUMMYFUNCTION("""COMPUTED_VALUE"""),45922)</f>
        <v>45922</v>
      </c>
      <c r="W429" s="3">
        <f ca="1">IFERROR(__xludf.DUMMYFUNCTION("""COMPUTED_VALUE"""),7)</f>
        <v>7</v>
      </c>
      <c r="X429" s="3"/>
      <c r="Y429" s="3" t="str">
        <f ca="1">IFERROR(__xludf.DUMMYFUNCTION("""COMPUTED_VALUE"""),"S-1")</f>
        <v>S-1</v>
      </c>
      <c r="Z429" s="3" t="str">
        <f ca="1">IFERROR(__xludf.DUMMYFUNCTION("""COMPUTED_VALUE"""),"0 Tahun 3 Bulan 5 Hari")</f>
        <v>0 Tahun 3 Bulan 5 Hari</v>
      </c>
      <c r="AA429" s="8">
        <f ca="1">IFERROR(__xludf.DUMMYFUNCTION("""COMPUTED_VALUE"""),54575)</f>
        <v>54575</v>
      </c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4"/>
      <c r="AR429" s="3"/>
      <c r="AS429" s="4"/>
      <c r="AT429" s="3"/>
      <c r="AU429" s="3"/>
    </row>
    <row r="430" spans="1:47" x14ac:dyDescent="0.2">
      <c r="A430" s="12">
        <v>429</v>
      </c>
      <c r="B430" s="3" t="str">
        <f ca="1">IFERROR(__xludf.DUMMYFUNCTION("""COMPUTED_VALUE"""),"Ikhsanudin")</f>
        <v>Ikhsanudin</v>
      </c>
      <c r="C430" s="3" t="str">
        <f ca="1">IFERROR(__xludf.DUMMYFUNCTION("""COMPUTED_VALUE"""),"Ikhsanudin")</f>
        <v>Ikhsanudin</v>
      </c>
      <c r="D430" s="3" t="str">
        <f ca="1">IFERROR(__xludf.DUMMYFUNCTION("""COMPUTED_VALUE"""),"Ikhsanudin")</f>
        <v>Ikhsanudin</v>
      </c>
      <c r="E430" s="3" t="str">
        <f ca="1">IFERROR(__xludf.DUMMYFUNCTION("""COMPUTED_VALUE"""),"198202082025211034")</f>
        <v>198202082025211034</v>
      </c>
      <c r="F430" s="3" t="str">
        <f ca="1">IFERROR(__xludf.DUMMYFUNCTION("""COMPUTED_VALUE"""),"19820208 202521 1 034")</f>
        <v>19820208 202521 1 034</v>
      </c>
      <c r="G430" s="3"/>
      <c r="H430" s="3"/>
      <c r="I430" s="3" t="str">
        <f ca="1">IFERROR(__xludf.DUMMYFUNCTION("""COMPUTED_VALUE"""),"PPPK")</f>
        <v>PPPK</v>
      </c>
      <c r="J430" s="3" t="str">
        <f ca="1">IFERROR(__xludf.DUMMYFUNCTION("""COMPUTED_VALUE"""),"Pegawai PPPK")</f>
        <v>Pegawai PPPK</v>
      </c>
      <c r="K430" s="5" t="str">
        <f ca="1">IFERROR(__xludf.DUMMYFUNCTION("""COMPUTED_VALUE"""),"L")</f>
        <v>L</v>
      </c>
      <c r="L430" s="3" t="str">
        <f ca="1">IFERROR(__xludf.DUMMYFUNCTION("""COMPUTED_VALUE"""),"Banyumas")</f>
        <v>Banyumas</v>
      </c>
      <c r="M430" s="11">
        <f ca="1">IFERROR(__xludf.DUMMYFUNCTION("""COMPUTED_VALUE"""),29990)</f>
        <v>29990</v>
      </c>
      <c r="N430" s="3"/>
      <c r="O430" s="3" t="str">
        <f ca="1">IFERROR(__xludf.DUMMYFUNCTION("""COMPUTED_VALUE"""),"V")</f>
        <v>V</v>
      </c>
      <c r="P430" s="11">
        <f ca="1">IFERROR(__xludf.DUMMYFUNCTION("""COMPUTED_VALUE"""),45931)</f>
        <v>45931</v>
      </c>
      <c r="Q430" s="3" t="str">
        <f ca="1">IFERROR(__xludf.DUMMYFUNCTION("""COMPUTED_VALUE"""),"SK.P2-002304/B.II/KP.00.3/09/2025")</f>
        <v>SK.P2-002304/B.II/KP.00.3/09/2025</v>
      </c>
      <c r="R430" s="3" t="str">
        <f ca="1">IFERROR(__xludf.DUMMYFUNCTION("""COMPUTED_VALUE"""),"‌Pengadministrasi Perkantoran")</f>
        <v>‌Pengadministrasi Perkantoran</v>
      </c>
      <c r="S430" s="3" t="str">
        <f ca="1">IFERROR(__xludf.DUMMYFUNCTION("""COMPUTED_VALUE"""),"Pelaksana")</f>
        <v>Pelaksana</v>
      </c>
      <c r="T430" s="11">
        <f ca="1">IFERROR(__xludf.DUMMYFUNCTION("""COMPUTED_VALUE"""),45931)</f>
        <v>45931</v>
      </c>
      <c r="U430" s="3"/>
      <c r="V430" s="7">
        <f ca="1">IFERROR(__xludf.DUMMYFUNCTION("""COMPUTED_VALUE"""),45922)</f>
        <v>45922</v>
      </c>
      <c r="W430" s="3">
        <f ca="1">IFERROR(__xludf.DUMMYFUNCTION("""COMPUTED_VALUE"""),5)</f>
        <v>5</v>
      </c>
      <c r="X430" s="3"/>
      <c r="Y430" s="3" t="str">
        <f ca="1">IFERROR(__xludf.DUMMYFUNCTION("""COMPUTED_VALUE"""),"SMA")</f>
        <v>SMA</v>
      </c>
      <c r="Z430" s="3" t="str">
        <f ca="1">IFERROR(__xludf.DUMMYFUNCTION("""COMPUTED_VALUE"""),"0 Tahun 3 Bulan 5 Hari")</f>
        <v>0 Tahun 3 Bulan 5 Hari</v>
      </c>
      <c r="AA430" s="8">
        <f ca="1">IFERROR(__xludf.DUMMYFUNCTION("""COMPUTED_VALUE"""),51196)</f>
        <v>51196</v>
      </c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4"/>
      <c r="AR430" s="3"/>
      <c r="AS430" s="4"/>
      <c r="AT430" s="3"/>
      <c r="AU430" s="3"/>
    </row>
    <row r="431" spans="1:47" x14ac:dyDescent="0.2">
      <c r="A431" s="12">
        <v>430</v>
      </c>
      <c r="B431" s="3" t="str">
        <f ca="1">IFERROR(__xludf.DUMMYFUNCTION("""COMPUTED_VALUE"""),"Irawati")</f>
        <v>Irawati</v>
      </c>
      <c r="C431" s="3" t="str">
        <f ca="1">IFERROR(__xludf.DUMMYFUNCTION("""COMPUTED_VALUE"""),"Irawati")</f>
        <v>Irawati</v>
      </c>
      <c r="D431" s="3" t="str">
        <f ca="1">IFERROR(__xludf.DUMMYFUNCTION("""COMPUTED_VALUE"""),"Irawati")</f>
        <v>Irawati</v>
      </c>
      <c r="E431" s="3" t="str">
        <f ca="1">IFERROR(__xludf.DUMMYFUNCTION("""COMPUTED_VALUE"""),"199101202025212050")</f>
        <v>199101202025212050</v>
      </c>
      <c r="F431" s="3" t="str">
        <f ca="1">IFERROR(__xludf.DUMMYFUNCTION("""COMPUTED_VALUE"""),"19910120 202521 2 050")</f>
        <v>19910120 202521 2 050</v>
      </c>
      <c r="G431" s="3"/>
      <c r="H431" s="3"/>
      <c r="I431" s="3" t="str">
        <f ca="1">IFERROR(__xludf.DUMMYFUNCTION("""COMPUTED_VALUE"""),"PPPK")</f>
        <v>PPPK</v>
      </c>
      <c r="J431" s="3" t="str">
        <f ca="1">IFERROR(__xludf.DUMMYFUNCTION("""COMPUTED_VALUE"""),"Pegawai PPPK")</f>
        <v>Pegawai PPPK</v>
      </c>
      <c r="K431" s="5" t="str">
        <f ca="1">IFERROR(__xludf.DUMMYFUNCTION("""COMPUTED_VALUE"""),"P")</f>
        <v>P</v>
      </c>
      <c r="L431" s="3" t="str">
        <f ca="1">IFERROR(__xludf.DUMMYFUNCTION("""COMPUTED_VALUE"""),"Banyumas")</f>
        <v>Banyumas</v>
      </c>
      <c r="M431" s="11">
        <f ca="1">IFERROR(__xludf.DUMMYFUNCTION("""COMPUTED_VALUE"""),33258)</f>
        <v>33258</v>
      </c>
      <c r="N431" s="3"/>
      <c r="O431" s="3" t="str">
        <f ca="1">IFERROR(__xludf.DUMMYFUNCTION("""COMPUTED_VALUE"""),"V")</f>
        <v>V</v>
      </c>
      <c r="P431" s="11">
        <f ca="1">IFERROR(__xludf.DUMMYFUNCTION("""COMPUTED_VALUE"""),45931)</f>
        <v>45931</v>
      </c>
      <c r="Q431" s="3" t="str">
        <f ca="1">IFERROR(__xludf.DUMMYFUNCTION("""COMPUTED_VALUE"""),"SK.P2-002289/B.II/KP.00.3/09/2025")</f>
        <v>SK.P2-002289/B.II/KP.00.3/09/2025</v>
      </c>
      <c r="R431" s="3" t="str">
        <f ca="1">IFERROR(__xludf.DUMMYFUNCTION("""COMPUTED_VALUE"""),"‌Operator Layanan Operasional")</f>
        <v>‌Operator Layanan Operasional</v>
      </c>
      <c r="S431" s="3" t="str">
        <f ca="1">IFERROR(__xludf.DUMMYFUNCTION("""COMPUTED_VALUE"""),"Pelaksana")</f>
        <v>Pelaksana</v>
      </c>
      <c r="T431" s="11">
        <f ca="1">IFERROR(__xludf.DUMMYFUNCTION("""COMPUTED_VALUE"""),45931)</f>
        <v>45931</v>
      </c>
      <c r="U431" s="3"/>
      <c r="V431" s="7">
        <f ca="1">IFERROR(__xludf.DUMMYFUNCTION("""COMPUTED_VALUE"""),45922)</f>
        <v>45922</v>
      </c>
      <c r="W431" s="3">
        <f ca="1">IFERROR(__xludf.DUMMYFUNCTION("""COMPUTED_VALUE"""),5)</f>
        <v>5</v>
      </c>
      <c r="X431" s="3"/>
      <c r="Y431" s="3" t="str">
        <f ca="1">IFERROR(__xludf.DUMMYFUNCTION("""COMPUTED_VALUE"""),"SMK")</f>
        <v>SMK</v>
      </c>
      <c r="Z431" s="3" t="str">
        <f ca="1">IFERROR(__xludf.DUMMYFUNCTION("""COMPUTED_VALUE"""),"0 Tahun 3 Bulan 5 Hari")</f>
        <v>0 Tahun 3 Bulan 5 Hari</v>
      </c>
      <c r="AA431" s="8">
        <f ca="1">IFERROR(__xludf.DUMMYFUNCTION("""COMPUTED_VALUE"""),54455)</f>
        <v>54455</v>
      </c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4"/>
      <c r="AR431" s="3"/>
      <c r="AS431" s="4"/>
      <c r="AT431" s="3"/>
      <c r="AU431" s="3"/>
    </row>
    <row r="432" spans="1:47" x14ac:dyDescent="0.2">
      <c r="A432" s="12">
        <v>431</v>
      </c>
      <c r="B432" s="3" t="str">
        <f ca="1">IFERROR(__xludf.DUMMYFUNCTION("""COMPUTED_VALUE"""),"Januar Dwi Setyadi")</f>
        <v>Januar Dwi Setyadi</v>
      </c>
      <c r="C432" s="3" t="str">
        <f ca="1">IFERROR(__xludf.DUMMYFUNCTION("""COMPUTED_VALUE"""),"Januar Dwi Setyadi")</f>
        <v>Januar Dwi Setyadi</v>
      </c>
      <c r="D432" s="3" t="str">
        <f ca="1">IFERROR(__xludf.DUMMYFUNCTION("""COMPUTED_VALUE"""),"Januar Dwi Setyadi")</f>
        <v>Januar Dwi Setyadi</v>
      </c>
      <c r="E432" s="3" t="str">
        <f ca="1">IFERROR(__xludf.DUMMYFUNCTION("""COMPUTED_VALUE"""),"198801072025211045")</f>
        <v>198801072025211045</v>
      </c>
      <c r="F432" s="3" t="str">
        <f ca="1">IFERROR(__xludf.DUMMYFUNCTION("""COMPUTED_VALUE"""),"19880107 202521 1 045")</f>
        <v>19880107 202521 1 045</v>
      </c>
      <c r="G432" s="3"/>
      <c r="H432" s="3"/>
      <c r="I432" s="3" t="str">
        <f ca="1">IFERROR(__xludf.DUMMYFUNCTION("""COMPUTED_VALUE"""),"PPPK")</f>
        <v>PPPK</v>
      </c>
      <c r="J432" s="3" t="str">
        <f ca="1">IFERROR(__xludf.DUMMYFUNCTION("""COMPUTED_VALUE"""),"Pegawai PPPK")</f>
        <v>Pegawai PPPK</v>
      </c>
      <c r="K432" s="5" t="str">
        <f ca="1">IFERROR(__xludf.DUMMYFUNCTION("""COMPUTED_VALUE"""),"L")</f>
        <v>L</v>
      </c>
      <c r="L432" s="3" t="str">
        <f ca="1">IFERROR(__xludf.DUMMYFUNCTION("""COMPUTED_VALUE"""),"Purwokerto")</f>
        <v>Purwokerto</v>
      </c>
      <c r="M432" s="11">
        <f ca="1">IFERROR(__xludf.DUMMYFUNCTION("""COMPUTED_VALUE"""),32149)</f>
        <v>32149</v>
      </c>
      <c r="N432" s="3"/>
      <c r="O432" s="3" t="str">
        <f ca="1">IFERROR(__xludf.DUMMYFUNCTION("""COMPUTED_VALUE"""),"V")</f>
        <v>V</v>
      </c>
      <c r="P432" s="11">
        <f ca="1">IFERROR(__xludf.DUMMYFUNCTION("""COMPUTED_VALUE"""),45931)</f>
        <v>45931</v>
      </c>
      <c r="Q432" s="3" t="str">
        <f ca="1">IFERROR(__xludf.DUMMYFUNCTION("""COMPUTED_VALUE"""),"SK.P2-002290/B.II/KP.00.3/09/2025")</f>
        <v>SK.P2-002290/B.II/KP.00.3/09/2025</v>
      </c>
      <c r="R432" s="3" t="str">
        <f ca="1">IFERROR(__xludf.DUMMYFUNCTION("""COMPUTED_VALUE"""),"‌Operator Layanan Operasional")</f>
        <v>‌Operator Layanan Operasional</v>
      </c>
      <c r="S432" s="3" t="str">
        <f ca="1">IFERROR(__xludf.DUMMYFUNCTION("""COMPUTED_VALUE"""),"Pelaksana")</f>
        <v>Pelaksana</v>
      </c>
      <c r="T432" s="11">
        <f ca="1">IFERROR(__xludf.DUMMYFUNCTION("""COMPUTED_VALUE"""),45931)</f>
        <v>45931</v>
      </c>
      <c r="U432" s="5"/>
      <c r="V432" s="7">
        <f ca="1">IFERROR(__xludf.DUMMYFUNCTION("""COMPUTED_VALUE"""),45922)</f>
        <v>45922</v>
      </c>
      <c r="W432" s="3">
        <f ca="1">IFERROR(__xludf.DUMMYFUNCTION("""COMPUTED_VALUE"""),5)</f>
        <v>5</v>
      </c>
      <c r="X432" s="3"/>
      <c r="Y432" s="3" t="str">
        <f ca="1">IFERROR(__xludf.DUMMYFUNCTION("""COMPUTED_VALUE"""),"SMK")</f>
        <v>SMK</v>
      </c>
      <c r="Z432" s="3" t="str">
        <f ca="1">IFERROR(__xludf.DUMMYFUNCTION("""COMPUTED_VALUE"""),"0 Tahun 3 Bulan 5 Hari")</f>
        <v>0 Tahun 3 Bulan 5 Hari</v>
      </c>
      <c r="AA432" s="8">
        <f ca="1">IFERROR(__xludf.DUMMYFUNCTION("""COMPUTED_VALUE"""),53359)</f>
        <v>53359</v>
      </c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4"/>
      <c r="AR432" s="3"/>
      <c r="AS432" s="4"/>
      <c r="AT432" s="3"/>
      <c r="AU432" s="3"/>
    </row>
    <row r="433" spans="1:47" x14ac:dyDescent="0.2">
      <c r="A433" s="12">
        <v>432</v>
      </c>
      <c r="B433" s="3" t="str">
        <f ca="1">IFERROR(__xludf.DUMMYFUNCTION("""COMPUTED_VALUE"""),"M. Yassir Fahri")</f>
        <v>M. Yassir Fahri</v>
      </c>
      <c r="C433" s="3" t="str">
        <f ca="1">IFERROR(__xludf.DUMMYFUNCTION("""COMPUTED_VALUE"""),"M. Yassir Fahri")</f>
        <v>M. Yassir Fahri</v>
      </c>
      <c r="D433" s="3" t="str">
        <f ca="1">IFERROR(__xludf.DUMMYFUNCTION("""COMPUTED_VALUE"""),"M. Yassir Fahri")</f>
        <v>M. Yassir Fahri</v>
      </c>
      <c r="E433" s="3" t="str">
        <f ca="1">IFERROR(__xludf.DUMMYFUNCTION("""COMPUTED_VALUE"""),"198907242025211069")</f>
        <v>198907242025211069</v>
      </c>
      <c r="F433" s="3" t="str">
        <f ca="1">IFERROR(__xludf.DUMMYFUNCTION("""COMPUTED_VALUE"""),"19890724 202521 1 069")</f>
        <v>19890724 202521 1 069</v>
      </c>
      <c r="G433" s="3"/>
      <c r="H433" s="3"/>
      <c r="I433" s="3" t="str">
        <f ca="1">IFERROR(__xludf.DUMMYFUNCTION("""COMPUTED_VALUE"""),"PPPK")</f>
        <v>PPPK</v>
      </c>
      <c r="J433" s="3" t="str">
        <f ca="1">IFERROR(__xludf.DUMMYFUNCTION("""COMPUTED_VALUE"""),"Pegawai PPPK")</f>
        <v>Pegawai PPPK</v>
      </c>
      <c r="K433" s="5" t="str">
        <f ca="1">IFERROR(__xludf.DUMMYFUNCTION("""COMPUTED_VALUE"""),"L")</f>
        <v>L</v>
      </c>
      <c r="L433" s="3" t="str">
        <f ca="1">IFERROR(__xludf.DUMMYFUNCTION("""COMPUTED_VALUE"""),"Banyumas")</f>
        <v>Banyumas</v>
      </c>
      <c r="M433" s="11">
        <f ca="1">IFERROR(__xludf.DUMMYFUNCTION("""COMPUTED_VALUE"""),32713)</f>
        <v>32713</v>
      </c>
      <c r="N433" s="3"/>
      <c r="O433" s="3" t="str">
        <f ca="1">IFERROR(__xludf.DUMMYFUNCTION("""COMPUTED_VALUE"""),"V")</f>
        <v>V</v>
      </c>
      <c r="P433" s="11">
        <f ca="1">IFERROR(__xludf.DUMMYFUNCTION("""COMPUTED_VALUE"""),45931)</f>
        <v>45931</v>
      </c>
      <c r="Q433" s="3" t="str">
        <f ca="1">IFERROR(__xludf.DUMMYFUNCTION("""COMPUTED_VALUE"""),"SK.P2-002293/B.II/KP.00.3/09/2025")</f>
        <v>SK.P2-002293/B.II/KP.00.3/09/2025</v>
      </c>
      <c r="R433" s="3" t="str">
        <f ca="1">IFERROR(__xludf.DUMMYFUNCTION("""COMPUTED_VALUE"""),"‌Operator Layanan Operasional")</f>
        <v>‌Operator Layanan Operasional</v>
      </c>
      <c r="S433" s="3" t="str">
        <f ca="1">IFERROR(__xludf.DUMMYFUNCTION("""COMPUTED_VALUE"""),"Pelaksana")</f>
        <v>Pelaksana</v>
      </c>
      <c r="T433" s="11">
        <f ca="1">IFERROR(__xludf.DUMMYFUNCTION("""COMPUTED_VALUE"""),45931)</f>
        <v>45931</v>
      </c>
      <c r="U433" s="3"/>
      <c r="V433" s="7">
        <f ca="1">IFERROR(__xludf.DUMMYFUNCTION("""COMPUTED_VALUE"""),45922)</f>
        <v>45922</v>
      </c>
      <c r="W433" s="3">
        <f ca="1">IFERROR(__xludf.DUMMYFUNCTION("""COMPUTED_VALUE"""),5)</f>
        <v>5</v>
      </c>
      <c r="X433" s="3"/>
      <c r="Y433" s="3" t="str">
        <f ca="1">IFERROR(__xludf.DUMMYFUNCTION("""COMPUTED_VALUE"""),"SMK")</f>
        <v>SMK</v>
      </c>
      <c r="Z433" s="3" t="str">
        <f ca="1">IFERROR(__xludf.DUMMYFUNCTION("""COMPUTED_VALUE"""),"0 Tahun 3 Bulan 5 Hari")</f>
        <v>0 Tahun 3 Bulan 5 Hari</v>
      </c>
      <c r="AA433" s="8">
        <f ca="1">IFERROR(__xludf.DUMMYFUNCTION("""COMPUTED_VALUE"""),53905)</f>
        <v>53905</v>
      </c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4"/>
      <c r="AR433" s="3"/>
      <c r="AS433" s="4"/>
      <c r="AT433" s="3"/>
      <c r="AU433" s="3"/>
    </row>
    <row r="434" spans="1:47" x14ac:dyDescent="0.2">
      <c r="A434" s="12">
        <v>433</v>
      </c>
      <c r="B434" s="3" t="str">
        <f ca="1">IFERROR(__xludf.DUMMYFUNCTION("""COMPUTED_VALUE"""),"‌Mukhammad Arifin")</f>
        <v>‌Mukhammad Arifin</v>
      </c>
      <c r="C434" s="3" t="str">
        <f ca="1">IFERROR(__xludf.DUMMYFUNCTION("""COMPUTED_VALUE"""),"Mukhammad Arifin")</f>
        <v>Mukhammad Arifin</v>
      </c>
      <c r="D434" s="3" t="str">
        <f ca="1">IFERROR(__xludf.DUMMYFUNCTION("""COMPUTED_VALUE"""),"Mukhammad Arifin")</f>
        <v>Mukhammad Arifin</v>
      </c>
      <c r="E434" s="3" t="str">
        <f ca="1">IFERROR(__xludf.DUMMYFUNCTION("""COMPUTED_VALUE"""),"199109302025211037")</f>
        <v>199109302025211037</v>
      </c>
      <c r="F434" s="3" t="str">
        <f ca="1">IFERROR(__xludf.DUMMYFUNCTION("""COMPUTED_VALUE"""),"19910930 202521 1 037")</f>
        <v>19910930 202521 1 037</v>
      </c>
      <c r="G434" s="3"/>
      <c r="H434" s="3"/>
      <c r="I434" s="3" t="str">
        <f ca="1">IFERROR(__xludf.DUMMYFUNCTION("""COMPUTED_VALUE"""),"PPPK")</f>
        <v>PPPK</v>
      </c>
      <c r="J434" s="3" t="str">
        <f ca="1">IFERROR(__xludf.DUMMYFUNCTION("""COMPUTED_VALUE"""),"Pegawai PPPK")</f>
        <v>Pegawai PPPK</v>
      </c>
      <c r="K434" s="5" t="str">
        <f ca="1">IFERROR(__xludf.DUMMYFUNCTION("""COMPUTED_VALUE"""),"L")</f>
        <v>L</v>
      </c>
      <c r="L434" s="3" t="str">
        <f ca="1">IFERROR(__xludf.DUMMYFUNCTION("""COMPUTED_VALUE"""),"Banyumas")</f>
        <v>Banyumas</v>
      </c>
      <c r="M434" s="11">
        <f ca="1">IFERROR(__xludf.DUMMYFUNCTION("""COMPUTED_VALUE"""),33511)</f>
        <v>33511</v>
      </c>
      <c r="N434" s="3"/>
      <c r="O434" s="3" t="str">
        <f ca="1">IFERROR(__xludf.DUMMYFUNCTION("""COMPUTED_VALUE"""),"V")</f>
        <v>V</v>
      </c>
      <c r="P434" s="11">
        <f ca="1">IFERROR(__xludf.DUMMYFUNCTION("""COMPUTED_VALUE"""),45931)</f>
        <v>45931</v>
      </c>
      <c r="Q434" s="3" t="str">
        <f ca="1">IFERROR(__xludf.DUMMYFUNCTION("""COMPUTED_VALUE"""),"SK.P2-002292/B.II/KP.00.3/09/2025")</f>
        <v>SK.P2-002292/B.II/KP.00.3/09/2025</v>
      </c>
      <c r="R434" s="3" t="str">
        <f ca="1">IFERROR(__xludf.DUMMYFUNCTION("""COMPUTED_VALUE"""),"‌Operator Layanan Operasional")</f>
        <v>‌Operator Layanan Operasional</v>
      </c>
      <c r="S434" s="3" t="str">
        <f ca="1">IFERROR(__xludf.DUMMYFUNCTION("""COMPUTED_VALUE"""),"Pelaksana")</f>
        <v>Pelaksana</v>
      </c>
      <c r="T434" s="11">
        <f ca="1">IFERROR(__xludf.DUMMYFUNCTION("""COMPUTED_VALUE"""),45931)</f>
        <v>45931</v>
      </c>
      <c r="U434" s="3"/>
      <c r="V434" s="7">
        <f ca="1">IFERROR(__xludf.DUMMYFUNCTION("""COMPUTED_VALUE"""),45922)</f>
        <v>45922</v>
      </c>
      <c r="W434" s="3">
        <f ca="1">IFERROR(__xludf.DUMMYFUNCTION("""COMPUTED_VALUE"""),5)</f>
        <v>5</v>
      </c>
      <c r="X434" s="3"/>
      <c r="Y434" s="3" t="str">
        <f ca="1">IFERROR(__xludf.DUMMYFUNCTION("""COMPUTED_VALUE"""),"SMK")</f>
        <v>SMK</v>
      </c>
      <c r="Z434" s="3" t="str">
        <f ca="1">IFERROR(__xludf.DUMMYFUNCTION("""COMPUTED_VALUE"""),"0 Tahun 3 Bulan 5 Hari")</f>
        <v>0 Tahun 3 Bulan 5 Hari</v>
      </c>
      <c r="AA434" s="8">
        <f ca="1">IFERROR(__xludf.DUMMYFUNCTION("""COMPUTED_VALUE"""),54697)</f>
        <v>54697</v>
      </c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4"/>
      <c r="AR434" s="3"/>
      <c r="AS434" s="4"/>
      <c r="AT434" s="3"/>
      <c r="AU434" s="3"/>
    </row>
    <row r="435" spans="1:47" x14ac:dyDescent="0.2">
      <c r="A435" s="12">
        <v>434</v>
      </c>
      <c r="B435" s="3" t="str">
        <f ca="1">IFERROR(__xludf.DUMMYFUNCTION("""COMPUTED_VALUE"""),"Muhammad Nur Alfianto")</f>
        <v>Muhammad Nur Alfianto</v>
      </c>
      <c r="C435" s="3" t="str">
        <f ca="1">IFERROR(__xludf.DUMMYFUNCTION("""COMPUTED_VALUE"""),"Muhammad Nur Alfianto")</f>
        <v>Muhammad Nur Alfianto</v>
      </c>
      <c r="D435" s="3" t="str">
        <f ca="1">IFERROR(__xludf.DUMMYFUNCTION("""COMPUTED_VALUE"""),"Muhammad Nur Alfianto")</f>
        <v>Muhammad Nur Alfianto</v>
      </c>
      <c r="E435" s="3" t="str">
        <f ca="1">IFERROR(__xludf.DUMMYFUNCTION("""COMPUTED_VALUE"""),"199412232025211043")</f>
        <v>199412232025211043</v>
      </c>
      <c r="F435" s="3" t="str">
        <f ca="1">IFERROR(__xludf.DUMMYFUNCTION("""COMPUTED_VALUE"""),"19941223 202521 1 043")</f>
        <v>19941223 202521 1 043</v>
      </c>
      <c r="G435" s="3"/>
      <c r="H435" s="3"/>
      <c r="I435" s="3" t="str">
        <f ca="1">IFERROR(__xludf.DUMMYFUNCTION("""COMPUTED_VALUE"""),"PPPK")</f>
        <v>PPPK</v>
      </c>
      <c r="J435" s="3" t="str">
        <f ca="1">IFERROR(__xludf.DUMMYFUNCTION("""COMPUTED_VALUE"""),"Pegawai PPPK")</f>
        <v>Pegawai PPPK</v>
      </c>
      <c r="K435" s="5" t="str">
        <f ca="1">IFERROR(__xludf.DUMMYFUNCTION("""COMPUTED_VALUE"""),"L")</f>
        <v>L</v>
      </c>
      <c r="L435" s="3" t="str">
        <f ca="1">IFERROR(__xludf.DUMMYFUNCTION("""COMPUTED_VALUE"""),"Banyumas")</f>
        <v>Banyumas</v>
      </c>
      <c r="M435" s="11">
        <f ca="1">IFERROR(__xludf.DUMMYFUNCTION("""COMPUTED_VALUE"""),34691)</f>
        <v>34691</v>
      </c>
      <c r="N435" s="3"/>
      <c r="O435" s="3" t="str">
        <f ca="1">IFERROR(__xludf.DUMMYFUNCTION("""COMPUTED_VALUE"""),"V")</f>
        <v>V</v>
      </c>
      <c r="P435" s="11">
        <f ca="1">IFERROR(__xludf.DUMMYFUNCTION("""COMPUTED_VALUE"""),45931)</f>
        <v>45931</v>
      </c>
      <c r="Q435" s="3" t="str">
        <f ca="1">IFERROR(__xludf.DUMMYFUNCTION("""COMPUTED_VALUE"""),"SK.P2-002291/B.II/KP.00.3/09/2025")</f>
        <v>SK.P2-002291/B.II/KP.00.3/09/2025</v>
      </c>
      <c r="R435" s="3" t="str">
        <f ca="1">IFERROR(__xludf.DUMMYFUNCTION("""COMPUTED_VALUE"""),"‌Operator Layanan Operasional")</f>
        <v>‌Operator Layanan Operasional</v>
      </c>
      <c r="S435" s="3" t="str">
        <f ca="1">IFERROR(__xludf.DUMMYFUNCTION("""COMPUTED_VALUE"""),"Pelaksana")</f>
        <v>Pelaksana</v>
      </c>
      <c r="T435" s="11">
        <f ca="1">IFERROR(__xludf.DUMMYFUNCTION("""COMPUTED_VALUE"""),45931)</f>
        <v>45931</v>
      </c>
      <c r="U435" s="3"/>
      <c r="V435" s="7">
        <f ca="1">IFERROR(__xludf.DUMMYFUNCTION("""COMPUTED_VALUE"""),45922)</f>
        <v>45922</v>
      </c>
      <c r="W435" s="3">
        <f ca="1">IFERROR(__xludf.DUMMYFUNCTION("""COMPUTED_VALUE"""),5)</f>
        <v>5</v>
      </c>
      <c r="X435" s="3"/>
      <c r="Y435" s="3" t="str">
        <f ca="1">IFERROR(__xludf.DUMMYFUNCTION("""COMPUTED_VALUE"""),"SMA")</f>
        <v>SMA</v>
      </c>
      <c r="Z435" s="3" t="str">
        <f ca="1">IFERROR(__xludf.DUMMYFUNCTION("""COMPUTED_VALUE"""),"0 Tahun 3 Bulan 5 Hari")</f>
        <v>0 Tahun 3 Bulan 5 Hari</v>
      </c>
      <c r="AA435" s="8">
        <f ca="1">IFERROR(__xludf.DUMMYFUNCTION("""COMPUTED_VALUE"""),55885)</f>
        <v>55885</v>
      </c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4"/>
      <c r="AR435" s="3"/>
      <c r="AS435" s="4"/>
      <c r="AT435" s="3"/>
      <c r="AU435" s="3"/>
    </row>
    <row r="436" spans="1:47" x14ac:dyDescent="0.2">
      <c r="A436" s="12">
        <v>435</v>
      </c>
      <c r="B436" s="3" t="str">
        <f ca="1">IFERROR(__xludf.DUMMYFUNCTION("""COMPUTED_VALUE"""),"Nur Ismi Hidayanti")</f>
        <v>Nur Ismi Hidayanti</v>
      </c>
      <c r="C436" s="3" t="str">
        <f ca="1">IFERROR(__xludf.DUMMYFUNCTION("""COMPUTED_VALUE"""),"Nur Ismi Hidayanti, S.E.")</f>
        <v>Nur Ismi Hidayanti, S.E.</v>
      </c>
      <c r="D436" s="3" t="str">
        <f ca="1">IFERROR(__xludf.DUMMYFUNCTION("""COMPUTED_VALUE"""),"Nur Ismi Hidayanti, S.E.")</f>
        <v>Nur Ismi Hidayanti, S.E.</v>
      </c>
      <c r="E436" s="3" t="str">
        <f ca="1">IFERROR(__xludf.DUMMYFUNCTION("""COMPUTED_VALUE"""),"199512222025212065")</f>
        <v>199512222025212065</v>
      </c>
      <c r="F436" s="3" t="str">
        <f ca="1">IFERROR(__xludf.DUMMYFUNCTION("""COMPUTED_VALUE"""),"19951222 202521 2 065")</f>
        <v>19951222 202521 2 065</v>
      </c>
      <c r="G436" s="3"/>
      <c r="H436" s="3"/>
      <c r="I436" s="3" t="str">
        <f ca="1">IFERROR(__xludf.DUMMYFUNCTION("""COMPUTED_VALUE"""),"PPPK")</f>
        <v>PPPK</v>
      </c>
      <c r="J436" s="3" t="str">
        <f ca="1">IFERROR(__xludf.DUMMYFUNCTION("""COMPUTED_VALUE"""),"Pegawai PPPK")</f>
        <v>Pegawai PPPK</v>
      </c>
      <c r="K436" s="5" t="str">
        <f ca="1">IFERROR(__xludf.DUMMYFUNCTION("""COMPUTED_VALUE"""),"P")</f>
        <v>P</v>
      </c>
      <c r="L436" s="3" t="str">
        <f ca="1">IFERROR(__xludf.DUMMYFUNCTION("""COMPUTED_VALUE"""),"Purwokerto")</f>
        <v>Purwokerto</v>
      </c>
      <c r="M436" s="11">
        <f ca="1">IFERROR(__xludf.DUMMYFUNCTION("""COMPUTED_VALUE"""),35055)</f>
        <v>35055</v>
      </c>
      <c r="N436" s="3"/>
      <c r="O436" s="3" t="str">
        <f ca="1">IFERROR(__xludf.DUMMYFUNCTION("""COMPUTED_VALUE"""),"IX")</f>
        <v>IX</v>
      </c>
      <c r="P436" s="11">
        <f ca="1">IFERROR(__xludf.DUMMYFUNCTION("""COMPUTED_VALUE"""),45931)</f>
        <v>45931</v>
      </c>
      <c r="Q436" s="3" t="str">
        <f ca="1">IFERROR(__xludf.DUMMYFUNCTION("""COMPUTED_VALUE"""),"SK.P2-002279/B.II/KP.00.3/09/2025")</f>
        <v>SK.P2-002279/B.II/KP.00.3/09/2025</v>
      </c>
      <c r="R436" s="3" t="str">
        <f ca="1">IFERROR(__xludf.DUMMYFUNCTION("""COMPUTED_VALUE"""),"‌Penata Layanan Operasional")</f>
        <v>‌Penata Layanan Operasional</v>
      </c>
      <c r="S436" s="3" t="str">
        <f ca="1">IFERROR(__xludf.DUMMYFUNCTION("""COMPUTED_VALUE"""),"Pelaksana")</f>
        <v>Pelaksana</v>
      </c>
      <c r="T436" s="11">
        <f ca="1">IFERROR(__xludf.DUMMYFUNCTION("""COMPUTED_VALUE"""),45931)</f>
        <v>45931</v>
      </c>
      <c r="U436" s="3"/>
      <c r="V436" s="7">
        <f ca="1">IFERROR(__xludf.DUMMYFUNCTION("""COMPUTED_VALUE"""),45922)</f>
        <v>45922</v>
      </c>
      <c r="W436" s="3">
        <f ca="1">IFERROR(__xludf.DUMMYFUNCTION("""COMPUTED_VALUE"""),7)</f>
        <v>7</v>
      </c>
      <c r="X436" s="3"/>
      <c r="Y436" s="3" t="str">
        <f ca="1">IFERROR(__xludf.DUMMYFUNCTION("""COMPUTED_VALUE"""),"S-1")</f>
        <v>S-1</v>
      </c>
      <c r="Z436" s="3" t="str">
        <f ca="1">IFERROR(__xludf.DUMMYFUNCTION("""COMPUTED_VALUE"""),"0 Tahun 3 Bulan 5 Hari")</f>
        <v>0 Tahun 3 Bulan 5 Hari</v>
      </c>
      <c r="AA436" s="8">
        <f ca="1">IFERROR(__xludf.DUMMYFUNCTION("""COMPUTED_VALUE"""),56250)</f>
        <v>56250</v>
      </c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4"/>
      <c r="AR436" s="3"/>
      <c r="AS436" s="4"/>
      <c r="AT436" s="3"/>
      <c r="AU436" s="3"/>
    </row>
    <row r="437" spans="1:47" x14ac:dyDescent="0.2">
      <c r="A437" s="12">
        <v>436</v>
      </c>
      <c r="B437" s="3" t="str">
        <f ca="1">IFERROR(__xludf.DUMMYFUNCTION("""COMPUTED_VALUE"""),"Rahmat Pujiono")</f>
        <v>Rahmat Pujiono</v>
      </c>
      <c r="C437" s="3" t="str">
        <f ca="1">IFERROR(__xludf.DUMMYFUNCTION("""COMPUTED_VALUE"""),"Rahmat Pujiono")</f>
        <v>Rahmat Pujiono</v>
      </c>
      <c r="D437" s="3" t="str">
        <f ca="1">IFERROR(__xludf.DUMMYFUNCTION("""COMPUTED_VALUE"""),"Rahmat Pujiono")</f>
        <v>Rahmat Pujiono</v>
      </c>
      <c r="E437" s="3" t="str">
        <f ca="1">IFERROR(__xludf.DUMMYFUNCTION("""COMPUTED_VALUE"""),"199605032025211055")</f>
        <v>199605032025211055</v>
      </c>
      <c r="F437" s="3" t="str">
        <f ca="1">IFERROR(__xludf.DUMMYFUNCTION("""COMPUTED_VALUE"""),"19960503 202521 1 055")</f>
        <v>19960503 202521 1 055</v>
      </c>
      <c r="G437" s="3"/>
      <c r="H437" s="3"/>
      <c r="I437" s="3" t="str">
        <f ca="1">IFERROR(__xludf.DUMMYFUNCTION("""COMPUTED_VALUE"""),"PPPK")</f>
        <v>PPPK</v>
      </c>
      <c r="J437" s="3" t="str">
        <f ca="1">IFERROR(__xludf.DUMMYFUNCTION("""COMPUTED_VALUE"""),"Pegawai PPPK")</f>
        <v>Pegawai PPPK</v>
      </c>
      <c r="K437" s="5" t="str">
        <f ca="1">IFERROR(__xludf.DUMMYFUNCTION("""COMPUTED_VALUE"""),"L")</f>
        <v>L</v>
      </c>
      <c r="L437" s="3" t="str">
        <f ca="1">IFERROR(__xludf.DUMMYFUNCTION("""COMPUTED_VALUE"""),"Banyumas")</f>
        <v>Banyumas</v>
      </c>
      <c r="M437" s="11">
        <f ca="1">IFERROR(__xludf.DUMMYFUNCTION("""COMPUTED_VALUE"""),35188)</f>
        <v>35188</v>
      </c>
      <c r="N437" s="3"/>
      <c r="O437" s="3" t="str">
        <f ca="1">IFERROR(__xludf.DUMMYFUNCTION("""COMPUTED_VALUE"""),"V")</f>
        <v>V</v>
      </c>
      <c r="P437" s="11">
        <f ca="1">IFERROR(__xludf.DUMMYFUNCTION("""COMPUTED_VALUE"""),45931)</f>
        <v>45931</v>
      </c>
      <c r="Q437" s="3" t="str">
        <f ca="1">IFERROR(__xludf.DUMMYFUNCTION("""COMPUTED_VALUE"""),"SK.P2-002294/B.II/KP.00.3/09/2025")</f>
        <v>SK.P2-002294/B.II/KP.00.3/09/2025</v>
      </c>
      <c r="R437" s="3" t="str">
        <f ca="1">IFERROR(__xludf.DUMMYFUNCTION("""COMPUTED_VALUE"""),"‌Operator Layanan Operasional")</f>
        <v>‌Operator Layanan Operasional</v>
      </c>
      <c r="S437" s="3" t="str">
        <f ca="1">IFERROR(__xludf.DUMMYFUNCTION("""COMPUTED_VALUE"""),"Pelaksana")</f>
        <v>Pelaksana</v>
      </c>
      <c r="T437" s="11">
        <f ca="1">IFERROR(__xludf.DUMMYFUNCTION("""COMPUTED_VALUE"""),45931)</f>
        <v>45931</v>
      </c>
      <c r="U437" s="3"/>
      <c r="V437" s="7">
        <f ca="1">IFERROR(__xludf.DUMMYFUNCTION("""COMPUTED_VALUE"""),45922)</f>
        <v>45922</v>
      </c>
      <c r="W437" s="3">
        <f ca="1">IFERROR(__xludf.DUMMYFUNCTION("""COMPUTED_VALUE"""),5)</f>
        <v>5</v>
      </c>
      <c r="X437" s="3"/>
      <c r="Y437" s="3" t="str">
        <f ca="1">IFERROR(__xludf.DUMMYFUNCTION("""COMPUTED_VALUE"""),"SMK")</f>
        <v>SMK</v>
      </c>
      <c r="Z437" s="3" t="str">
        <f ca="1">IFERROR(__xludf.DUMMYFUNCTION("""COMPUTED_VALUE"""),"0 Tahun 3 Bulan 5 Hari")</f>
        <v>0 Tahun 3 Bulan 5 Hari</v>
      </c>
      <c r="AA437" s="8">
        <f ca="1">IFERROR(__xludf.DUMMYFUNCTION("""COMPUTED_VALUE"""),56401)</f>
        <v>56401</v>
      </c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4"/>
      <c r="AR437" s="3"/>
      <c r="AS437" s="4"/>
      <c r="AT437" s="3"/>
      <c r="AU437" s="3"/>
    </row>
    <row r="438" spans="1:47" x14ac:dyDescent="0.2">
      <c r="A438" s="12">
        <v>437</v>
      </c>
      <c r="B438" s="3" t="str">
        <f ca="1">IFERROR(__xludf.DUMMYFUNCTION("""COMPUTED_VALUE"""),"Rinto Endardi")</f>
        <v>Rinto Endardi</v>
      </c>
      <c r="C438" s="3" t="str">
        <f ca="1">IFERROR(__xludf.DUMMYFUNCTION("""COMPUTED_VALUE"""),"Rinto Endardi")</f>
        <v>Rinto Endardi</v>
      </c>
      <c r="D438" s="3" t="str">
        <f ca="1">IFERROR(__xludf.DUMMYFUNCTION("""COMPUTED_VALUE"""),"Rinto Endardi")</f>
        <v>Rinto Endardi</v>
      </c>
      <c r="E438" s="3" t="str">
        <f ca="1">IFERROR(__xludf.DUMMYFUNCTION("""COMPUTED_VALUE"""),"199103132025211067")</f>
        <v>199103132025211067</v>
      </c>
      <c r="F438" s="3" t="str">
        <f ca="1">IFERROR(__xludf.DUMMYFUNCTION("""COMPUTED_VALUE"""),"19910313 202521 1 067")</f>
        <v>19910313 202521 1 067</v>
      </c>
      <c r="G438" s="3"/>
      <c r="H438" s="3"/>
      <c r="I438" s="3" t="str">
        <f ca="1">IFERROR(__xludf.DUMMYFUNCTION("""COMPUTED_VALUE"""),"PPPK")</f>
        <v>PPPK</v>
      </c>
      <c r="J438" s="3" t="str">
        <f ca="1">IFERROR(__xludf.DUMMYFUNCTION("""COMPUTED_VALUE"""),"Pegawai PPPK")</f>
        <v>Pegawai PPPK</v>
      </c>
      <c r="K438" s="5" t="str">
        <f ca="1">IFERROR(__xludf.DUMMYFUNCTION("""COMPUTED_VALUE"""),"L")</f>
        <v>L</v>
      </c>
      <c r="L438" s="3" t="str">
        <f ca="1">IFERROR(__xludf.DUMMYFUNCTION("""COMPUTED_VALUE"""),"Banyumas")</f>
        <v>Banyumas</v>
      </c>
      <c r="M438" s="11">
        <f ca="1">IFERROR(__xludf.DUMMYFUNCTION("""COMPUTED_VALUE"""),33310)</f>
        <v>33310</v>
      </c>
      <c r="N438" s="3"/>
      <c r="O438" s="3" t="str">
        <f ca="1">IFERROR(__xludf.DUMMYFUNCTION("""COMPUTED_VALUE"""),"V")</f>
        <v>V</v>
      </c>
      <c r="P438" s="11">
        <f ca="1">IFERROR(__xludf.DUMMYFUNCTION("""COMPUTED_VALUE"""),45931)</f>
        <v>45931</v>
      </c>
      <c r="Q438" s="3" t="str">
        <f ca="1">IFERROR(__xludf.DUMMYFUNCTION("""COMPUTED_VALUE"""),"SK.P2-002295/B.II/KP.00.3/09/2025")</f>
        <v>SK.P2-002295/B.II/KP.00.3/09/2025</v>
      </c>
      <c r="R438" s="3" t="str">
        <f ca="1">IFERROR(__xludf.DUMMYFUNCTION("""COMPUTED_VALUE"""),"‌Operator Layanan Operasional")</f>
        <v>‌Operator Layanan Operasional</v>
      </c>
      <c r="S438" s="3" t="str">
        <f ca="1">IFERROR(__xludf.DUMMYFUNCTION("""COMPUTED_VALUE"""),"Pelaksana")</f>
        <v>Pelaksana</v>
      </c>
      <c r="T438" s="11">
        <f ca="1">IFERROR(__xludf.DUMMYFUNCTION("""COMPUTED_VALUE"""),45931)</f>
        <v>45931</v>
      </c>
      <c r="U438" s="3"/>
      <c r="V438" s="7">
        <f ca="1">IFERROR(__xludf.DUMMYFUNCTION("""COMPUTED_VALUE"""),45922)</f>
        <v>45922</v>
      </c>
      <c r="W438" s="3">
        <f ca="1">IFERROR(__xludf.DUMMYFUNCTION("""COMPUTED_VALUE"""),5)</f>
        <v>5</v>
      </c>
      <c r="X438" s="3"/>
      <c r="Y438" s="3" t="str">
        <f ca="1">IFERROR(__xludf.DUMMYFUNCTION("""COMPUTED_VALUE"""),"SMK")</f>
        <v>SMK</v>
      </c>
      <c r="Z438" s="3" t="str">
        <f ca="1">IFERROR(__xludf.DUMMYFUNCTION("""COMPUTED_VALUE"""),"0 Tahun 3 Bulan 5 Hari")</f>
        <v>0 Tahun 3 Bulan 5 Hari</v>
      </c>
      <c r="AA438" s="8">
        <f ca="1">IFERROR(__xludf.DUMMYFUNCTION("""COMPUTED_VALUE"""),54514)</f>
        <v>54514</v>
      </c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4"/>
      <c r="AR438" s="3"/>
      <c r="AS438" s="4"/>
      <c r="AT438" s="3"/>
      <c r="AU438" s="3"/>
    </row>
    <row r="439" spans="1:47" x14ac:dyDescent="0.2">
      <c r="A439" s="12">
        <v>438</v>
      </c>
      <c r="B439" s="3" t="str">
        <f ca="1">IFERROR(__xludf.DUMMYFUNCTION("""COMPUTED_VALUE"""),"Riyan Hidayat")</f>
        <v>Riyan Hidayat</v>
      </c>
      <c r="C439" s="3" t="str">
        <f ca="1">IFERROR(__xludf.DUMMYFUNCTION("""COMPUTED_VALUE"""),"Riyan Hidayat, S.Pd.I.")</f>
        <v>Riyan Hidayat, S.Pd.I.</v>
      </c>
      <c r="D439" s="3" t="str">
        <f ca="1">IFERROR(__xludf.DUMMYFUNCTION("""COMPUTED_VALUE"""),"Riyan Hidayat, S.Pd.I.")</f>
        <v>Riyan Hidayat, S.Pd.I.</v>
      </c>
      <c r="E439" s="3" t="str">
        <f ca="1">IFERROR(__xludf.DUMMYFUNCTION("""COMPUTED_VALUE"""),"199112272025211041")</f>
        <v>199112272025211041</v>
      </c>
      <c r="F439" s="3" t="str">
        <f ca="1">IFERROR(__xludf.DUMMYFUNCTION("""COMPUTED_VALUE"""),"19911227 202521 1 041")</f>
        <v>19911227 202521 1 041</v>
      </c>
      <c r="G439" s="3"/>
      <c r="H439" s="3"/>
      <c r="I439" s="3" t="str">
        <f ca="1">IFERROR(__xludf.DUMMYFUNCTION("""COMPUTED_VALUE"""),"PPPK")</f>
        <v>PPPK</v>
      </c>
      <c r="J439" s="3" t="str">
        <f ca="1">IFERROR(__xludf.DUMMYFUNCTION("""COMPUTED_VALUE"""),"Pegawai PPPK")</f>
        <v>Pegawai PPPK</v>
      </c>
      <c r="K439" s="5" t="str">
        <f ca="1">IFERROR(__xludf.DUMMYFUNCTION("""COMPUTED_VALUE"""),"L")</f>
        <v>L</v>
      </c>
      <c r="L439" s="3" t="str">
        <f ca="1">IFERROR(__xludf.DUMMYFUNCTION("""COMPUTED_VALUE"""),"Banyumas")</f>
        <v>Banyumas</v>
      </c>
      <c r="M439" s="11">
        <f ca="1">IFERROR(__xludf.DUMMYFUNCTION("""COMPUTED_VALUE"""),33599)</f>
        <v>33599</v>
      </c>
      <c r="N439" s="3"/>
      <c r="O439" s="3" t="str">
        <f ca="1">IFERROR(__xludf.DUMMYFUNCTION("""COMPUTED_VALUE"""),"IX")</f>
        <v>IX</v>
      </c>
      <c r="P439" s="11">
        <f ca="1">IFERROR(__xludf.DUMMYFUNCTION("""COMPUTED_VALUE"""),45931)</f>
        <v>45931</v>
      </c>
      <c r="Q439" s="3" t="str">
        <f ca="1">IFERROR(__xludf.DUMMYFUNCTION("""COMPUTED_VALUE"""),"SK.P2-002280/B.II/KP.00.3/09/2025")</f>
        <v>SK.P2-002280/B.II/KP.00.3/09/2025</v>
      </c>
      <c r="R439" s="3" t="str">
        <f ca="1">IFERROR(__xludf.DUMMYFUNCTION("""COMPUTED_VALUE"""),"‌Penata Layanan Operasional")</f>
        <v>‌Penata Layanan Operasional</v>
      </c>
      <c r="S439" s="3" t="str">
        <f ca="1">IFERROR(__xludf.DUMMYFUNCTION("""COMPUTED_VALUE"""),"Pelaksana")</f>
        <v>Pelaksana</v>
      </c>
      <c r="T439" s="11">
        <f ca="1">IFERROR(__xludf.DUMMYFUNCTION("""COMPUTED_VALUE"""),45931)</f>
        <v>45931</v>
      </c>
      <c r="U439" s="3"/>
      <c r="V439" s="7">
        <f ca="1">IFERROR(__xludf.DUMMYFUNCTION("""COMPUTED_VALUE"""),45922)</f>
        <v>45922</v>
      </c>
      <c r="W439" s="3">
        <f ca="1">IFERROR(__xludf.DUMMYFUNCTION("""COMPUTED_VALUE"""),7)</f>
        <v>7</v>
      </c>
      <c r="X439" s="3"/>
      <c r="Y439" s="3" t="str">
        <f ca="1">IFERROR(__xludf.DUMMYFUNCTION("""COMPUTED_VALUE"""),"S-1")</f>
        <v>S-1</v>
      </c>
      <c r="Z439" s="3" t="str">
        <f ca="1">IFERROR(__xludf.DUMMYFUNCTION("""COMPUTED_VALUE"""),"0 Tahun 3 Bulan 5 Hari")</f>
        <v>0 Tahun 3 Bulan 5 Hari</v>
      </c>
      <c r="AA439" s="8">
        <f ca="1">IFERROR(__xludf.DUMMYFUNCTION("""COMPUTED_VALUE"""),54789)</f>
        <v>54789</v>
      </c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4"/>
      <c r="AR439" s="3"/>
      <c r="AS439" s="4"/>
      <c r="AT439" s="3"/>
      <c r="AU439" s="3"/>
    </row>
    <row r="440" spans="1:47" x14ac:dyDescent="0.2">
      <c r="A440" s="12">
        <v>439</v>
      </c>
      <c r="B440" s="3" t="str">
        <f ca="1">IFERROR(__xludf.DUMMYFUNCTION("""COMPUTED_VALUE"""),"Rizki Jariatmoko")</f>
        <v>Rizki Jariatmoko</v>
      </c>
      <c r="C440" s="3" t="str">
        <f ca="1">IFERROR(__xludf.DUMMYFUNCTION("""COMPUTED_VALUE"""),"Rizki Jariatmoko")</f>
        <v>Rizki Jariatmoko</v>
      </c>
      <c r="D440" s="3" t="str">
        <f ca="1">IFERROR(__xludf.DUMMYFUNCTION("""COMPUTED_VALUE"""),"Rizki Jariatmoko")</f>
        <v>Rizki Jariatmoko</v>
      </c>
      <c r="E440" s="3" t="str">
        <f ca="1">IFERROR(__xludf.DUMMYFUNCTION("""COMPUTED_VALUE"""),"199603212025211035")</f>
        <v>199603212025211035</v>
      </c>
      <c r="F440" s="3" t="str">
        <f ca="1">IFERROR(__xludf.DUMMYFUNCTION("""COMPUTED_VALUE"""),"19960321 202521 1 035")</f>
        <v>19960321 202521 1 035</v>
      </c>
      <c r="G440" s="3"/>
      <c r="H440" s="3"/>
      <c r="I440" s="3" t="str">
        <f ca="1">IFERROR(__xludf.DUMMYFUNCTION("""COMPUTED_VALUE"""),"PPPK")</f>
        <v>PPPK</v>
      </c>
      <c r="J440" s="3" t="str">
        <f ca="1">IFERROR(__xludf.DUMMYFUNCTION("""COMPUTED_VALUE"""),"Pegawai PPPK")</f>
        <v>Pegawai PPPK</v>
      </c>
      <c r="K440" s="5" t="str">
        <f ca="1">IFERROR(__xludf.DUMMYFUNCTION("""COMPUTED_VALUE"""),"L")</f>
        <v>L</v>
      </c>
      <c r="L440" s="3" t="str">
        <f ca="1">IFERROR(__xludf.DUMMYFUNCTION("""COMPUTED_VALUE"""),"Banyumas")</f>
        <v>Banyumas</v>
      </c>
      <c r="M440" s="11">
        <f ca="1">IFERROR(__xludf.DUMMYFUNCTION("""COMPUTED_VALUE"""),35145)</f>
        <v>35145</v>
      </c>
      <c r="N440" s="3"/>
      <c r="O440" s="3" t="str">
        <f ca="1">IFERROR(__xludf.DUMMYFUNCTION("""COMPUTED_VALUE"""),"V")</f>
        <v>V</v>
      </c>
      <c r="P440" s="11">
        <f ca="1">IFERROR(__xludf.DUMMYFUNCTION("""COMPUTED_VALUE"""),45931)</f>
        <v>45931</v>
      </c>
      <c r="Q440" s="3" t="str">
        <f ca="1">IFERROR(__xludf.DUMMYFUNCTION("""COMPUTED_VALUE"""),"SK.P2-002305/B.II/KP.00.3/09/2025")</f>
        <v>SK.P2-002305/B.II/KP.00.3/09/2025</v>
      </c>
      <c r="R440" s="3" t="str">
        <f ca="1">IFERROR(__xludf.DUMMYFUNCTION("""COMPUTED_VALUE"""),"‌Pengadministrasi Perkantoran")</f>
        <v>‌Pengadministrasi Perkantoran</v>
      </c>
      <c r="S440" s="3" t="str">
        <f ca="1">IFERROR(__xludf.DUMMYFUNCTION("""COMPUTED_VALUE"""),"Pelaksana")</f>
        <v>Pelaksana</v>
      </c>
      <c r="T440" s="11">
        <f ca="1">IFERROR(__xludf.DUMMYFUNCTION("""COMPUTED_VALUE"""),45931)</f>
        <v>45931</v>
      </c>
      <c r="U440" s="3"/>
      <c r="V440" s="7">
        <f ca="1">IFERROR(__xludf.DUMMYFUNCTION("""COMPUTED_VALUE"""),45922)</f>
        <v>45922</v>
      </c>
      <c r="W440" s="3">
        <f ca="1">IFERROR(__xludf.DUMMYFUNCTION("""COMPUTED_VALUE"""),5)</f>
        <v>5</v>
      </c>
      <c r="X440" s="3"/>
      <c r="Y440" s="3" t="str">
        <f ca="1">IFERROR(__xludf.DUMMYFUNCTION("""COMPUTED_VALUE"""),"SMK")</f>
        <v>SMK</v>
      </c>
      <c r="Z440" s="3" t="str">
        <f ca="1">IFERROR(__xludf.DUMMYFUNCTION("""COMPUTED_VALUE"""),"0 Tahun 3 Bulan 5 Hari")</f>
        <v>0 Tahun 3 Bulan 5 Hari</v>
      </c>
      <c r="AA440" s="8">
        <f ca="1">IFERROR(__xludf.DUMMYFUNCTION("""COMPUTED_VALUE"""),56340)</f>
        <v>56340</v>
      </c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4"/>
      <c r="AR440" s="3"/>
      <c r="AS440" s="4"/>
      <c r="AT440" s="3"/>
      <c r="AU440" s="3"/>
    </row>
    <row r="441" spans="1:47" x14ac:dyDescent="0.2">
      <c r="A441" s="12">
        <v>440</v>
      </c>
      <c r="B441" s="3" t="str">
        <f ca="1">IFERROR(__xludf.DUMMYFUNCTION("""COMPUTED_VALUE"""),"Rokhman")</f>
        <v>Rokhman</v>
      </c>
      <c r="C441" s="3" t="str">
        <f ca="1">IFERROR(__xludf.DUMMYFUNCTION("""COMPUTED_VALUE"""),"Rokhman")</f>
        <v>Rokhman</v>
      </c>
      <c r="D441" s="3" t="str">
        <f ca="1">IFERROR(__xludf.DUMMYFUNCTION("""COMPUTED_VALUE"""),"Rokhman")</f>
        <v>Rokhman</v>
      </c>
      <c r="E441" s="3" t="str">
        <f ca="1">IFERROR(__xludf.DUMMYFUNCTION("""COMPUTED_VALUE"""),"199703032025211047")</f>
        <v>199703032025211047</v>
      </c>
      <c r="F441" s="3" t="str">
        <f ca="1">IFERROR(__xludf.DUMMYFUNCTION("""COMPUTED_VALUE"""),"19970303 202521 1 047")</f>
        <v>19970303 202521 1 047</v>
      </c>
      <c r="G441" s="3"/>
      <c r="H441" s="3"/>
      <c r="I441" s="3" t="str">
        <f ca="1">IFERROR(__xludf.DUMMYFUNCTION("""COMPUTED_VALUE"""),"PPPK")</f>
        <v>PPPK</v>
      </c>
      <c r="J441" s="3" t="str">
        <f ca="1">IFERROR(__xludf.DUMMYFUNCTION("""COMPUTED_VALUE"""),"Pegawai PPPK")</f>
        <v>Pegawai PPPK</v>
      </c>
      <c r="K441" s="5" t="str">
        <f ca="1">IFERROR(__xludf.DUMMYFUNCTION("""COMPUTED_VALUE"""),"L")</f>
        <v>L</v>
      </c>
      <c r="L441" s="3" t="str">
        <f ca="1">IFERROR(__xludf.DUMMYFUNCTION("""COMPUTED_VALUE"""),"Banyumas")</f>
        <v>Banyumas</v>
      </c>
      <c r="M441" s="11">
        <f ca="1">IFERROR(__xludf.DUMMYFUNCTION("""COMPUTED_VALUE"""),35492)</f>
        <v>35492</v>
      </c>
      <c r="N441" s="3"/>
      <c r="O441" s="3" t="str">
        <f ca="1">IFERROR(__xludf.DUMMYFUNCTION("""COMPUTED_VALUE"""),"V")</f>
        <v>V</v>
      </c>
      <c r="P441" s="11">
        <f ca="1">IFERROR(__xludf.DUMMYFUNCTION("""COMPUTED_VALUE"""),45931)</f>
        <v>45931</v>
      </c>
      <c r="Q441" s="3" t="str">
        <f ca="1">IFERROR(__xludf.DUMMYFUNCTION("""COMPUTED_VALUE"""),"SK.P2-002296/B.II/KP.00.3/09/2025")</f>
        <v>SK.P2-002296/B.II/KP.00.3/09/2025</v>
      </c>
      <c r="R441" s="3" t="str">
        <f ca="1">IFERROR(__xludf.DUMMYFUNCTION("""COMPUTED_VALUE"""),"‌Operator Layanan Operasional")</f>
        <v>‌Operator Layanan Operasional</v>
      </c>
      <c r="S441" s="3" t="str">
        <f ca="1">IFERROR(__xludf.DUMMYFUNCTION("""COMPUTED_VALUE"""),"Pelaksana")</f>
        <v>Pelaksana</v>
      </c>
      <c r="T441" s="11">
        <f ca="1">IFERROR(__xludf.DUMMYFUNCTION("""COMPUTED_VALUE"""),45931)</f>
        <v>45931</v>
      </c>
      <c r="U441" s="3"/>
      <c r="V441" s="7">
        <f ca="1">IFERROR(__xludf.DUMMYFUNCTION("""COMPUTED_VALUE"""),45922)</f>
        <v>45922</v>
      </c>
      <c r="W441" s="3">
        <f ca="1">IFERROR(__xludf.DUMMYFUNCTION("""COMPUTED_VALUE"""),5)</f>
        <v>5</v>
      </c>
      <c r="X441" s="3"/>
      <c r="Y441" s="3" t="str">
        <f ca="1">IFERROR(__xludf.DUMMYFUNCTION("""COMPUTED_VALUE"""),"SMK")</f>
        <v>SMK</v>
      </c>
      <c r="Z441" s="3" t="str">
        <f ca="1">IFERROR(__xludf.DUMMYFUNCTION("""COMPUTED_VALUE"""),"0 Tahun 3 Bulan 5 Hari")</f>
        <v>0 Tahun 3 Bulan 5 Hari</v>
      </c>
      <c r="AA441" s="8">
        <f ca="1">IFERROR(__xludf.DUMMYFUNCTION("""COMPUTED_VALUE"""),56705)</f>
        <v>56705</v>
      </c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4"/>
      <c r="AR441" s="3"/>
      <c r="AS441" s="4"/>
      <c r="AT441" s="3"/>
      <c r="AU441" s="3"/>
    </row>
    <row r="442" spans="1:47" x14ac:dyDescent="0.2">
      <c r="A442" s="12">
        <v>441</v>
      </c>
      <c r="B442" s="3" t="str">
        <f ca="1">IFERROR(__xludf.DUMMYFUNCTION("""COMPUTED_VALUE"""),"Runy Adi Pramono")</f>
        <v>Runy Adi Pramono</v>
      </c>
      <c r="C442" s="3" t="str">
        <f ca="1">IFERROR(__xludf.DUMMYFUNCTION("""COMPUTED_VALUE"""),"Runy Adi Pramono")</f>
        <v>Runy Adi Pramono</v>
      </c>
      <c r="D442" s="3" t="str">
        <f ca="1">IFERROR(__xludf.DUMMYFUNCTION("""COMPUTED_VALUE"""),"Runy Adi Pramono")</f>
        <v>Runy Adi Pramono</v>
      </c>
      <c r="E442" s="3" t="str">
        <f ca="1">IFERROR(__xludf.DUMMYFUNCTION("""COMPUTED_VALUE"""),"198909042025211047")</f>
        <v>198909042025211047</v>
      </c>
      <c r="F442" s="3" t="str">
        <f ca="1">IFERROR(__xludf.DUMMYFUNCTION("""COMPUTED_VALUE"""),"19890904 202521 1 047")</f>
        <v>19890904 202521 1 047</v>
      </c>
      <c r="G442" s="3"/>
      <c r="H442" s="3"/>
      <c r="I442" s="3" t="str">
        <f ca="1">IFERROR(__xludf.DUMMYFUNCTION("""COMPUTED_VALUE"""),"PPPK")</f>
        <v>PPPK</v>
      </c>
      <c r="J442" s="3" t="str">
        <f ca="1">IFERROR(__xludf.DUMMYFUNCTION("""COMPUTED_VALUE"""),"Pegawai PPPK")</f>
        <v>Pegawai PPPK</v>
      </c>
      <c r="K442" s="5" t="str">
        <f ca="1">IFERROR(__xludf.DUMMYFUNCTION("""COMPUTED_VALUE"""),"L")</f>
        <v>L</v>
      </c>
      <c r="L442" s="3" t="str">
        <f ca="1">IFERROR(__xludf.DUMMYFUNCTION("""COMPUTED_VALUE"""),"Banyumas")</f>
        <v>Banyumas</v>
      </c>
      <c r="M442" s="11">
        <f ca="1">IFERROR(__xludf.DUMMYFUNCTION("""COMPUTED_VALUE"""),32755)</f>
        <v>32755</v>
      </c>
      <c r="N442" s="3"/>
      <c r="O442" s="3" t="str">
        <f ca="1">IFERROR(__xludf.DUMMYFUNCTION("""COMPUTED_VALUE"""),"V")</f>
        <v>V</v>
      </c>
      <c r="P442" s="11">
        <f ca="1">IFERROR(__xludf.DUMMYFUNCTION("""COMPUTED_VALUE"""),45931)</f>
        <v>45931</v>
      </c>
      <c r="Q442" s="3" t="str">
        <f ca="1">IFERROR(__xludf.DUMMYFUNCTION("""COMPUTED_VALUE"""),"SK.P2-002306/B.II/KP.00.3/09/2025")</f>
        <v>SK.P2-002306/B.II/KP.00.3/09/2025</v>
      </c>
      <c r="R442" s="3" t="str">
        <f ca="1">IFERROR(__xludf.DUMMYFUNCTION("""COMPUTED_VALUE"""),"‌Pengadministrasi Perkantoran")</f>
        <v>‌Pengadministrasi Perkantoran</v>
      </c>
      <c r="S442" s="3" t="str">
        <f ca="1">IFERROR(__xludf.DUMMYFUNCTION("""COMPUTED_VALUE"""),"Pelaksana")</f>
        <v>Pelaksana</v>
      </c>
      <c r="T442" s="11">
        <f ca="1">IFERROR(__xludf.DUMMYFUNCTION("""COMPUTED_VALUE"""),45931)</f>
        <v>45931</v>
      </c>
      <c r="U442" s="3"/>
      <c r="V442" s="7">
        <f ca="1">IFERROR(__xludf.DUMMYFUNCTION("""COMPUTED_VALUE"""),45922)</f>
        <v>45922</v>
      </c>
      <c r="W442" s="3">
        <f ca="1">IFERROR(__xludf.DUMMYFUNCTION("""COMPUTED_VALUE"""),5)</f>
        <v>5</v>
      </c>
      <c r="X442" s="3"/>
      <c r="Y442" s="3" t="str">
        <f ca="1">IFERROR(__xludf.DUMMYFUNCTION("""COMPUTED_VALUE"""),"SMK")</f>
        <v>SMK</v>
      </c>
      <c r="Z442" s="3" t="str">
        <f ca="1">IFERROR(__xludf.DUMMYFUNCTION("""COMPUTED_VALUE"""),"0 Tahun 3 Bulan 5 Hari")</f>
        <v>0 Tahun 3 Bulan 5 Hari</v>
      </c>
      <c r="AA442" s="8">
        <f ca="1">IFERROR(__xludf.DUMMYFUNCTION("""COMPUTED_VALUE"""),53966)</f>
        <v>53966</v>
      </c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4"/>
      <c r="AR442" s="3"/>
      <c r="AS442" s="4"/>
      <c r="AT442" s="3"/>
      <c r="AU442" s="3"/>
    </row>
    <row r="443" spans="1:47" x14ac:dyDescent="0.2">
      <c r="A443" s="12">
        <v>442</v>
      </c>
      <c r="B443" s="3" t="str">
        <f ca="1">IFERROR(__xludf.DUMMYFUNCTION("""COMPUTED_VALUE"""),"Setyawan")</f>
        <v>Setyawan</v>
      </c>
      <c r="C443" s="3" t="str">
        <f ca="1">IFERROR(__xludf.DUMMYFUNCTION("""COMPUTED_VALUE"""),"Setyawan")</f>
        <v>Setyawan</v>
      </c>
      <c r="D443" s="3" t="str">
        <f ca="1">IFERROR(__xludf.DUMMYFUNCTION("""COMPUTED_VALUE"""),"Setyawan")</f>
        <v>Setyawan</v>
      </c>
      <c r="E443" s="3" t="str">
        <f ca="1">IFERROR(__xludf.DUMMYFUNCTION("""COMPUTED_VALUE"""),"198704142025211065")</f>
        <v>198704142025211065</v>
      </c>
      <c r="F443" s="3" t="str">
        <f ca="1">IFERROR(__xludf.DUMMYFUNCTION("""COMPUTED_VALUE"""),"19870414 202521 1 065")</f>
        <v>19870414 202521 1 065</v>
      </c>
      <c r="G443" s="3"/>
      <c r="H443" s="3"/>
      <c r="I443" s="3" t="str">
        <f ca="1">IFERROR(__xludf.DUMMYFUNCTION("""COMPUTED_VALUE"""),"PPPK")</f>
        <v>PPPK</v>
      </c>
      <c r="J443" s="3" t="str">
        <f ca="1">IFERROR(__xludf.DUMMYFUNCTION("""COMPUTED_VALUE"""),"Pegawai PPPK")</f>
        <v>Pegawai PPPK</v>
      </c>
      <c r="K443" s="5" t="str">
        <f ca="1">IFERROR(__xludf.DUMMYFUNCTION("""COMPUTED_VALUE"""),"L")</f>
        <v>L</v>
      </c>
      <c r="L443" s="3" t="str">
        <f ca="1">IFERROR(__xludf.DUMMYFUNCTION("""COMPUTED_VALUE"""),"Purbalingga")</f>
        <v>Purbalingga</v>
      </c>
      <c r="M443" s="11">
        <f ca="1">IFERROR(__xludf.DUMMYFUNCTION("""COMPUTED_VALUE"""),31881)</f>
        <v>31881</v>
      </c>
      <c r="N443" s="3"/>
      <c r="O443" s="3" t="str">
        <f ca="1">IFERROR(__xludf.DUMMYFUNCTION("""COMPUTED_VALUE"""),"V")</f>
        <v>V</v>
      </c>
      <c r="P443" s="11">
        <f ca="1">IFERROR(__xludf.DUMMYFUNCTION("""COMPUTED_VALUE"""),45931)</f>
        <v>45931</v>
      </c>
      <c r="Q443" s="3" t="str">
        <f ca="1">IFERROR(__xludf.DUMMYFUNCTION("""COMPUTED_VALUE"""),"SK.P2-002297/B.II/KP.00.3/09/2025")</f>
        <v>SK.P2-002297/B.II/KP.00.3/09/2025</v>
      </c>
      <c r="R443" s="3" t="str">
        <f ca="1">IFERROR(__xludf.DUMMYFUNCTION("""COMPUTED_VALUE"""),"‌Operator Layanan Operasional")</f>
        <v>‌Operator Layanan Operasional</v>
      </c>
      <c r="S443" s="3" t="str">
        <f ca="1">IFERROR(__xludf.DUMMYFUNCTION("""COMPUTED_VALUE"""),"Pelaksana")</f>
        <v>Pelaksana</v>
      </c>
      <c r="T443" s="11">
        <f ca="1">IFERROR(__xludf.DUMMYFUNCTION("""COMPUTED_VALUE"""),45931)</f>
        <v>45931</v>
      </c>
      <c r="U443" s="3"/>
      <c r="V443" s="7">
        <f ca="1">IFERROR(__xludf.DUMMYFUNCTION("""COMPUTED_VALUE"""),45922)</f>
        <v>45922</v>
      </c>
      <c r="W443" s="3">
        <f ca="1">IFERROR(__xludf.DUMMYFUNCTION("""COMPUTED_VALUE"""),5)</f>
        <v>5</v>
      </c>
      <c r="X443" s="3"/>
      <c r="Y443" s="3" t="str">
        <f ca="1">IFERROR(__xludf.DUMMYFUNCTION("""COMPUTED_VALUE"""),"SMK")</f>
        <v>SMK</v>
      </c>
      <c r="Z443" s="3" t="str">
        <f ca="1">IFERROR(__xludf.DUMMYFUNCTION("""COMPUTED_VALUE"""),"0 Tahun 3 Bulan 5 Hari")</f>
        <v>0 Tahun 3 Bulan 5 Hari</v>
      </c>
      <c r="AA443" s="8">
        <f ca="1">IFERROR(__xludf.DUMMYFUNCTION("""COMPUTED_VALUE"""),53083)</f>
        <v>53083</v>
      </c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4"/>
      <c r="AR443" s="3"/>
      <c r="AS443" s="4"/>
      <c r="AT443" s="3"/>
      <c r="AU443" s="3"/>
    </row>
    <row r="444" spans="1:47" x14ac:dyDescent="0.2">
      <c r="A444" s="12">
        <v>443</v>
      </c>
      <c r="B444" s="3" t="str">
        <f ca="1">IFERROR(__xludf.DUMMYFUNCTION("""COMPUTED_VALUE"""),"Sugeng Junianto")</f>
        <v>Sugeng Junianto</v>
      </c>
      <c r="C444" s="3" t="str">
        <f ca="1">IFERROR(__xludf.DUMMYFUNCTION("""COMPUTED_VALUE"""),"Sugeng Junianto")</f>
        <v>Sugeng Junianto</v>
      </c>
      <c r="D444" s="3" t="str">
        <f ca="1">IFERROR(__xludf.DUMMYFUNCTION("""COMPUTED_VALUE"""),"Sugeng Junianto")</f>
        <v>Sugeng Junianto</v>
      </c>
      <c r="E444" s="3" t="str">
        <f ca="1">IFERROR(__xludf.DUMMYFUNCTION("""COMPUTED_VALUE"""),"199906292025211018")</f>
        <v>199906292025211018</v>
      </c>
      <c r="F444" s="3" t="str">
        <f ca="1">IFERROR(__xludf.DUMMYFUNCTION("""COMPUTED_VALUE"""),"19990629 202521 1 018")</f>
        <v>19990629 202521 1 018</v>
      </c>
      <c r="G444" s="3"/>
      <c r="H444" s="3"/>
      <c r="I444" s="3" t="str">
        <f ca="1">IFERROR(__xludf.DUMMYFUNCTION("""COMPUTED_VALUE"""),"PPPK")</f>
        <v>PPPK</v>
      </c>
      <c r="J444" s="3" t="str">
        <f ca="1">IFERROR(__xludf.DUMMYFUNCTION("""COMPUTED_VALUE"""),"Pegawai PPPK")</f>
        <v>Pegawai PPPK</v>
      </c>
      <c r="K444" s="5" t="str">
        <f ca="1">IFERROR(__xludf.DUMMYFUNCTION("""COMPUTED_VALUE"""),"L")</f>
        <v>L</v>
      </c>
      <c r="L444" s="3" t="str">
        <f ca="1">IFERROR(__xludf.DUMMYFUNCTION("""COMPUTED_VALUE"""),"Cilacap")</f>
        <v>Cilacap</v>
      </c>
      <c r="M444" s="11">
        <f ca="1">IFERROR(__xludf.DUMMYFUNCTION("""COMPUTED_VALUE"""),36340)</f>
        <v>36340</v>
      </c>
      <c r="N444" s="3"/>
      <c r="O444" s="3" t="str">
        <f ca="1">IFERROR(__xludf.DUMMYFUNCTION("""COMPUTED_VALUE"""),"V")</f>
        <v>V</v>
      </c>
      <c r="P444" s="11">
        <f ca="1">IFERROR(__xludf.DUMMYFUNCTION("""COMPUTED_VALUE"""),45931)</f>
        <v>45931</v>
      </c>
      <c r="Q444" s="3" t="str">
        <f ca="1">IFERROR(__xludf.DUMMYFUNCTION("""COMPUTED_VALUE"""),"SK.P2-002298/B.II/KP.00.3/09/2025")</f>
        <v>SK.P2-002298/B.II/KP.00.3/09/2025</v>
      </c>
      <c r="R444" s="3" t="str">
        <f ca="1">IFERROR(__xludf.DUMMYFUNCTION("""COMPUTED_VALUE"""),"‌Operator Layanan Operasional")</f>
        <v>‌Operator Layanan Operasional</v>
      </c>
      <c r="S444" s="3" t="str">
        <f ca="1">IFERROR(__xludf.DUMMYFUNCTION("""COMPUTED_VALUE"""),"Pelaksana")</f>
        <v>Pelaksana</v>
      </c>
      <c r="T444" s="11">
        <f ca="1">IFERROR(__xludf.DUMMYFUNCTION("""COMPUTED_VALUE"""),45931)</f>
        <v>45931</v>
      </c>
      <c r="U444" s="3"/>
      <c r="V444" s="7">
        <f ca="1">IFERROR(__xludf.DUMMYFUNCTION("""COMPUTED_VALUE"""),45922)</f>
        <v>45922</v>
      </c>
      <c r="W444" s="3">
        <f ca="1">IFERROR(__xludf.DUMMYFUNCTION("""COMPUTED_VALUE"""),5)</f>
        <v>5</v>
      </c>
      <c r="X444" s="3"/>
      <c r="Y444" s="3" t="str">
        <f ca="1">IFERROR(__xludf.DUMMYFUNCTION("""COMPUTED_VALUE"""),"SMK")</f>
        <v>SMK</v>
      </c>
      <c r="Z444" s="3" t="str">
        <f ca="1">IFERROR(__xludf.DUMMYFUNCTION("""COMPUTED_VALUE"""),"0 Tahun 3 Bulan 5 Hari")</f>
        <v>0 Tahun 3 Bulan 5 Hari</v>
      </c>
      <c r="AA444" s="8">
        <f ca="1">IFERROR(__xludf.DUMMYFUNCTION("""COMPUTED_VALUE"""),57527)</f>
        <v>57527</v>
      </c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4"/>
      <c r="AR444" s="3"/>
      <c r="AS444" s="4"/>
      <c r="AT444" s="3"/>
      <c r="AU444" s="3"/>
    </row>
    <row r="445" spans="1:47" x14ac:dyDescent="0.2">
      <c r="A445" s="12">
        <v>444</v>
      </c>
      <c r="B445" s="3" t="str">
        <f ca="1">IFERROR(__xludf.DUMMYFUNCTION("""COMPUTED_VALUE"""),"Sugeng Rachmanto")</f>
        <v>Sugeng Rachmanto</v>
      </c>
      <c r="C445" s="3" t="str">
        <f ca="1">IFERROR(__xludf.DUMMYFUNCTION("""COMPUTED_VALUE"""),"Sugeng Rachmanto")</f>
        <v>Sugeng Rachmanto</v>
      </c>
      <c r="D445" s="3" t="str">
        <f ca="1">IFERROR(__xludf.DUMMYFUNCTION("""COMPUTED_VALUE"""),"Sugeng Rachmanto")</f>
        <v>Sugeng Rachmanto</v>
      </c>
      <c r="E445" s="3" t="str">
        <f ca="1">IFERROR(__xludf.DUMMYFUNCTION("""COMPUTED_VALUE"""),"197805312025211020")</f>
        <v>197805312025211020</v>
      </c>
      <c r="F445" s="3" t="str">
        <f ca="1">IFERROR(__xludf.DUMMYFUNCTION("""COMPUTED_VALUE"""),"19780531 202521 1 020")</f>
        <v>19780531 202521 1 020</v>
      </c>
      <c r="G445" s="3"/>
      <c r="H445" s="3"/>
      <c r="I445" s="3" t="str">
        <f ca="1">IFERROR(__xludf.DUMMYFUNCTION("""COMPUTED_VALUE"""),"PPPK")</f>
        <v>PPPK</v>
      </c>
      <c r="J445" s="3" t="str">
        <f ca="1">IFERROR(__xludf.DUMMYFUNCTION("""COMPUTED_VALUE"""),"Pegawai PPPK")</f>
        <v>Pegawai PPPK</v>
      </c>
      <c r="K445" s="5" t="str">
        <f ca="1">IFERROR(__xludf.DUMMYFUNCTION("""COMPUTED_VALUE"""),"L")</f>
        <v>L</v>
      </c>
      <c r="L445" s="3" t="str">
        <f ca="1">IFERROR(__xludf.DUMMYFUNCTION("""COMPUTED_VALUE"""),"Banyumas")</f>
        <v>Banyumas</v>
      </c>
      <c r="M445" s="11">
        <f ca="1">IFERROR(__xludf.DUMMYFUNCTION("""COMPUTED_VALUE"""),28641)</f>
        <v>28641</v>
      </c>
      <c r="N445" s="3"/>
      <c r="O445" s="3" t="str">
        <f ca="1">IFERROR(__xludf.DUMMYFUNCTION("""COMPUTED_VALUE"""),"V")</f>
        <v>V</v>
      </c>
      <c r="P445" s="11">
        <f ca="1">IFERROR(__xludf.DUMMYFUNCTION("""COMPUTED_VALUE"""),45931)</f>
        <v>45931</v>
      </c>
      <c r="Q445" s="3" t="str">
        <f ca="1">IFERROR(__xludf.DUMMYFUNCTION("""COMPUTED_VALUE"""),"SK.P2-002299/B.II/KP.00.3/09/2025")</f>
        <v>SK.P2-002299/B.II/KP.00.3/09/2025</v>
      </c>
      <c r="R445" s="3" t="str">
        <f ca="1">IFERROR(__xludf.DUMMYFUNCTION("""COMPUTED_VALUE"""),"‌Operator Layanan Operasional")</f>
        <v>‌Operator Layanan Operasional</v>
      </c>
      <c r="S445" s="3" t="str">
        <f ca="1">IFERROR(__xludf.DUMMYFUNCTION("""COMPUTED_VALUE"""),"Pelaksana")</f>
        <v>Pelaksana</v>
      </c>
      <c r="T445" s="11">
        <f ca="1">IFERROR(__xludf.DUMMYFUNCTION("""COMPUTED_VALUE"""),45931)</f>
        <v>45931</v>
      </c>
      <c r="U445" s="3"/>
      <c r="V445" s="7">
        <f ca="1">IFERROR(__xludf.DUMMYFUNCTION("""COMPUTED_VALUE"""),45922)</f>
        <v>45922</v>
      </c>
      <c r="W445" s="3">
        <f ca="1">IFERROR(__xludf.DUMMYFUNCTION("""COMPUTED_VALUE"""),5)</f>
        <v>5</v>
      </c>
      <c r="X445" s="3"/>
      <c r="Y445" s="3" t="str">
        <f ca="1">IFERROR(__xludf.DUMMYFUNCTION("""COMPUTED_VALUE"""),"SMK")</f>
        <v>SMK</v>
      </c>
      <c r="Z445" s="3" t="str">
        <f ca="1">IFERROR(__xludf.DUMMYFUNCTION("""COMPUTED_VALUE"""),"0 Tahun 3 Bulan 5 Hari")</f>
        <v>0 Tahun 3 Bulan 5 Hari</v>
      </c>
      <c r="AA445" s="8">
        <f ca="1">IFERROR(__xludf.DUMMYFUNCTION("""COMPUTED_VALUE"""),49827)</f>
        <v>49827</v>
      </c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4"/>
      <c r="AR445" s="3"/>
      <c r="AS445" s="4"/>
      <c r="AT445" s="3"/>
      <c r="AU445" s="3"/>
    </row>
    <row r="446" spans="1:47" x14ac:dyDescent="0.2">
      <c r="A446" s="12">
        <v>445</v>
      </c>
      <c r="B446" s="3" t="str">
        <f ca="1">IFERROR(__xludf.DUMMYFUNCTION("""COMPUTED_VALUE"""),"Sulisno")</f>
        <v>Sulisno</v>
      </c>
      <c r="C446" s="3" t="str">
        <f ca="1">IFERROR(__xludf.DUMMYFUNCTION("""COMPUTED_VALUE"""),"Sulisno")</f>
        <v>Sulisno</v>
      </c>
      <c r="D446" s="3" t="str">
        <f ca="1">IFERROR(__xludf.DUMMYFUNCTION("""COMPUTED_VALUE"""),"Sulisno")</f>
        <v>Sulisno</v>
      </c>
      <c r="E446" s="3" t="str">
        <f ca="1">IFERROR(__xludf.DUMMYFUNCTION("""COMPUTED_VALUE"""),"197410202025211023")</f>
        <v>197410202025211023</v>
      </c>
      <c r="F446" s="3" t="str">
        <f ca="1">IFERROR(__xludf.DUMMYFUNCTION("""COMPUTED_VALUE"""),"19741020 202521 1 023")</f>
        <v>19741020 202521 1 023</v>
      </c>
      <c r="G446" s="3"/>
      <c r="H446" s="3"/>
      <c r="I446" s="3" t="str">
        <f ca="1">IFERROR(__xludf.DUMMYFUNCTION("""COMPUTED_VALUE"""),"PPPK")</f>
        <v>PPPK</v>
      </c>
      <c r="J446" s="3" t="str">
        <f ca="1">IFERROR(__xludf.DUMMYFUNCTION("""COMPUTED_VALUE"""),"Pegawai PPPK")</f>
        <v>Pegawai PPPK</v>
      </c>
      <c r="K446" s="5" t="str">
        <f ca="1">IFERROR(__xludf.DUMMYFUNCTION("""COMPUTED_VALUE"""),"L")</f>
        <v>L</v>
      </c>
      <c r="L446" s="3" t="str">
        <f ca="1">IFERROR(__xludf.DUMMYFUNCTION("""COMPUTED_VALUE"""),"Banyumas")</f>
        <v>Banyumas</v>
      </c>
      <c r="M446" s="11">
        <f ca="1">IFERROR(__xludf.DUMMYFUNCTION("""COMPUTED_VALUE"""),27322)</f>
        <v>27322</v>
      </c>
      <c r="N446" s="3"/>
      <c r="O446" s="3" t="str">
        <f ca="1">IFERROR(__xludf.DUMMYFUNCTION("""COMPUTED_VALUE"""),"I")</f>
        <v>I</v>
      </c>
      <c r="P446" s="11">
        <f ca="1">IFERROR(__xludf.DUMMYFUNCTION("""COMPUTED_VALUE"""),45931)</f>
        <v>45931</v>
      </c>
      <c r="Q446" s="3" t="str">
        <f ca="1">IFERROR(__xludf.DUMMYFUNCTION("""COMPUTED_VALUE"""),"SK.P2-002309/B.II/KP.00.3/09/2025")</f>
        <v>SK.P2-002309/B.II/KP.00.3/09/2025</v>
      </c>
      <c r="R446" s="3" t="str">
        <f ca="1">IFERROR(__xludf.DUMMYFUNCTION("""COMPUTED_VALUE"""),"‌Pengelola Umum Operasional")</f>
        <v>‌Pengelola Umum Operasional</v>
      </c>
      <c r="S446" s="3" t="str">
        <f ca="1">IFERROR(__xludf.DUMMYFUNCTION("""COMPUTED_VALUE"""),"Pelaksana")</f>
        <v>Pelaksana</v>
      </c>
      <c r="T446" s="11">
        <f ca="1">IFERROR(__xludf.DUMMYFUNCTION("""COMPUTED_VALUE"""),45931)</f>
        <v>45931</v>
      </c>
      <c r="U446" s="3"/>
      <c r="V446" s="7">
        <f ca="1">IFERROR(__xludf.DUMMYFUNCTION("""COMPUTED_VALUE"""),45922)</f>
        <v>45922</v>
      </c>
      <c r="W446" s="3">
        <f ca="1">IFERROR(__xludf.DUMMYFUNCTION("""COMPUTED_VALUE"""),3)</f>
        <v>3</v>
      </c>
      <c r="X446" s="3"/>
      <c r="Y446" s="3" t="str">
        <f ca="1">IFERROR(__xludf.DUMMYFUNCTION("""COMPUTED_VALUE"""),"SD")</f>
        <v>SD</v>
      </c>
      <c r="Z446" s="3" t="str">
        <f ca="1">IFERROR(__xludf.DUMMYFUNCTION("""COMPUTED_VALUE"""),"0 Tahun 3 Bulan 5 Hari")</f>
        <v>0 Tahun 3 Bulan 5 Hari</v>
      </c>
      <c r="AA446" s="8">
        <f ca="1">IFERROR(__xludf.DUMMYFUNCTION("""COMPUTED_VALUE"""),48519)</f>
        <v>48519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4"/>
      <c r="AR446" s="3"/>
      <c r="AS446" s="4"/>
      <c r="AT446" s="3"/>
      <c r="AU446" s="3"/>
    </row>
    <row r="447" spans="1:47" x14ac:dyDescent="0.2">
      <c r="A447" s="12">
        <v>446</v>
      </c>
      <c r="B447" s="3" t="str">
        <f ca="1">IFERROR(__xludf.DUMMYFUNCTION("""COMPUTED_VALUE"""),"Sulistiyono")</f>
        <v>Sulistiyono</v>
      </c>
      <c r="C447" s="3" t="str">
        <f ca="1">IFERROR(__xludf.DUMMYFUNCTION("""COMPUTED_VALUE"""),"Sulistiyono, S.H.")</f>
        <v>Sulistiyono, S.H.</v>
      </c>
      <c r="D447" s="3" t="str">
        <f ca="1">IFERROR(__xludf.DUMMYFUNCTION("""COMPUTED_VALUE"""),"Sulistiyono, S.H.")</f>
        <v>Sulistiyono, S.H.</v>
      </c>
      <c r="E447" s="3" t="str">
        <f ca="1">IFERROR(__xludf.DUMMYFUNCTION("""COMPUTED_VALUE"""),"197907312025211021")</f>
        <v>197907312025211021</v>
      </c>
      <c r="F447" s="3" t="str">
        <f ca="1">IFERROR(__xludf.DUMMYFUNCTION("""COMPUTED_VALUE"""),"19790731 202521 1 021")</f>
        <v>19790731 202521 1 021</v>
      </c>
      <c r="G447" s="3"/>
      <c r="H447" s="3"/>
      <c r="I447" s="3" t="str">
        <f ca="1">IFERROR(__xludf.DUMMYFUNCTION("""COMPUTED_VALUE"""),"PPPK")</f>
        <v>PPPK</v>
      </c>
      <c r="J447" s="3" t="str">
        <f ca="1">IFERROR(__xludf.DUMMYFUNCTION("""COMPUTED_VALUE"""),"Pegawai PPPK")</f>
        <v>Pegawai PPPK</v>
      </c>
      <c r="K447" s="5" t="str">
        <f ca="1">IFERROR(__xludf.DUMMYFUNCTION("""COMPUTED_VALUE"""),"L")</f>
        <v>L</v>
      </c>
      <c r="L447" s="3" t="str">
        <f ca="1">IFERROR(__xludf.DUMMYFUNCTION("""COMPUTED_VALUE"""),"Purwokerto")</f>
        <v>Purwokerto</v>
      </c>
      <c r="M447" s="11">
        <f ca="1">IFERROR(__xludf.DUMMYFUNCTION("""COMPUTED_VALUE"""),29067)</f>
        <v>29067</v>
      </c>
      <c r="N447" s="3"/>
      <c r="O447" s="3" t="str">
        <f ca="1">IFERROR(__xludf.DUMMYFUNCTION("""COMPUTED_VALUE"""),"IX")</f>
        <v>IX</v>
      </c>
      <c r="P447" s="11">
        <f ca="1">IFERROR(__xludf.DUMMYFUNCTION("""COMPUTED_VALUE"""),45931)</f>
        <v>45931</v>
      </c>
      <c r="Q447" s="3" t="str">
        <f ca="1">IFERROR(__xludf.DUMMYFUNCTION("""COMPUTED_VALUE"""),"SK.P2-002281/B.II/KP.00.3/09/2025")</f>
        <v>SK.P2-002281/B.II/KP.00.3/09/2025</v>
      </c>
      <c r="R447" s="3" t="str">
        <f ca="1">IFERROR(__xludf.DUMMYFUNCTION("""COMPUTED_VALUE"""),"‌Penata Layanan Operasional")</f>
        <v>‌Penata Layanan Operasional</v>
      </c>
      <c r="S447" s="3" t="str">
        <f ca="1">IFERROR(__xludf.DUMMYFUNCTION("""COMPUTED_VALUE"""),"Pelaksana")</f>
        <v>Pelaksana</v>
      </c>
      <c r="T447" s="11">
        <f ca="1">IFERROR(__xludf.DUMMYFUNCTION("""COMPUTED_VALUE"""),45931)</f>
        <v>45931</v>
      </c>
      <c r="U447" s="3"/>
      <c r="V447" s="7">
        <f ca="1">IFERROR(__xludf.DUMMYFUNCTION("""COMPUTED_VALUE"""),45922)</f>
        <v>45922</v>
      </c>
      <c r="W447" s="3">
        <f ca="1">IFERROR(__xludf.DUMMYFUNCTION("""COMPUTED_VALUE"""),7)</f>
        <v>7</v>
      </c>
      <c r="X447" s="3"/>
      <c r="Y447" s="3" t="str">
        <f ca="1">IFERROR(__xludf.DUMMYFUNCTION("""COMPUTED_VALUE"""),"S-1")</f>
        <v>S-1</v>
      </c>
      <c r="Z447" s="3" t="str">
        <f ca="1">IFERROR(__xludf.DUMMYFUNCTION("""COMPUTED_VALUE"""),"0 Tahun 3 Bulan 5 Hari")</f>
        <v>0 Tahun 3 Bulan 5 Hari</v>
      </c>
      <c r="AA447" s="8">
        <f ca="1">IFERROR(__xludf.DUMMYFUNCTION("""COMPUTED_VALUE"""),50253)</f>
        <v>50253</v>
      </c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4"/>
      <c r="AR447" s="3"/>
      <c r="AS447" s="4"/>
      <c r="AT447" s="3"/>
      <c r="AU447" s="3"/>
    </row>
    <row r="448" spans="1:47" x14ac:dyDescent="0.2">
      <c r="A448" s="12">
        <v>447</v>
      </c>
      <c r="B448" s="3" t="str">
        <f ca="1">IFERROR(__xludf.DUMMYFUNCTION("""COMPUTED_VALUE"""),"Sumarseno")</f>
        <v>Sumarseno</v>
      </c>
      <c r="C448" s="3" t="str">
        <f ca="1">IFERROR(__xludf.DUMMYFUNCTION("""COMPUTED_VALUE"""),"Sumarseno, S.E.")</f>
        <v>Sumarseno, S.E.</v>
      </c>
      <c r="D448" s="3" t="str">
        <f ca="1">IFERROR(__xludf.DUMMYFUNCTION("""COMPUTED_VALUE"""),"Sumarseno, S.E.")</f>
        <v>Sumarseno, S.E.</v>
      </c>
      <c r="E448" s="3" t="str">
        <f ca="1">IFERROR(__xludf.DUMMYFUNCTION("""COMPUTED_VALUE"""),"199203232025211050")</f>
        <v>199203232025211050</v>
      </c>
      <c r="F448" s="3" t="str">
        <f ca="1">IFERROR(__xludf.DUMMYFUNCTION("""COMPUTED_VALUE"""),"19920323 202521 1 050")</f>
        <v>19920323 202521 1 050</v>
      </c>
      <c r="G448" s="3"/>
      <c r="H448" s="3"/>
      <c r="I448" s="3" t="str">
        <f ca="1">IFERROR(__xludf.DUMMYFUNCTION("""COMPUTED_VALUE"""),"PPPK")</f>
        <v>PPPK</v>
      </c>
      <c r="J448" s="3" t="str">
        <f ca="1">IFERROR(__xludf.DUMMYFUNCTION("""COMPUTED_VALUE"""),"Pegawai PPPK")</f>
        <v>Pegawai PPPK</v>
      </c>
      <c r="K448" s="5" t="str">
        <f ca="1">IFERROR(__xludf.DUMMYFUNCTION("""COMPUTED_VALUE"""),"L")</f>
        <v>L</v>
      </c>
      <c r="L448" s="3" t="str">
        <f ca="1">IFERROR(__xludf.DUMMYFUNCTION("""COMPUTED_VALUE"""),"Banyumas")</f>
        <v>Banyumas</v>
      </c>
      <c r="M448" s="11">
        <f ca="1">IFERROR(__xludf.DUMMYFUNCTION("""COMPUTED_VALUE"""),33686)</f>
        <v>33686</v>
      </c>
      <c r="N448" s="3"/>
      <c r="O448" s="3" t="str">
        <f ca="1">IFERROR(__xludf.DUMMYFUNCTION("""COMPUTED_VALUE"""),"IX")</f>
        <v>IX</v>
      </c>
      <c r="P448" s="11">
        <f ca="1">IFERROR(__xludf.DUMMYFUNCTION("""COMPUTED_VALUE"""),45931)</f>
        <v>45931</v>
      </c>
      <c r="Q448" s="3" t="str">
        <f ca="1">IFERROR(__xludf.DUMMYFUNCTION("""COMPUTED_VALUE"""),"SK.P2-002282/B.II/KP.00.3/09/2025")</f>
        <v>SK.P2-002282/B.II/KP.00.3/09/2025</v>
      </c>
      <c r="R448" s="3" t="str">
        <f ca="1">IFERROR(__xludf.DUMMYFUNCTION("""COMPUTED_VALUE"""),"‌Penata Layanan Operasional")</f>
        <v>‌Penata Layanan Operasional</v>
      </c>
      <c r="S448" s="3" t="str">
        <f ca="1">IFERROR(__xludf.DUMMYFUNCTION("""COMPUTED_VALUE"""),"Pelaksana")</f>
        <v>Pelaksana</v>
      </c>
      <c r="T448" s="11">
        <f ca="1">IFERROR(__xludf.DUMMYFUNCTION("""COMPUTED_VALUE"""),45931)</f>
        <v>45931</v>
      </c>
      <c r="U448" s="3"/>
      <c r="V448" s="7">
        <f ca="1">IFERROR(__xludf.DUMMYFUNCTION("""COMPUTED_VALUE"""),45922)</f>
        <v>45922</v>
      </c>
      <c r="W448" s="3">
        <f ca="1">IFERROR(__xludf.DUMMYFUNCTION("""COMPUTED_VALUE"""),7)</f>
        <v>7</v>
      </c>
      <c r="X448" s="3"/>
      <c r="Y448" s="3" t="str">
        <f ca="1">IFERROR(__xludf.DUMMYFUNCTION("""COMPUTED_VALUE"""),"S-1")</f>
        <v>S-1</v>
      </c>
      <c r="Z448" s="3" t="str">
        <f ca="1">IFERROR(__xludf.DUMMYFUNCTION("""COMPUTED_VALUE"""),"0 Tahun 3 Bulan 5 Hari")</f>
        <v>0 Tahun 3 Bulan 5 Hari</v>
      </c>
      <c r="AA448" s="8">
        <f ca="1">IFERROR(__xludf.DUMMYFUNCTION("""COMPUTED_VALUE"""),54879)</f>
        <v>54879</v>
      </c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4"/>
      <c r="AR448" s="3"/>
      <c r="AS448" s="4"/>
      <c r="AT448" s="3"/>
      <c r="AU448" s="3"/>
    </row>
    <row r="449" spans="1:47" x14ac:dyDescent="0.2">
      <c r="A449" s="12">
        <v>448</v>
      </c>
      <c r="B449" s="3" t="str">
        <f ca="1">IFERROR(__xludf.DUMMYFUNCTION("""COMPUTED_VALUE"""),"Supriyanto")</f>
        <v>Supriyanto</v>
      </c>
      <c r="C449" s="3" t="str">
        <f ca="1">IFERROR(__xludf.DUMMYFUNCTION("""COMPUTED_VALUE"""),"Supriyanto")</f>
        <v>Supriyanto</v>
      </c>
      <c r="D449" s="3" t="str">
        <f ca="1">IFERROR(__xludf.DUMMYFUNCTION("""COMPUTED_VALUE"""),"Supriyanto")</f>
        <v>Supriyanto</v>
      </c>
      <c r="E449" s="3" t="str">
        <f ca="1">IFERROR(__xludf.DUMMYFUNCTION("""COMPUTED_VALUE"""),"197409292025211013")</f>
        <v>197409292025211013</v>
      </c>
      <c r="F449" s="3" t="str">
        <f ca="1">IFERROR(__xludf.DUMMYFUNCTION("""COMPUTED_VALUE"""),"19740929 202521 1 013")</f>
        <v>19740929 202521 1 013</v>
      </c>
      <c r="G449" s="3"/>
      <c r="H449" s="3"/>
      <c r="I449" s="3" t="str">
        <f ca="1">IFERROR(__xludf.DUMMYFUNCTION("""COMPUTED_VALUE"""),"PPPK")</f>
        <v>PPPK</v>
      </c>
      <c r="J449" s="3" t="str">
        <f ca="1">IFERROR(__xludf.DUMMYFUNCTION("""COMPUTED_VALUE"""),"Pegawai PPPK")</f>
        <v>Pegawai PPPK</v>
      </c>
      <c r="K449" s="5" t="str">
        <f ca="1">IFERROR(__xludf.DUMMYFUNCTION("""COMPUTED_VALUE"""),"L")</f>
        <v>L</v>
      </c>
      <c r="L449" s="3" t="str">
        <f ca="1">IFERROR(__xludf.DUMMYFUNCTION("""COMPUTED_VALUE"""),"Banyumas")</f>
        <v>Banyumas</v>
      </c>
      <c r="M449" s="11">
        <f ca="1">IFERROR(__xludf.DUMMYFUNCTION("""COMPUTED_VALUE"""),27301)</f>
        <v>27301</v>
      </c>
      <c r="N449" s="3"/>
      <c r="O449" s="3" t="str">
        <f ca="1">IFERROR(__xludf.DUMMYFUNCTION("""COMPUTED_VALUE"""),"III")</f>
        <v>III</v>
      </c>
      <c r="P449" s="11">
        <f ca="1">IFERROR(__xludf.DUMMYFUNCTION("""COMPUTED_VALUE"""),45931)</f>
        <v>45931</v>
      </c>
      <c r="Q449" s="3" t="str">
        <f ca="1">IFERROR(__xludf.DUMMYFUNCTION("""COMPUTED_VALUE"""),"SK.P2-002308/B.II/KP.00.3/09/2025")</f>
        <v>SK.P2-002308/B.II/KP.00.3/09/2025</v>
      </c>
      <c r="R449" s="3" t="str">
        <f ca="1">IFERROR(__xludf.DUMMYFUNCTION("""COMPUTED_VALUE"""),"‌Pengelola Umum Operasional")</f>
        <v>‌Pengelola Umum Operasional</v>
      </c>
      <c r="S449" s="3" t="str">
        <f ca="1">IFERROR(__xludf.DUMMYFUNCTION("""COMPUTED_VALUE"""),"Pelaksana")</f>
        <v>Pelaksana</v>
      </c>
      <c r="T449" s="11">
        <f ca="1">IFERROR(__xludf.DUMMYFUNCTION("""COMPUTED_VALUE"""),45931)</f>
        <v>45931</v>
      </c>
      <c r="U449" s="3"/>
      <c r="V449" s="7">
        <f ca="1">IFERROR(__xludf.DUMMYFUNCTION("""COMPUTED_VALUE"""),45922)</f>
        <v>45922</v>
      </c>
      <c r="W449" s="3">
        <f ca="1">IFERROR(__xludf.DUMMYFUNCTION("""COMPUTED_VALUE"""),3)</f>
        <v>3</v>
      </c>
      <c r="X449" s="3"/>
      <c r="Y449" s="3" t="str">
        <f ca="1">IFERROR(__xludf.DUMMYFUNCTION("""COMPUTED_VALUE"""),"SMP")</f>
        <v>SMP</v>
      </c>
      <c r="Z449" s="3" t="str">
        <f ca="1">IFERROR(__xludf.DUMMYFUNCTION("""COMPUTED_VALUE"""),"0 Tahun 3 Bulan 5 Hari")</f>
        <v>0 Tahun 3 Bulan 5 Hari</v>
      </c>
      <c r="AA449" s="8">
        <f ca="1">IFERROR(__xludf.DUMMYFUNCTION("""COMPUTED_VALUE"""),48488)</f>
        <v>48488</v>
      </c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4"/>
      <c r="AR449" s="3"/>
      <c r="AS449" s="4"/>
      <c r="AT449" s="3"/>
      <c r="AU449" s="3"/>
    </row>
    <row r="450" spans="1:47" x14ac:dyDescent="0.2">
      <c r="A450" s="12">
        <v>449</v>
      </c>
      <c r="B450" s="3" t="str">
        <f ca="1">IFERROR(__xludf.DUMMYFUNCTION("""COMPUTED_VALUE"""),"Taufik Sanjaya")</f>
        <v>Taufik Sanjaya</v>
      </c>
      <c r="C450" s="3" t="str">
        <f ca="1">IFERROR(__xludf.DUMMYFUNCTION("""COMPUTED_VALUE"""),"Taufik Sanjaya")</f>
        <v>Taufik Sanjaya</v>
      </c>
      <c r="D450" s="3" t="str">
        <f ca="1">IFERROR(__xludf.DUMMYFUNCTION("""COMPUTED_VALUE"""),"Taufik Sanjaya")</f>
        <v>Taufik Sanjaya</v>
      </c>
      <c r="E450" s="3" t="str">
        <f ca="1">IFERROR(__xludf.DUMMYFUNCTION("""COMPUTED_VALUE"""),"199412252025211051")</f>
        <v>199412252025211051</v>
      </c>
      <c r="F450" s="3" t="str">
        <f ca="1">IFERROR(__xludf.DUMMYFUNCTION("""COMPUTED_VALUE"""),"19941225 202521 1 051")</f>
        <v>19941225 202521 1 051</v>
      </c>
      <c r="G450" s="3"/>
      <c r="H450" s="3"/>
      <c r="I450" s="3" t="str">
        <f ca="1">IFERROR(__xludf.DUMMYFUNCTION("""COMPUTED_VALUE"""),"PPPK")</f>
        <v>PPPK</v>
      </c>
      <c r="J450" s="3" t="str">
        <f ca="1">IFERROR(__xludf.DUMMYFUNCTION("""COMPUTED_VALUE"""),"Pegawai PPPK")</f>
        <v>Pegawai PPPK</v>
      </c>
      <c r="K450" s="5" t="str">
        <f ca="1">IFERROR(__xludf.DUMMYFUNCTION("""COMPUTED_VALUE"""),"L")</f>
        <v>L</v>
      </c>
      <c r="L450" s="3" t="str">
        <f ca="1">IFERROR(__xludf.DUMMYFUNCTION("""COMPUTED_VALUE"""),"Banyumas")</f>
        <v>Banyumas</v>
      </c>
      <c r="M450" s="11">
        <f ca="1">IFERROR(__xludf.DUMMYFUNCTION("""COMPUTED_VALUE"""),34693)</f>
        <v>34693</v>
      </c>
      <c r="N450" s="3"/>
      <c r="O450" s="3" t="str">
        <f ca="1">IFERROR(__xludf.DUMMYFUNCTION("""COMPUTED_VALUE"""),"V")</f>
        <v>V</v>
      </c>
      <c r="P450" s="11">
        <f ca="1">IFERROR(__xludf.DUMMYFUNCTION("""COMPUTED_VALUE"""),45931)</f>
        <v>45931</v>
      </c>
      <c r="Q450" s="3" t="str">
        <f ca="1">IFERROR(__xludf.DUMMYFUNCTION("""COMPUTED_VALUE"""),"SK.P2-002307/B.II/KP.00.3/09/2025")</f>
        <v>SK.P2-002307/B.II/KP.00.3/09/2025</v>
      </c>
      <c r="R450" s="3" t="str">
        <f ca="1">IFERROR(__xludf.DUMMYFUNCTION("""COMPUTED_VALUE"""),"‌Pengadministrasi Perkantoran")</f>
        <v>‌Pengadministrasi Perkantoran</v>
      </c>
      <c r="S450" s="3" t="str">
        <f ca="1">IFERROR(__xludf.DUMMYFUNCTION("""COMPUTED_VALUE"""),"Pelaksana")</f>
        <v>Pelaksana</v>
      </c>
      <c r="T450" s="11">
        <f ca="1">IFERROR(__xludf.DUMMYFUNCTION("""COMPUTED_VALUE"""),45931)</f>
        <v>45931</v>
      </c>
      <c r="U450" s="3"/>
      <c r="V450" s="7">
        <f ca="1">IFERROR(__xludf.DUMMYFUNCTION("""COMPUTED_VALUE"""),45922)</f>
        <v>45922</v>
      </c>
      <c r="W450" s="3">
        <f ca="1">IFERROR(__xludf.DUMMYFUNCTION("""COMPUTED_VALUE"""),5)</f>
        <v>5</v>
      </c>
      <c r="X450" s="3"/>
      <c r="Y450" s="3" t="str">
        <f ca="1">IFERROR(__xludf.DUMMYFUNCTION("""COMPUTED_VALUE"""),"SMK")</f>
        <v>SMK</v>
      </c>
      <c r="Z450" s="3" t="str">
        <f ca="1">IFERROR(__xludf.DUMMYFUNCTION("""COMPUTED_VALUE"""),"0 Tahun 3 Bulan 5 Hari")</f>
        <v>0 Tahun 3 Bulan 5 Hari</v>
      </c>
      <c r="AA450" s="8">
        <f ca="1">IFERROR(__xludf.DUMMYFUNCTION("""COMPUTED_VALUE"""),55885)</f>
        <v>55885</v>
      </c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4"/>
      <c r="AR450" s="3"/>
      <c r="AS450" s="4"/>
      <c r="AT450" s="3"/>
      <c r="AU450" s="3"/>
    </row>
    <row r="451" spans="1:47" x14ac:dyDescent="0.2">
      <c r="A451" s="12">
        <v>450</v>
      </c>
      <c r="B451" s="3" t="str">
        <f ca="1">IFERROR(__xludf.DUMMYFUNCTION("""COMPUTED_VALUE"""),"Tofan Yustianto")</f>
        <v>Tofan Yustianto</v>
      </c>
      <c r="C451" s="3" t="str">
        <f ca="1">IFERROR(__xludf.DUMMYFUNCTION("""COMPUTED_VALUE"""),"Tofan Yustianto")</f>
        <v>Tofan Yustianto</v>
      </c>
      <c r="D451" s="3" t="str">
        <f ca="1">IFERROR(__xludf.DUMMYFUNCTION("""COMPUTED_VALUE"""),"Tofan Yustianto")</f>
        <v>Tofan Yustianto</v>
      </c>
      <c r="E451" s="3" t="str">
        <f ca="1">IFERROR(__xludf.DUMMYFUNCTION("""COMPUTED_VALUE"""),"197907182025211023")</f>
        <v>197907182025211023</v>
      </c>
      <c r="F451" s="3" t="str">
        <f ca="1">IFERROR(__xludf.DUMMYFUNCTION("""COMPUTED_VALUE"""),"19790718 202521 1 023")</f>
        <v>19790718 202521 1 023</v>
      </c>
      <c r="G451" s="3"/>
      <c r="H451" s="3"/>
      <c r="I451" s="3" t="str">
        <f ca="1">IFERROR(__xludf.DUMMYFUNCTION("""COMPUTED_VALUE"""),"PPPK")</f>
        <v>PPPK</v>
      </c>
      <c r="J451" s="3" t="str">
        <f ca="1">IFERROR(__xludf.DUMMYFUNCTION("""COMPUTED_VALUE"""),"Pegawai PPPK")</f>
        <v>Pegawai PPPK</v>
      </c>
      <c r="K451" s="5" t="str">
        <f ca="1">IFERROR(__xludf.DUMMYFUNCTION("""COMPUTED_VALUE"""),"L")</f>
        <v>L</v>
      </c>
      <c r="L451" s="3" t="str">
        <f ca="1">IFERROR(__xludf.DUMMYFUNCTION("""COMPUTED_VALUE"""),"Banyumas")</f>
        <v>Banyumas</v>
      </c>
      <c r="M451" s="11">
        <f ca="1">IFERROR(__xludf.DUMMYFUNCTION("""COMPUTED_VALUE"""),28689)</f>
        <v>28689</v>
      </c>
      <c r="N451" s="3"/>
      <c r="O451" s="3" t="str">
        <f ca="1">IFERROR(__xludf.DUMMYFUNCTION("""COMPUTED_VALUE"""),"V")</f>
        <v>V</v>
      </c>
      <c r="P451" s="11">
        <f ca="1">IFERROR(__xludf.DUMMYFUNCTION("""COMPUTED_VALUE"""),45931)</f>
        <v>45931</v>
      </c>
      <c r="Q451" s="3" t="str">
        <f ca="1">IFERROR(__xludf.DUMMYFUNCTION("""COMPUTED_VALUE"""),"SK.P2-002300/B.II/KP.00.3/09/2025")</f>
        <v>SK.P2-002300/B.II/KP.00.3/09/2025</v>
      </c>
      <c r="R451" s="3" t="str">
        <f ca="1">IFERROR(__xludf.DUMMYFUNCTION("""COMPUTED_VALUE"""),"‌Operator Layanan Operasional")</f>
        <v>‌Operator Layanan Operasional</v>
      </c>
      <c r="S451" s="3" t="str">
        <f ca="1">IFERROR(__xludf.DUMMYFUNCTION("""COMPUTED_VALUE"""),"Pelaksana")</f>
        <v>Pelaksana</v>
      </c>
      <c r="T451" s="11">
        <f ca="1">IFERROR(__xludf.DUMMYFUNCTION("""COMPUTED_VALUE"""),45931)</f>
        <v>45931</v>
      </c>
      <c r="U451" s="3"/>
      <c r="V451" s="7">
        <f ca="1">IFERROR(__xludf.DUMMYFUNCTION("""COMPUTED_VALUE"""),45922)</f>
        <v>45922</v>
      </c>
      <c r="W451" s="3">
        <f ca="1">IFERROR(__xludf.DUMMYFUNCTION("""COMPUTED_VALUE"""),5)</f>
        <v>5</v>
      </c>
      <c r="X451" s="3"/>
      <c r="Y451" s="3" t="str">
        <f ca="1">IFERROR(__xludf.DUMMYFUNCTION("""COMPUTED_VALUE"""),"SMA")</f>
        <v>SMA</v>
      </c>
      <c r="Z451" s="3" t="str">
        <f ca="1">IFERROR(__xludf.DUMMYFUNCTION("""COMPUTED_VALUE"""),"0 Tahun 3 Bulan 5 Hari")</f>
        <v>0 Tahun 3 Bulan 5 Hari</v>
      </c>
      <c r="AA451" s="8">
        <f ca="1">IFERROR(__xludf.DUMMYFUNCTION("""COMPUTED_VALUE"""),49888)</f>
        <v>49888</v>
      </c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4"/>
      <c r="AR451" s="3"/>
      <c r="AS451" s="4"/>
      <c r="AT451" s="3"/>
      <c r="AU451" s="3"/>
    </row>
    <row r="452" spans="1:47" x14ac:dyDescent="0.2">
      <c r="A452" s="12">
        <v>451</v>
      </c>
      <c r="B452" s="3" t="str">
        <f ca="1">IFERROR(__xludf.DUMMYFUNCTION("""COMPUTED_VALUE"""),"Yopi Larasati")</f>
        <v>Yopi Larasati</v>
      </c>
      <c r="C452" s="3" t="str">
        <f ca="1">IFERROR(__xludf.DUMMYFUNCTION("""COMPUTED_VALUE"""),"Yopi Larasati")</f>
        <v>Yopi Larasati</v>
      </c>
      <c r="D452" s="3" t="str">
        <f ca="1">IFERROR(__xludf.DUMMYFUNCTION("""COMPUTED_VALUE"""),"Yopi Larasati")</f>
        <v>Yopi Larasati</v>
      </c>
      <c r="E452" s="3" t="str">
        <f ca="1">IFERROR(__xludf.DUMMYFUNCTION("""COMPUTED_VALUE"""),"198302232025211034")</f>
        <v>198302232025211034</v>
      </c>
      <c r="F452" s="3" t="str">
        <f ca="1">IFERROR(__xludf.DUMMYFUNCTION("""COMPUTED_VALUE"""),"19830223 202521 1 034")</f>
        <v>19830223 202521 1 034</v>
      </c>
      <c r="G452" s="3"/>
      <c r="H452" s="3"/>
      <c r="I452" s="3" t="str">
        <f ca="1">IFERROR(__xludf.DUMMYFUNCTION("""COMPUTED_VALUE"""),"PPPK")</f>
        <v>PPPK</v>
      </c>
      <c r="J452" s="3" t="str">
        <f ca="1">IFERROR(__xludf.DUMMYFUNCTION("""COMPUTED_VALUE"""),"Pegawai PPPK")</f>
        <v>Pegawai PPPK</v>
      </c>
      <c r="K452" s="5" t="str">
        <f ca="1">IFERROR(__xludf.DUMMYFUNCTION("""COMPUTED_VALUE"""),"L")</f>
        <v>L</v>
      </c>
      <c r="L452" s="3" t="str">
        <f ca="1">IFERROR(__xludf.DUMMYFUNCTION("""COMPUTED_VALUE"""),"Banyumas")</f>
        <v>Banyumas</v>
      </c>
      <c r="M452" s="11">
        <f ca="1">IFERROR(__xludf.DUMMYFUNCTION("""COMPUTED_VALUE"""),30370)</f>
        <v>30370</v>
      </c>
      <c r="N452" s="3"/>
      <c r="O452" s="3" t="str">
        <f ca="1">IFERROR(__xludf.DUMMYFUNCTION("""COMPUTED_VALUE"""),"I")</f>
        <v>I</v>
      </c>
      <c r="P452" s="11">
        <f ca="1">IFERROR(__xludf.DUMMYFUNCTION("""COMPUTED_VALUE"""),45931)</f>
        <v>45931</v>
      </c>
      <c r="Q452" s="3" t="str">
        <f ca="1">IFERROR(__xludf.DUMMYFUNCTION("""COMPUTED_VALUE"""),"SK.P2-002310/B.II/KP.00.3/09/2025")</f>
        <v>SK.P2-002310/B.II/KP.00.3/09/2025</v>
      </c>
      <c r="R452" s="3" t="str">
        <f ca="1">IFERROR(__xludf.DUMMYFUNCTION("""COMPUTED_VALUE"""),"‌Pengelola Umum Operasional")</f>
        <v>‌Pengelola Umum Operasional</v>
      </c>
      <c r="S452" s="3" t="str">
        <f ca="1">IFERROR(__xludf.DUMMYFUNCTION("""COMPUTED_VALUE"""),"Pelaksana")</f>
        <v>Pelaksana</v>
      </c>
      <c r="T452" s="11">
        <f ca="1">IFERROR(__xludf.DUMMYFUNCTION("""COMPUTED_VALUE"""),45931)</f>
        <v>45931</v>
      </c>
      <c r="U452" s="3"/>
      <c r="V452" s="7">
        <f ca="1">IFERROR(__xludf.DUMMYFUNCTION("""COMPUTED_VALUE"""),45922)</f>
        <v>45922</v>
      </c>
      <c r="W452" s="3">
        <f ca="1">IFERROR(__xludf.DUMMYFUNCTION("""COMPUTED_VALUE"""),3)</f>
        <v>3</v>
      </c>
      <c r="X452" s="3"/>
      <c r="Y452" s="3" t="str">
        <f ca="1">IFERROR(__xludf.DUMMYFUNCTION("""COMPUTED_VALUE"""),"SMP")</f>
        <v>SMP</v>
      </c>
      <c r="Z452" s="3" t="str">
        <f ca="1">IFERROR(__xludf.DUMMYFUNCTION("""COMPUTED_VALUE"""),"0 Tahun 3 Bulan 5 Hari")</f>
        <v>0 Tahun 3 Bulan 5 Hari</v>
      </c>
      <c r="AA452" s="8">
        <f ca="1">IFERROR(__xludf.DUMMYFUNCTION("""COMPUTED_VALUE"""),51561)</f>
        <v>51561</v>
      </c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4"/>
      <c r="AR452" s="3"/>
      <c r="AS452" s="4"/>
      <c r="AT452" s="3"/>
      <c r="AU452" s="3"/>
    </row>
    <row r="453" spans="1:47" x14ac:dyDescent="0.2">
      <c r="A453" s="12">
        <v>452</v>
      </c>
      <c r="B453" s="3" t="str">
        <f ca="1">IFERROR(__xludf.DUMMYFUNCTION("""COMPUTED_VALUE"""),"Yudiantoro")</f>
        <v>Yudiantoro</v>
      </c>
      <c r="C453" s="3" t="str">
        <f ca="1">IFERROR(__xludf.DUMMYFUNCTION("""COMPUTED_VALUE"""),"Yudiantoro")</f>
        <v>Yudiantoro</v>
      </c>
      <c r="D453" s="3" t="str">
        <f ca="1">IFERROR(__xludf.DUMMYFUNCTION("""COMPUTED_VALUE"""),"Yudiantoro")</f>
        <v>Yudiantoro</v>
      </c>
      <c r="E453" s="3" t="str">
        <f ca="1">IFERROR(__xludf.DUMMYFUNCTION("""COMPUTED_VALUE"""),"197305072025211025")</f>
        <v>197305072025211025</v>
      </c>
      <c r="F453" s="3" t="str">
        <f ca="1">IFERROR(__xludf.DUMMYFUNCTION("""COMPUTED_VALUE"""),"19730507 202521 1 025")</f>
        <v>19730507 202521 1 025</v>
      </c>
      <c r="G453" s="3"/>
      <c r="H453" s="3"/>
      <c r="I453" s="3" t="str">
        <f ca="1">IFERROR(__xludf.DUMMYFUNCTION("""COMPUTED_VALUE"""),"PPPK")</f>
        <v>PPPK</v>
      </c>
      <c r="J453" s="3" t="str">
        <f ca="1">IFERROR(__xludf.DUMMYFUNCTION("""COMPUTED_VALUE"""),"Pegawai PPPK")</f>
        <v>Pegawai PPPK</v>
      </c>
      <c r="K453" s="5" t="str">
        <f ca="1">IFERROR(__xludf.DUMMYFUNCTION("""COMPUTED_VALUE"""),"L")</f>
        <v>L</v>
      </c>
      <c r="L453" s="3" t="str">
        <f ca="1">IFERROR(__xludf.DUMMYFUNCTION("""COMPUTED_VALUE"""),"Banyumas")</f>
        <v>Banyumas</v>
      </c>
      <c r="M453" s="11">
        <f ca="1">IFERROR(__xludf.DUMMYFUNCTION("""COMPUTED_VALUE"""),26791)</f>
        <v>26791</v>
      </c>
      <c r="N453" s="3"/>
      <c r="O453" s="3" t="str">
        <f ca="1">IFERROR(__xludf.DUMMYFUNCTION("""COMPUTED_VALUE"""),"V")</f>
        <v>V</v>
      </c>
      <c r="P453" s="11">
        <f ca="1">IFERROR(__xludf.DUMMYFUNCTION("""COMPUTED_VALUE"""),45931)</f>
        <v>45931</v>
      </c>
      <c r="Q453" s="3" t="str">
        <f ca="1">IFERROR(__xludf.DUMMYFUNCTION("""COMPUTED_VALUE"""),"SK.P2-002301/B.II/KP.00.3/09/2025")</f>
        <v>SK.P2-002301/B.II/KP.00.3/09/2025</v>
      </c>
      <c r="R453" s="3" t="str">
        <f ca="1">IFERROR(__xludf.DUMMYFUNCTION("""COMPUTED_VALUE"""),"‌Operator Layanan Operasional")</f>
        <v>‌Operator Layanan Operasional</v>
      </c>
      <c r="S453" s="3" t="str">
        <f ca="1">IFERROR(__xludf.DUMMYFUNCTION("""COMPUTED_VALUE"""),"Pelaksana")</f>
        <v>Pelaksana</v>
      </c>
      <c r="T453" s="11">
        <f ca="1">IFERROR(__xludf.DUMMYFUNCTION("""COMPUTED_VALUE"""),45931)</f>
        <v>45931</v>
      </c>
      <c r="U453" s="3"/>
      <c r="V453" s="7">
        <f ca="1">IFERROR(__xludf.DUMMYFUNCTION("""COMPUTED_VALUE"""),45922)</f>
        <v>45922</v>
      </c>
      <c r="W453" s="3">
        <f ca="1">IFERROR(__xludf.DUMMYFUNCTION("""COMPUTED_VALUE"""),5)</f>
        <v>5</v>
      </c>
      <c r="X453" s="3"/>
      <c r="Y453" s="3" t="str">
        <f ca="1">IFERROR(__xludf.DUMMYFUNCTION("""COMPUTED_VALUE"""),"SMK")</f>
        <v>SMK</v>
      </c>
      <c r="Z453" s="3" t="str">
        <f ca="1">IFERROR(__xludf.DUMMYFUNCTION("""COMPUTED_VALUE"""),"0 Tahun 3 Bulan 5 Hari")</f>
        <v>0 Tahun 3 Bulan 5 Hari</v>
      </c>
      <c r="AA453" s="8">
        <f ca="1">IFERROR(__xludf.DUMMYFUNCTION("""COMPUTED_VALUE"""),48000)</f>
        <v>48000</v>
      </c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4"/>
      <c r="AR453" s="3"/>
      <c r="AS453" s="4"/>
      <c r="AT453" s="3"/>
      <c r="AU453" s="3"/>
    </row>
    <row r="454" spans="1:47" x14ac:dyDescent="0.2">
      <c r="A454" s="12">
        <v>453</v>
      </c>
      <c r="B454" s="3" t="str">
        <f ca="1">IFERROR(__xludf.DUMMYFUNCTION("""COMPUTED_VALUE"""),"‌Arina Cynthia Lulu Zuhrotun Nisa")</f>
        <v>‌Arina Cynthia Lulu Zuhrotun Nisa</v>
      </c>
      <c r="C454" s="3" t="str">
        <f ca="1">IFERROR(__xludf.DUMMYFUNCTION("""COMPUTED_VALUE"""),"dr. ‌Arina Cynthia Lulu Zuhrotun Nisa")</f>
        <v>dr. ‌Arina Cynthia Lulu Zuhrotun Nisa</v>
      </c>
      <c r="D454" s="3" t="str">
        <f ca="1">IFERROR(__xludf.DUMMYFUNCTION("""COMPUTED_VALUE"""),"dr. ‌Arina Cynthia Lulu Zuhrotun Nisa")</f>
        <v>dr. ‌Arina Cynthia Lulu Zuhrotun Nisa</v>
      </c>
      <c r="E454" s="3" t="str">
        <f ca="1">IFERROR(__xludf.DUMMYFUNCTION("""COMPUTED_VALUE"""),"198902052025212053")</f>
        <v>198902052025212053</v>
      </c>
      <c r="F454" s="3" t="str">
        <f ca="1">IFERROR(__xludf.DUMMYFUNCTION("""COMPUTED_VALUE"""),"19890205 202521 2 053")</f>
        <v>19890205 202521 2 053</v>
      </c>
      <c r="G454" s="3"/>
      <c r="H454" s="3"/>
      <c r="I454" s="3" t="str">
        <f ca="1">IFERROR(__xludf.DUMMYFUNCTION("""COMPUTED_VALUE"""),"PPPK")</f>
        <v>PPPK</v>
      </c>
      <c r="J454" s="3" t="str">
        <f ca="1">IFERROR(__xludf.DUMMYFUNCTION("""COMPUTED_VALUE"""),"Pegawai PPPK")</f>
        <v>Pegawai PPPK</v>
      </c>
      <c r="K454" s="5" t="str">
        <f ca="1">IFERROR(__xludf.DUMMYFUNCTION("""COMPUTED_VALUE"""),"P")</f>
        <v>P</v>
      </c>
      <c r="L454" s="3" t="str">
        <f ca="1">IFERROR(__xludf.DUMMYFUNCTION("""COMPUTED_VALUE"""),"Banyumas")</f>
        <v>Banyumas</v>
      </c>
      <c r="M454" s="7">
        <f ca="1">IFERROR(__xludf.DUMMYFUNCTION("""COMPUTED_VALUE"""),32544)</f>
        <v>32544</v>
      </c>
      <c r="N454" s="3"/>
      <c r="O454" s="3" t="str">
        <f ca="1">IFERROR(__xludf.DUMMYFUNCTION("""COMPUTED_VALUE"""),"X")</f>
        <v>X</v>
      </c>
      <c r="P454" s="11">
        <f ca="1">IFERROR(__xludf.DUMMYFUNCTION("""COMPUTED_VALUE"""),45931)</f>
        <v>45931</v>
      </c>
      <c r="Q454" s="3" t="str">
        <f ca="1">IFERROR(__xludf.DUMMYFUNCTION("""COMPUTED_VALUE"""),"SK.P2-002269/B.II/KP.00.3/09/2025")</f>
        <v>SK.P2-002269/B.II/KP.00.3/09/2025</v>
      </c>
      <c r="R454" s="3" t="str">
        <f ca="1">IFERROR(__xludf.DUMMYFUNCTION("""COMPUTED_VALUE"""),"‌Dokter")</f>
        <v>‌Dokter</v>
      </c>
      <c r="S454" s="3" t="str">
        <f ca="1">IFERROR(__xludf.DUMMYFUNCTION("""COMPUTED_VALUE"""),"Ahli Pertama")</f>
        <v>Ahli Pertama</v>
      </c>
      <c r="T454" s="11">
        <f ca="1">IFERROR(__xludf.DUMMYFUNCTION("""COMPUTED_VALUE"""),45931)</f>
        <v>45931</v>
      </c>
      <c r="U454" s="3"/>
      <c r="V454" s="7">
        <f ca="1">IFERROR(__xludf.DUMMYFUNCTION("""COMPUTED_VALUE"""),45922)</f>
        <v>45922</v>
      </c>
      <c r="W454" s="3">
        <f ca="1">IFERROR(__xludf.DUMMYFUNCTION("""COMPUTED_VALUE"""),8)</f>
        <v>8</v>
      </c>
      <c r="X454" s="3"/>
      <c r="Y454" s="3" t="str">
        <f ca="1">IFERROR(__xludf.DUMMYFUNCTION("""COMPUTED_VALUE"""),"Profesi")</f>
        <v>Profesi</v>
      </c>
      <c r="Z454" s="3" t="str">
        <f ca="1">IFERROR(__xludf.DUMMYFUNCTION("""COMPUTED_VALUE"""),"0 Tahun 3 Bulan 5 Hari")</f>
        <v>0 Tahun 3 Bulan 5 Hari</v>
      </c>
      <c r="AA454" s="8">
        <f ca="1">IFERROR(__xludf.DUMMYFUNCTION("""COMPUTED_VALUE"""),53752)</f>
        <v>53752</v>
      </c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4"/>
      <c r="AR454" s="3"/>
      <c r="AS454" s="4"/>
      <c r="AT454" s="3"/>
      <c r="AU454" s="3"/>
    </row>
    <row r="455" spans="1:47" x14ac:dyDescent="0.2">
      <c r="A455" s="12">
        <v>454</v>
      </c>
      <c r="B455" s="3" t="str">
        <f ca="1">IFERROR(__xludf.DUMMYFUNCTION("""COMPUTED_VALUE"""),"‌Amila Silmi Kaffah")</f>
        <v>‌Amila Silmi Kaffah</v>
      </c>
      <c r="C455" s="3" t="str">
        <f ca="1">IFERROR(__xludf.DUMMYFUNCTION("""COMPUTED_VALUE"""),"‌Amila Silmi Kaffah, S.Pd.")</f>
        <v>‌Amila Silmi Kaffah, S.Pd.</v>
      </c>
      <c r="D455" s="3" t="str">
        <f ca="1">IFERROR(__xludf.DUMMYFUNCTION("""COMPUTED_VALUE"""),"‌Amila Silmi Kaffah, S.Pd.")</f>
        <v>‌Amila Silmi Kaffah, S.Pd.</v>
      </c>
      <c r="E455" s="3" t="str">
        <f ca="1">IFERROR(__xludf.DUMMYFUNCTION("""COMPUTED_VALUE"""),"199205072025212058")</f>
        <v>199205072025212058</v>
      </c>
      <c r="F455" s="3" t="str">
        <f ca="1">IFERROR(__xludf.DUMMYFUNCTION("""COMPUTED_VALUE"""),"19920507 202521 2 058")</f>
        <v>19920507 202521 2 058</v>
      </c>
      <c r="G455" s="3"/>
      <c r="H455" s="3"/>
      <c r="I455" s="3" t="str">
        <f ca="1">IFERROR(__xludf.DUMMYFUNCTION("""COMPUTED_VALUE"""),"PPPK")</f>
        <v>PPPK</v>
      </c>
      <c r="J455" s="3" t="str">
        <f ca="1">IFERROR(__xludf.DUMMYFUNCTION("""COMPUTED_VALUE"""),"Pegawai PPPK")</f>
        <v>Pegawai PPPK</v>
      </c>
      <c r="K455" s="5" t="str">
        <f ca="1">IFERROR(__xludf.DUMMYFUNCTION("""COMPUTED_VALUE"""),"P")</f>
        <v>P</v>
      </c>
      <c r="L455" s="3" t="str">
        <f ca="1">IFERROR(__xludf.DUMMYFUNCTION("""COMPUTED_VALUE"""),"Banyumas")</f>
        <v>Banyumas</v>
      </c>
      <c r="M455" s="7">
        <f ca="1">IFERROR(__xludf.DUMMYFUNCTION("""COMPUTED_VALUE"""),33731)</f>
        <v>33731</v>
      </c>
      <c r="N455" s="3"/>
      <c r="O455" s="3" t="str">
        <f ca="1">IFERROR(__xludf.DUMMYFUNCTION("""COMPUTED_VALUE"""),"IX")</f>
        <v>IX</v>
      </c>
      <c r="P455" s="11">
        <f ca="1">IFERROR(__xludf.DUMMYFUNCTION("""COMPUTED_VALUE"""),45931)</f>
        <v>45931</v>
      </c>
      <c r="Q455" s="3" t="str">
        <f ca="1">IFERROR(__xludf.DUMMYFUNCTION("""COMPUTED_VALUE"""),"SK.P2-002276/B.II/KP.00.3/09/2025")</f>
        <v>SK.P2-002276/B.II/KP.00.3/09/2025</v>
      </c>
      <c r="R455" s="3" t="str">
        <f ca="1">IFERROR(__xludf.DUMMYFUNCTION("""COMPUTED_VALUE"""),"‌Penata Layanan Operasional")</f>
        <v>‌Penata Layanan Operasional</v>
      </c>
      <c r="S455" s="3" t="str">
        <f ca="1">IFERROR(__xludf.DUMMYFUNCTION("""COMPUTED_VALUE"""),"Pelaksana")</f>
        <v>Pelaksana</v>
      </c>
      <c r="T455" s="11">
        <f ca="1">IFERROR(__xludf.DUMMYFUNCTION("""COMPUTED_VALUE"""),45931)</f>
        <v>45931</v>
      </c>
      <c r="U455" s="3"/>
      <c r="V455" s="7">
        <f ca="1">IFERROR(__xludf.DUMMYFUNCTION("""COMPUTED_VALUE"""),45922)</f>
        <v>45922</v>
      </c>
      <c r="W455" s="3">
        <f ca="1">IFERROR(__xludf.DUMMYFUNCTION("""COMPUTED_VALUE"""),7)</f>
        <v>7</v>
      </c>
      <c r="X455" s="3"/>
      <c r="Y455" s="3" t="str">
        <f ca="1">IFERROR(__xludf.DUMMYFUNCTION("""COMPUTED_VALUE"""),"S-1")</f>
        <v>S-1</v>
      </c>
      <c r="Z455" s="3" t="str">
        <f ca="1">IFERROR(__xludf.DUMMYFUNCTION("""COMPUTED_VALUE"""),"0 Tahun 3 Bulan 5 Hari")</f>
        <v>0 Tahun 3 Bulan 5 Hari</v>
      </c>
      <c r="AA455" s="8">
        <f ca="1">IFERROR(__xludf.DUMMYFUNCTION("""COMPUTED_VALUE"""),54940)</f>
        <v>54940</v>
      </c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4"/>
      <c r="AR455" s="3"/>
      <c r="AS455" s="4"/>
      <c r="AT455" s="3"/>
      <c r="AU455" s="3"/>
    </row>
    <row r="456" spans="1:47" x14ac:dyDescent="0.2">
      <c r="A456" s="12">
        <v>455</v>
      </c>
      <c r="B456" s="3" t="str">
        <f ca="1">IFERROR(__xludf.DUMMYFUNCTION("""COMPUTED_VALUE"""),"‌Vico Meylana Eka Putra")</f>
        <v>‌Vico Meylana Eka Putra</v>
      </c>
      <c r="C456" s="3" t="str">
        <f ca="1">IFERROR(__xludf.DUMMYFUNCTION("""COMPUTED_VALUE"""),"‌Vico Meylana Eka Putra, S.Kom.")</f>
        <v>‌Vico Meylana Eka Putra, S.Kom.</v>
      </c>
      <c r="D456" s="3" t="str">
        <f ca="1">IFERROR(__xludf.DUMMYFUNCTION("""COMPUTED_VALUE"""),"‌Vico Meylana Eka Putra, S.Kom.")</f>
        <v>‌Vico Meylana Eka Putra, S.Kom.</v>
      </c>
      <c r="E456" s="3" t="str">
        <f ca="1">IFERROR(__xludf.DUMMYFUNCTION("""COMPUTED_VALUE"""),"199705312025211030")</f>
        <v>199705312025211030</v>
      </c>
      <c r="F456" s="3" t="str">
        <f ca="1">IFERROR(__xludf.DUMMYFUNCTION("""COMPUTED_VALUE"""),"19970531 202521 1 030")</f>
        <v>19970531 202521 1 030</v>
      </c>
      <c r="G456" s="3"/>
      <c r="H456" s="3"/>
      <c r="I456" s="3" t="str">
        <f ca="1">IFERROR(__xludf.DUMMYFUNCTION("""COMPUTED_VALUE"""),"PPPK")</f>
        <v>PPPK</v>
      </c>
      <c r="J456" s="3" t="str">
        <f ca="1">IFERROR(__xludf.DUMMYFUNCTION("""COMPUTED_VALUE"""),"Pegawai PPPK")</f>
        <v>Pegawai PPPK</v>
      </c>
      <c r="K456" s="5" t="str">
        <f ca="1">IFERROR(__xludf.DUMMYFUNCTION("""COMPUTED_VALUE"""),"L")</f>
        <v>L</v>
      </c>
      <c r="L456" s="3" t="str">
        <f ca="1">IFERROR(__xludf.DUMMYFUNCTION("""COMPUTED_VALUE"""),"Kebumen")</f>
        <v>Kebumen</v>
      </c>
      <c r="M456" s="7">
        <f ca="1">IFERROR(__xludf.DUMMYFUNCTION("""COMPUTED_VALUE"""),35581)</f>
        <v>35581</v>
      </c>
      <c r="N456" s="3"/>
      <c r="O456" s="3" t="str">
        <f ca="1">IFERROR(__xludf.DUMMYFUNCTION("""COMPUTED_VALUE"""),"IX")</f>
        <v>IX</v>
      </c>
      <c r="P456" s="11">
        <f ca="1">IFERROR(__xludf.DUMMYFUNCTION("""COMPUTED_VALUE"""),45931)</f>
        <v>45931</v>
      </c>
      <c r="Q456" s="3" t="str">
        <f ca="1">IFERROR(__xludf.DUMMYFUNCTION("""COMPUTED_VALUE"""),"SK.P2-002283/B.II/KP.00.3/09/2025")</f>
        <v>SK.P2-002283/B.II/KP.00.3/09/2025</v>
      </c>
      <c r="R456" s="3" t="str">
        <f ca="1">IFERROR(__xludf.DUMMYFUNCTION("""COMPUTED_VALUE"""),"‌Penata Layanan Operasional")</f>
        <v>‌Penata Layanan Operasional</v>
      </c>
      <c r="S456" s="3" t="str">
        <f ca="1">IFERROR(__xludf.DUMMYFUNCTION("""COMPUTED_VALUE"""),"Pelaksana")</f>
        <v>Pelaksana</v>
      </c>
      <c r="T456" s="11">
        <f ca="1">IFERROR(__xludf.DUMMYFUNCTION("""COMPUTED_VALUE"""),45931)</f>
        <v>45931</v>
      </c>
      <c r="U456" s="3"/>
      <c r="V456" s="7">
        <f ca="1">IFERROR(__xludf.DUMMYFUNCTION("""COMPUTED_VALUE"""),45922)</f>
        <v>45922</v>
      </c>
      <c r="W456" s="3">
        <f ca="1">IFERROR(__xludf.DUMMYFUNCTION("""COMPUTED_VALUE"""),7)</f>
        <v>7</v>
      </c>
      <c r="X456" s="3"/>
      <c r="Y456" s="3" t="str">
        <f ca="1">IFERROR(__xludf.DUMMYFUNCTION("""COMPUTED_VALUE"""),"S-1")</f>
        <v>S-1</v>
      </c>
      <c r="Z456" s="3" t="str">
        <f ca="1">IFERROR(__xludf.DUMMYFUNCTION("""COMPUTED_VALUE"""),"0 Tahun 3 Bulan 5 Hari")</f>
        <v>0 Tahun 3 Bulan 5 Hari</v>
      </c>
      <c r="AA456" s="8">
        <f ca="1">IFERROR(__xludf.DUMMYFUNCTION("""COMPUTED_VALUE"""),56766)</f>
        <v>56766</v>
      </c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4"/>
      <c r="AR456" s="3"/>
      <c r="AS456" s="4"/>
      <c r="AT456" s="3"/>
      <c r="AU456" s="3"/>
    </row>
    <row r="457" spans="1:47" x14ac:dyDescent="0.2">
      <c r="A457" s="12">
        <v>456</v>
      </c>
      <c r="B457" s="3" t="str">
        <f ca="1">IFERROR(__xludf.DUMMYFUNCTION("""COMPUTED_VALUE"""),"‌Muhamad Zairi Lutfi")</f>
        <v>‌Muhamad Zairi Lutfi</v>
      </c>
      <c r="C457" s="3" t="str">
        <f ca="1">IFERROR(__xludf.DUMMYFUNCTION("""COMPUTED_VALUE"""),"‌Muhamad Zairi Lutfi, S.Pd.")</f>
        <v>‌Muhamad Zairi Lutfi, S.Pd.</v>
      </c>
      <c r="D457" s="3" t="str">
        <f ca="1">IFERROR(__xludf.DUMMYFUNCTION("""COMPUTED_VALUE"""),"‌Muhamad Zairi Lutfi, S.Pd.")</f>
        <v>‌Muhamad Zairi Lutfi, S.Pd.</v>
      </c>
      <c r="E457" s="3" t="str">
        <f ca="1">IFERROR(__xludf.DUMMYFUNCTION("""COMPUTED_VALUE"""),"199902122025211018")</f>
        <v>199902122025211018</v>
      </c>
      <c r="F457" s="3" t="str">
        <f ca="1">IFERROR(__xludf.DUMMYFUNCTION("""COMPUTED_VALUE"""),"19990212 202521 1 018")</f>
        <v>19990212 202521 1 018</v>
      </c>
      <c r="G457" s="3"/>
      <c r="H457" s="3"/>
      <c r="I457" s="3" t="str">
        <f ca="1">IFERROR(__xludf.DUMMYFUNCTION("""COMPUTED_VALUE"""),"PPPK")</f>
        <v>PPPK</v>
      </c>
      <c r="J457" s="3" t="str">
        <f ca="1">IFERROR(__xludf.DUMMYFUNCTION("""COMPUTED_VALUE"""),"Pegawai PPPK")</f>
        <v>Pegawai PPPK</v>
      </c>
      <c r="K457" s="5" t="str">
        <f ca="1">IFERROR(__xludf.DUMMYFUNCTION("""COMPUTED_VALUE"""),"L")</f>
        <v>L</v>
      </c>
      <c r="L457" s="3" t="str">
        <f ca="1">IFERROR(__xludf.DUMMYFUNCTION("""COMPUTED_VALUE"""),"Banjarnegara")</f>
        <v>Banjarnegara</v>
      </c>
      <c r="M457" s="7">
        <f ca="1">IFERROR(__xludf.DUMMYFUNCTION("""COMPUTED_VALUE"""),36203)</f>
        <v>36203</v>
      </c>
      <c r="N457" s="3"/>
      <c r="O457" s="3" t="str">
        <f ca="1">IFERROR(__xludf.DUMMYFUNCTION("""COMPUTED_VALUE"""),"IX")</f>
        <v>IX</v>
      </c>
      <c r="P457" s="11">
        <f ca="1">IFERROR(__xludf.DUMMYFUNCTION("""COMPUTED_VALUE"""),45931)</f>
        <v>45931</v>
      </c>
      <c r="Q457" s="3" t="str">
        <f ca="1">IFERROR(__xludf.DUMMYFUNCTION("""COMPUTED_VALUE"""),"SK.P2-002278/B.II/KP.00.3/09/2025")</f>
        <v>SK.P2-002278/B.II/KP.00.3/09/2025</v>
      </c>
      <c r="R457" s="3" t="str">
        <f ca="1">IFERROR(__xludf.DUMMYFUNCTION("""COMPUTED_VALUE"""),"‌Penata Layanan Operasional")</f>
        <v>‌Penata Layanan Operasional</v>
      </c>
      <c r="S457" s="3" t="str">
        <f ca="1">IFERROR(__xludf.DUMMYFUNCTION("""COMPUTED_VALUE"""),"Pelaksana")</f>
        <v>Pelaksana</v>
      </c>
      <c r="T457" s="11">
        <f ca="1">IFERROR(__xludf.DUMMYFUNCTION("""COMPUTED_VALUE"""),45931)</f>
        <v>45931</v>
      </c>
      <c r="U457" s="3"/>
      <c r="V457" s="7">
        <f ca="1">IFERROR(__xludf.DUMMYFUNCTION("""COMPUTED_VALUE"""),45922)</f>
        <v>45922</v>
      </c>
      <c r="W457" s="3">
        <f ca="1">IFERROR(__xludf.DUMMYFUNCTION("""COMPUTED_VALUE"""),7)</f>
        <v>7</v>
      </c>
      <c r="X457" s="3"/>
      <c r="Y457" s="3" t="str">
        <f ca="1">IFERROR(__xludf.DUMMYFUNCTION("""COMPUTED_VALUE"""),"S-1")</f>
        <v>S-1</v>
      </c>
      <c r="Z457" s="3" t="str">
        <f ca="1">IFERROR(__xludf.DUMMYFUNCTION("""COMPUTED_VALUE"""),"0 Tahun 3 Bulan 5 Hari")</f>
        <v>0 Tahun 3 Bulan 5 Hari</v>
      </c>
      <c r="AA457" s="8">
        <f ca="1">IFERROR(__xludf.DUMMYFUNCTION("""COMPUTED_VALUE"""),57405)</f>
        <v>57405</v>
      </c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4"/>
      <c r="AR457" s="3"/>
      <c r="AS457" s="4"/>
      <c r="AT457" s="3"/>
      <c r="AU457" s="3"/>
    </row>
    <row r="458" spans="1:47" x14ac:dyDescent="0.2">
      <c r="A458" s="12">
        <v>457</v>
      </c>
      <c r="B458" s="3" t="str">
        <f ca="1">IFERROR(__xludf.DUMMYFUNCTION("""COMPUTED_VALUE"""),"Dian Sudiana")</f>
        <v>Dian Sudiana</v>
      </c>
      <c r="C458" s="3" t="str">
        <f ca="1">IFERROR(__xludf.DUMMYFUNCTION("""COMPUTED_VALUE"""),"Dian Sudiana, S.H.")</f>
        <v>Dian Sudiana, S.H.</v>
      </c>
      <c r="D458" s="3" t="str">
        <f ca="1">IFERROR(__xludf.DUMMYFUNCTION("""COMPUTED_VALUE"""),"Dian Sudiana, S.H.")</f>
        <v>Dian Sudiana, S.H.</v>
      </c>
      <c r="E458" s="3" t="str">
        <f ca="1">IFERROR(__xludf.DUMMYFUNCTION("""COMPUTED_VALUE"""),"198201052025211052")</f>
        <v>198201052025211052</v>
      </c>
      <c r="F458" s="3" t="str">
        <f ca="1">IFERROR(__xludf.DUMMYFUNCTION("""COMPUTED_VALUE"""),"19820105 202521 1 052")</f>
        <v>19820105 202521 1 052</v>
      </c>
      <c r="G458" s="3"/>
      <c r="H458" s="3"/>
      <c r="I458" s="3" t="str">
        <f ca="1">IFERROR(__xludf.DUMMYFUNCTION("""COMPUTED_VALUE"""),"PPPK")</f>
        <v>PPPK</v>
      </c>
      <c r="J458" s="3" t="str">
        <f ca="1">IFERROR(__xludf.DUMMYFUNCTION("""COMPUTED_VALUE"""),"Pegawai PPPK")</f>
        <v>Pegawai PPPK</v>
      </c>
      <c r="K458" s="5" t="str">
        <f ca="1">IFERROR(__xludf.DUMMYFUNCTION("""COMPUTED_VALUE"""),"L")</f>
        <v>L</v>
      </c>
      <c r="L458" s="3" t="str">
        <f ca="1">IFERROR(__xludf.DUMMYFUNCTION("""COMPUTED_VALUE"""),"Kuningan")</f>
        <v>Kuningan</v>
      </c>
      <c r="M458" s="11">
        <f ca="1">IFERROR(__xludf.DUMMYFUNCTION("""COMPUTED_VALUE"""),29956)</f>
        <v>29956</v>
      </c>
      <c r="N458" s="3"/>
      <c r="O458" s="3" t="str">
        <f ca="1">IFERROR(__xludf.DUMMYFUNCTION("""COMPUTED_VALUE"""),"IX")</f>
        <v>IX</v>
      </c>
      <c r="P458" s="11">
        <f ca="1">IFERROR(__xludf.DUMMYFUNCTION("""COMPUTED_VALUE"""),45931)</f>
        <v>45931</v>
      </c>
      <c r="Q458" s="3" t="str">
        <f ca="1">IFERROR(__xludf.DUMMYFUNCTION("""COMPUTED_VALUE"""),"SK.P2A-000413/B.II/KP.00.3/09/2025")</f>
        <v>SK.P2A-000413/B.II/KP.00.3/09/2025</v>
      </c>
      <c r="R458" s="3" t="str">
        <f ca="1">IFERROR(__xludf.DUMMYFUNCTION("""COMPUTED_VALUE"""),"‌Penata Layanan Operasional")</f>
        <v>‌Penata Layanan Operasional</v>
      </c>
      <c r="S458" s="3" t="str">
        <f ca="1">IFERROR(__xludf.DUMMYFUNCTION("""COMPUTED_VALUE"""),"Pelaksana")</f>
        <v>Pelaksana</v>
      </c>
      <c r="T458" s="11">
        <f ca="1">IFERROR(__xludf.DUMMYFUNCTION("""COMPUTED_VALUE"""),45931)</f>
        <v>45931</v>
      </c>
      <c r="U458" s="3"/>
      <c r="V458" s="7">
        <f ca="1">IFERROR(__xludf.DUMMYFUNCTION("""COMPUTED_VALUE"""),45929)</f>
        <v>45929</v>
      </c>
      <c r="W458" s="3">
        <f ca="1">IFERROR(__xludf.DUMMYFUNCTION("""COMPUTED_VALUE"""),7)</f>
        <v>7</v>
      </c>
      <c r="X458" s="3"/>
      <c r="Y458" s="3" t="str">
        <f ca="1">IFERROR(__xludf.DUMMYFUNCTION("""COMPUTED_VALUE"""),"S-1")</f>
        <v>S-1</v>
      </c>
      <c r="Z458" s="3" t="str">
        <f ca="1">IFERROR(__xludf.DUMMYFUNCTION("""COMPUTED_VALUE"""),"0 Tahun 2 Bulan 1 Hari")</f>
        <v>0 Tahun 2 Bulan 1 Hari</v>
      </c>
      <c r="AA458" s="8">
        <f ca="1">IFERROR(__xludf.DUMMYFUNCTION("""COMPUTED_VALUE"""),51167)</f>
        <v>51167</v>
      </c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4"/>
      <c r="AR458" s="3"/>
      <c r="AS458" s="4"/>
      <c r="AT458" s="3"/>
      <c r="AU458" s="3"/>
    </row>
    <row r="459" spans="1:47" x14ac:dyDescent="0.2">
      <c r="A459" s="12">
        <v>458</v>
      </c>
      <c r="B459" s="3" t="str">
        <f ca="1">IFERROR(__xludf.DUMMYFUNCTION("""COMPUTED_VALUE"""),"Fatihhurrohman Yusuf")</f>
        <v>Fatihhurrohman Yusuf</v>
      </c>
      <c r="C459" s="3" t="str">
        <f ca="1">IFERROR(__xludf.DUMMYFUNCTION("""COMPUTED_VALUE"""),"Fatihhurrohman Yusuf, S.Kom.")</f>
        <v>Fatihhurrohman Yusuf, S.Kom.</v>
      </c>
      <c r="D459" s="3" t="str">
        <f ca="1">IFERROR(__xludf.DUMMYFUNCTION("""COMPUTED_VALUE"""),"Fatihhurrohman Yusuf, S.Kom.")</f>
        <v>Fatihhurrohman Yusuf, S.Kom.</v>
      </c>
      <c r="E459" s="3" t="str">
        <f ca="1">IFERROR(__xludf.DUMMYFUNCTION("""COMPUTED_VALUE"""),"198802092025211047")</f>
        <v>198802092025211047</v>
      </c>
      <c r="F459" s="3" t="str">
        <f ca="1">IFERROR(__xludf.DUMMYFUNCTION("""COMPUTED_VALUE"""),"19880209 202521 1 047")</f>
        <v>19880209 202521 1 047</v>
      </c>
      <c r="G459" s="3"/>
      <c r="H459" s="3"/>
      <c r="I459" s="3" t="str">
        <f ca="1">IFERROR(__xludf.DUMMYFUNCTION("""COMPUTED_VALUE"""),"PPPK")</f>
        <v>PPPK</v>
      </c>
      <c r="J459" s="3" t="str">
        <f ca="1">IFERROR(__xludf.DUMMYFUNCTION("""COMPUTED_VALUE"""),"Pegawai PPPK")</f>
        <v>Pegawai PPPK</v>
      </c>
      <c r="K459" s="5" t="str">
        <f ca="1">IFERROR(__xludf.DUMMYFUNCTION("""COMPUTED_VALUE"""),"L")</f>
        <v>L</v>
      </c>
      <c r="L459" s="3" t="str">
        <f ca="1">IFERROR(__xludf.DUMMYFUNCTION("""COMPUTED_VALUE"""),"Karangasem")</f>
        <v>Karangasem</v>
      </c>
      <c r="M459" s="11">
        <f ca="1">IFERROR(__xludf.DUMMYFUNCTION("""COMPUTED_VALUE"""),32182)</f>
        <v>32182</v>
      </c>
      <c r="N459" s="3"/>
      <c r="O459" s="3" t="str">
        <f ca="1">IFERROR(__xludf.DUMMYFUNCTION("""COMPUTED_VALUE"""),"IX")</f>
        <v>IX</v>
      </c>
      <c r="P459" s="11">
        <f ca="1">IFERROR(__xludf.DUMMYFUNCTION("""COMPUTED_VALUE"""),45931)</f>
        <v>45931</v>
      </c>
      <c r="Q459" s="3" t="str">
        <f ca="1">IFERROR(__xludf.DUMMYFUNCTION("""COMPUTED_VALUE"""),"SK.P2A-000414/B.II/KP.00.3/09/2025")</f>
        <v>SK.P2A-000414/B.II/KP.00.3/09/2025</v>
      </c>
      <c r="R459" s="3" t="str">
        <f ca="1">IFERROR(__xludf.DUMMYFUNCTION("""COMPUTED_VALUE"""),"‌Penata Layanan Operasional")</f>
        <v>‌Penata Layanan Operasional</v>
      </c>
      <c r="S459" s="3" t="str">
        <f ca="1">IFERROR(__xludf.DUMMYFUNCTION("""COMPUTED_VALUE"""),"Pelaksana")</f>
        <v>Pelaksana</v>
      </c>
      <c r="T459" s="11">
        <f ca="1">IFERROR(__xludf.DUMMYFUNCTION("""COMPUTED_VALUE"""),45931)</f>
        <v>45931</v>
      </c>
      <c r="U459" s="3"/>
      <c r="V459" s="7">
        <f ca="1">IFERROR(__xludf.DUMMYFUNCTION("""COMPUTED_VALUE"""),45929)</f>
        <v>45929</v>
      </c>
      <c r="W459" s="3">
        <f ca="1">IFERROR(__xludf.DUMMYFUNCTION("""COMPUTED_VALUE"""),7)</f>
        <v>7</v>
      </c>
      <c r="X459" s="3"/>
      <c r="Y459" s="3" t="str">
        <f ca="1">IFERROR(__xludf.DUMMYFUNCTION("""COMPUTED_VALUE"""),"S-1")</f>
        <v>S-1</v>
      </c>
      <c r="Z459" s="3" t="str">
        <f ca="1">IFERROR(__xludf.DUMMYFUNCTION("""COMPUTED_VALUE"""),"0 Tahun 2 Bulan 1 Hari")</f>
        <v>0 Tahun 2 Bulan 1 Hari</v>
      </c>
      <c r="AA459" s="8">
        <f ca="1">IFERROR(__xludf.DUMMYFUNCTION("""COMPUTED_VALUE"""),53387)</f>
        <v>53387</v>
      </c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4"/>
      <c r="AR459" s="3"/>
      <c r="AS459" s="4"/>
      <c r="AT459" s="3"/>
      <c r="AU459" s="3"/>
    </row>
    <row r="460" spans="1:47" x14ac:dyDescent="0.2">
      <c r="A460" s="12">
        <v>459</v>
      </c>
      <c r="B460" s="3" t="str">
        <f ca="1">IFERROR(__xludf.DUMMYFUNCTION("""COMPUTED_VALUE"""),"Tri Welasasih")</f>
        <v>Tri Welasasih</v>
      </c>
      <c r="C460" s="3" t="str">
        <f ca="1">IFERROR(__xludf.DUMMYFUNCTION("""COMPUTED_VALUE"""),"Tri Welasasih, S.Pd.")</f>
        <v>Tri Welasasih, S.Pd.</v>
      </c>
      <c r="D460" s="3" t="str">
        <f ca="1">IFERROR(__xludf.DUMMYFUNCTION("""COMPUTED_VALUE"""),"Tri Welasasih, S.Pd.")</f>
        <v>Tri Welasasih, S.Pd.</v>
      </c>
      <c r="E460" s="3" t="str">
        <f ca="1">IFERROR(__xludf.DUMMYFUNCTION("""COMPUTED_VALUE"""),"198909112025212054")</f>
        <v>198909112025212054</v>
      </c>
      <c r="F460" s="3" t="str">
        <f ca="1">IFERROR(__xludf.DUMMYFUNCTION("""COMPUTED_VALUE"""),"19890911 202521 2 054")</f>
        <v>19890911 202521 2 054</v>
      </c>
      <c r="G460" s="3"/>
      <c r="H460" s="3"/>
      <c r="I460" s="3" t="str">
        <f ca="1">IFERROR(__xludf.DUMMYFUNCTION("""COMPUTED_VALUE"""),"PPPK")</f>
        <v>PPPK</v>
      </c>
      <c r="J460" s="3" t="str">
        <f ca="1">IFERROR(__xludf.DUMMYFUNCTION("""COMPUTED_VALUE"""),"Pegawai PPPK")</f>
        <v>Pegawai PPPK</v>
      </c>
      <c r="K460" s="5" t="str">
        <f ca="1">IFERROR(__xludf.DUMMYFUNCTION("""COMPUTED_VALUE"""),"P")</f>
        <v>P</v>
      </c>
      <c r="L460" s="3" t="str">
        <f ca="1">IFERROR(__xludf.DUMMYFUNCTION("""COMPUTED_VALUE"""),"Banyumas")</f>
        <v>Banyumas</v>
      </c>
      <c r="M460" s="11">
        <f ca="1">IFERROR(__xludf.DUMMYFUNCTION("""COMPUTED_VALUE"""),32762)</f>
        <v>32762</v>
      </c>
      <c r="N460" s="3"/>
      <c r="O460" s="3" t="str">
        <f ca="1">IFERROR(__xludf.DUMMYFUNCTION("""COMPUTED_VALUE"""),"IX")</f>
        <v>IX</v>
      </c>
      <c r="P460" s="11">
        <f ca="1">IFERROR(__xludf.DUMMYFUNCTION("""COMPUTED_VALUE"""),45931)</f>
        <v>45931</v>
      </c>
      <c r="Q460" s="3" t="str">
        <f ca="1">IFERROR(__xludf.DUMMYFUNCTION("""COMPUTED_VALUE"""),"SK.P2A-000415/B.II/KP.00.3/09/2025")</f>
        <v>SK.P2A-000415/B.II/KP.00.3/09/2025</v>
      </c>
      <c r="R460" s="3" t="str">
        <f ca="1">IFERROR(__xludf.DUMMYFUNCTION("""COMPUTED_VALUE"""),"‌Penata Layanan Operasional")</f>
        <v>‌Penata Layanan Operasional</v>
      </c>
      <c r="S460" s="3" t="str">
        <f ca="1">IFERROR(__xludf.DUMMYFUNCTION("""COMPUTED_VALUE"""),"Pelaksana")</f>
        <v>Pelaksana</v>
      </c>
      <c r="T460" s="11">
        <f ca="1">IFERROR(__xludf.DUMMYFUNCTION("""COMPUTED_VALUE"""),45931)</f>
        <v>45931</v>
      </c>
      <c r="U460" s="3"/>
      <c r="V460" s="7">
        <f ca="1">IFERROR(__xludf.DUMMYFUNCTION("""COMPUTED_VALUE"""),45929)</f>
        <v>45929</v>
      </c>
      <c r="W460" s="3">
        <f ca="1">IFERROR(__xludf.DUMMYFUNCTION("""COMPUTED_VALUE"""),7)</f>
        <v>7</v>
      </c>
      <c r="X460" s="3"/>
      <c r="Y460" s="3" t="str">
        <f ca="1">IFERROR(__xludf.DUMMYFUNCTION("""COMPUTED_VALUE"""),"S-1")</f>
        <v>S-1</v>
      </c>
      <c r="Z460" s="3" t="str">
        <f ca="1">IFERROR(__xludf.DUMMYFUNCTION("""COMPUTED_VALUE"""),"0 Tahun 2 Bulan 1 Hari")</f>
        <v>0 Tahun 2 Bulan 1 Hari</v>
      </c>
      <c r="AA460" s="8">
        <f ca="1">IFERROR(__xludf.DUMMYFUNCTION("""COMPUTED_VALUE"""),53966)</f>
        <v>53966</v>
      </c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4"/>
      <c r="AR460" s="3"/>
      <c r="AS460" s="4"/>
      <c r="AT460" s="3"/>
      <c r="AU460" s="3"/>
    </row>
    <row r="461" spans="1:47" x14ac:dyDescent="0.2">
      <c r="A461" s="12">
        <v>460</v>
      </c>
      <c r="B461" s="3" t="str">
        <f ca="1">IFERROR(__xludf.DUMMYFUNCTION("""COMPUTED_VALUE"""),"Arif Prasetio")</f>
        <v>Arif Prasetio</v>
      </c>
      <c r="C461" s="3" t="str">
        <f ca="1">IFERROR(__xludf.DUMMYFUNCTION("""COMPUTED_VALUE"""),"Arif Prasetio")</f>
        <v>Arif Prasetio</v>
      </c>
      <c r="D461" s="3" t="str">
        <f ca="1">IFERROR(__xludf.DUMMYFUNCTION("""COMPUTED_VALUE"""),"Arif Prasetio")</f>
        <v>Arif Prasetio</v>
      </c>
      <c r="E461" s="3" t="str">
        <f ca="1">IFERROR(__xludf.DUMMYFUNCTION("""COMPUTED_VALUE"""),"199207062025211081")</f>
        <v>199207062025211081</v>
      </c>
      <c r="F461" s="3" t="str">
        <f ca="1">IFERROR(__xludf.DUMMYFUNCTION("""COMPUTED_VALUE"""),"19920706 202521 1 081")</f>
        <v>19920706 202521 1 081</v>
      </c>
      <c r="G461" s="3"/>
      <c r="H461" s="3"/>
      <c r="I461" s="3" t="str">
        <f ca="1">IFERROR(__xludf.DUMMYFUNCTION("""COMPUTED_VALUE"""),"PPPK")</f>
        <v>PPPK</v>
      </c>
      <c r="J461" s="3" t="str">
        <f ca="1">IFERROR(__xludf.DUMMYFUNCTION("""COMPUTED_VALUE"""),"Pegawai PPPK")</f>
        <v>Pegawai PPPK</v>
      </c>
      <c r="K461" s="5" t="str">
        <f ca="1">IFERROR(__xludf.DUMMYFUNCTION("""COMPUTED_VALUE"""),"L")</f>
        <v>L</v>
      </c>
      <c r="L461" s="3" t="str">
        <f ca="1">IFERROR(__xludf.DUMMYFUNCTION("""COMPUTED_VALUE"""),"Banyumas")</f>
        <v>Banyumas</v>
      </c>
      <c r="M461" s="11">
        <f ca="1">IFERROR(__xludf.DUMMYFUNCTION("""COMPUTED_VALUE"""),33791)</f>
        <v>33791</v>
      </c>
      <c r="N461" s="3"/>
      <c r="O461" s="3"/>
      <c r="P461" s="11">
        <f ca="1">IFERROR(__xludf.DUMMYFUNCTION("""COMPUTED_VALUE"""),45931)</f>
        <v>45931</v>
      </c>
      <c r="Q461" s="3" t="str">
        <f ca="1">IFERROR(__xludf.DUMMYFUNCTION("""COMPUTED_VALUE"""),"SK.PW-000618/B.II/KP.00.3/09/2025")</f>
        <v>SK.PW-000618/B.II/KP.00.3/09/2025</v>
      </c>
      <c r="R461" s="3" t="str">
        <f ca="1">IFERROR(__xludf.DUMMYFUNCTION("""COMPUTED_VALUE"""),"Operator Layanan Operasional")</f>
        <v>Operator Layanan Operasional</v>
      </c>
      <c r="S461" s="3" t="str">
        <f ca="1">IFERROR(__xludf.DUMMYFUNCTION("""COMPUTED_VALUE"""),"Pelaksana")</f>
        <v>Pelaksana</v>
      </c>
      <c r="T461" s="11">
        <f ca="1">IFERROR(__xludf.DUMMYFUNCTION("""COMPUTED_VALUE"""),45931)</f>
        <v>45931</v>
      </c>
      <c r="U461" s="3"/>
      <c r="V461" s="7">
        <f ca="1">IFERROR(__xludf.DUMMYFUNCTION("""COMPUTED_VALUE"""),45929)</f>
        <v>45929</v>
      </c>
      <c r="W461" s="3">
        <f ca="1">IFERROR(__xludf.DUMMYFUNCTION("""COMPUTED_VALUE"""),5)</f>
        <v>5</v>
      </c>
      <c r="X461" s="3"/>
      <c r="Y461" s="3" t="str">
        <f ca="1">IFERROR(__xludf.DUMMYFUNCTION("""COMPUTED_VALUE"""),"SMA")</f>
        <v>SMA</v>
      </c>
      <c r="Z461" s="3" t="str">
        <f ca="1">IFERROR(__xludf.DUMMYFUNCTION("""COMPUTED_VALUE"""),"0 Tahun 2 Bulan 1 Hari")</f>
        <v>0 Tahun 2 Bulan 1 Hari</v>
      </c>
      <c r="AA461" s="8">
        <f ca="1">IFERROR(__xludf.DUMMYFUNCTION("""COMPUTED_VALUE"""),55001)</f>
        <v>55001</v>
      </c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4"/>
      <c r="AR461" s="3"/>
      <c r="AS461" s="4"/>
      <c r="AT461" s="3"/>
      <c r="AU461" s="3"/>
    </row>
    <row r="462" spans="1:47" x14ac:dyDescent="0.2">
      <c r="A462" s="12">
        <v>461</v>
      </c>
      <c r="B462" s="3" t="str">
        <f ca="1">IFERROR(__xludf.DUMMYFUNCTION("""COMPUTED_VALUE"""),"Wahyu Mahardika Kurniawan")</f>
        <v>Wahyu Mahardika Kurniawan</v>
      </c>
      <c r="C462" s="3" t="str">
        <f ca="1">IFERROR(__xludf.DUMMYFUNCTION("""COMPUTED_VALUE"""),"Wahyu Mahardika Kurniawan")</f>
        <v>Wahyu Mahardika Kurniawan</v>
      </c>
      <c r="D462" s="3" t="str">
        <f ca="1">IFERROR(__xludf.DUMMYFUNCTION("""COMPUTED_VALUE"""),"Wahyu Mahardika Kurniawan")</f>
        <v>Wahyu Mahardika Kurniawan</v>
      </c>
      <c r="E462" s="3" t="str">
        <f ca="1">IFERROR(__xludf.DUMMYFUNCTION("""COMPUTED_VALUE"""),"198908102025211111")</f>
        <v>198908102025211111</v>
      </c>
      <c r="F462" s="3" t="str">
        <f ca="1">IFERROR(__xludf.DUMMYFUNCTION("""COMPUTED_VALUE"""),"19890810 202521 1 111")</f>
        <v>19890810 202521 1 111</v>
      </c>
      <c r="G462" s="3"/>
      <c r="H462" s="3"/>
      <c r="I462" s="3" t="str">
        <f ca="1">IFERROR(__xludf.DUMMYFUNCTION("""COMPUTED_VALUE"""),"PPPK")</f>
        <v>PPPK</v>
      </c>
      <c r="J462" s="3" t="str">
        <f ca="1">IFERROR(__xludf.DUMMYFUNCTION("""COMPUTED_VALUE"""),"Pegawai PPPK")</f>
        <v>Pegawai PPPK</v>
      </c>
      <c r="K462" s="5" t="str">
        <f ca="1">IFERROR(__xludf.DUMMYFUNCTION("""COMPUTED_VALUE"""),"L")</f>
        <v>L</v>
      </c>
      <c r="L462" s="3" t="str">
        <f ca="1">IFERROR(__xludf.DUMMYFUNCTION("""COMPUTED_VALUE"""),"Banyumas")</f>
        <v>Banyumas</v>
      </c>
      <c r="M462" s="11">
        <f ca="1">IFERROR(__xludf.DUMMYFUNCTION("""COMPUTED_VALUE"""),32730)</f>
        <v>32730</v>
      </c>
      <c r="N462" s="3"/>
      <c r="O462" s="3"/>
      <c r="P462" s="11">
        <f ca="1">IFERROR(__xludf.DUMMYFUNCTION("""COMPUTED_VALUE"""),45931)</f>
        <v>45931</v>
      </c>
      <c r="Q462" s="3" t="str">
        <f ca="1">IFERROR(__xludf.DUMMYFUNCTION("""COMPUTED_VALUE"""),"SK.PW-000619/B.II/KP.00.3/09/2025")</f>
        <v>SK.PW-000619/B.II/KP.00.3/09/2025</v>
      </c>
      <c r="R462" s="3" t="str">
        <f ca="1">IFERROR(__xludf.DUMMYFUNCTION("""COMPUTED_VALUE"""),"Operator Layanan Operasional")</f>
        <v>Operator Layanan Operasional</v>
      </c>
      <c r="S462" s="3" t="str">
        <f ca="1">IFERROR(__xludf.DUMMYFUNCTION("""COMPUTED_VALUE"""),"Pelaksana")</f>
        <v>Pelaksana</v>
      </c>
      <c r="T462" s="11">
        <f ca="1">IFERROR(__xludf.DUMMYFUNCTION("""COMPUTED_VALUE"""),45931)</f>
        <v>45931</v>
      </c>
      <c r="U462" s="3"/>
      <c r="V462" s="7">
        <f ca="1">IFERROR(__xludf.DUMMYFUNCTION("""COMPUTED_VALUE"""),45929)</f>
        <v>45929</v>
      </c>
      <c r="W462" s="3">
        <f ca="1">IFERROR(__xludf.DUMMYFUNCTION("""COMPUTED_VALUE"""),5)</f>
        <v>5</v>
      </c>
      <c r="X462" s="3"/>
      <c r="Y462" s="3" t="str">
        <f ca="1">IFERROR(__xludf.DUMMYFUNCTION("""COMPUTED_VALUE"""),"SMK")</f>
        <v>SMK</v>
      </c>
      <c r="Z462" s="3" t="str">
        <f ca="1">IFERROR(__xludf.DUMMYFUNCTION("""COMPUTED_VALUE"""),"0 Tahun 2 Bulan 1 Hari")</f>
        <v>0 Tahun 2 Bulan 1 Hari</v>
      </c>
      <c r="AA462" s="8">
        <f ca="1">IFERROR(__xludf.DUMMYFUNCTION("""COMPUTED_VALUE"""),53936)</f>
        <v>53936</v>
      </c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4"/>
      <c r="AR462" s="3"/>
      <c r="AS462" s="4"/>
      <c r="AT462" s="3"/>
      <c r="AU462" s="3"/>
    </row>
    <row r="463" spans="1:47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5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4"/>
      <c r="AR463" s="3"/>
      <c r="AS463" s="4"/>
      <c r="AT463" s="3"/>
      <c r="AU463" s="3"/>
    </row>
    <row r="464" spans="1:47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5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4"/>
      <c r="AR464" s="3"/>
      <c r="AS464" s="4"/>
      <c r="AT464" s="3"/>
      <c r="AU464" s="3"/>
    </row>
    <row r="465" spans="1:47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5"/>
      <c r="L465" s="3"/>
      <c r="M465" s="3"/>
      <c r="N465" s="13"/>
      <c r="O465" s="14"/>
      <c r="P465" s="14"/>
      <c r="Q465" s="14"/>
      <c r="R465" s="14"/>
      <c r="S465" s="14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4"/>
      <c r="AR465" s="3"/>
      <c r="AS465" s="4"/>
      <c r="AT465" s="3"/>
      <c r="AU465" s="3"/>
    </row>
    <row r="466" spans="1:47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5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4"/>
      <c r="AR466" s="3"/>
      <c r="AS466" s="4"/>
      <c r="AT466" s="3"/>
      <c r="AU466" s="3"/>
    </row>
    <row r="467" spans="1:47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5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4"/>
      <c r="AR467" s="3"/>
      <c r="AS467" s="4"/>
      <c r="AT467" s="3"/>
      <c r="AU467" s="3"/>
    </row>
    <row r="468" spans="1:47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5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4"/>
      <c r="AR468" s="3"/>
      <c r="AS468" s="4"/>
      <c r="AT468" s="3"/>
      <c r="AU468" s="3"/>
    </row>
    <row r="469" spans="1:47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5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4"/>
      <c r="AR469" s="3"/>
      <c r="AS469" s="4"/>
      <c r="AT469" s="3"/>
      <c r="AU469" s="3"/>
    </row>
    <row r="470" spans="1:47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5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4"/>
      <c r="AR470" s="3"/>
      <c r="AS470" s="4"/>
      <c r="AT470" s="3"/>
      <c r="AU470" s="3"/>
    </row>
    <row r="471" spans="1:47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5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4"/>
      <c r="AR471" s="3"/>
      <c r="AS471" s="4"/>
      <c r="AT471" s="3"/>
      <c r="AU471" s="3"/>
    </row>
    <row r="472" spans="1:47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5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4"/>
      <c r="AR472" s="3"/>
      <c r="AS472" s="4"/>
      <c r="AT472" s="3"/>
      <c r="AU472" s="3"/>
    </row>
    <row r="473" spans="1:47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5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4"/>
      <c r="AR473" s="3"/>
      <c r="AS473" s="4"/>
      <c r="AT473" s="3"/>
      <c r="AU473" s="3"/>
    </row>
    <row r="474" spans="1:47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5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4"/>
      <c r="AR474" s="3"/>
      <c r="AS474" s="4"/>
      <c r="AT474" s="3"/>
      <c r="AU474" s="3"/>
    </row>
    <row r="475" spans="1:47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5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4"/>
      <c r="AR475" s="3"/>
      <c r="AS475" s="4"/>
      <c r="AT475" s="3"/>
      <c r="AU475" s="3"/>
    </row>
    <row r="476" spans="1:47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5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4"/>
      <c r="AR476" s="3"/>
      <c r="AS476" s="4"/>
      <c r="AT476" s="3"/>
      <c r="AU476" s="3"/>
    </row>
    <row r="477" spans="1:47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5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4"/>
      <c r="AR477" s="3"/>
      <c r="AS477" s="4"/>
      <c r="AT477" s="3"/>
      <c r="AU477" s="3"/>
    </row>
    <row r="478" spans="1:47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5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4"/>
      <c r="AR478" s="3"/>
      <c r="AS478" s="4"/>
      <c r="AT478" s="3"/>
      <c r="AU478" s="3"/>
    </row>
    <row r="479" spans="1:47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5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4"/>
      <c r="AR479" s="3"/>
      <c r="AS479" s="4"/>
      <c r="AT479" s="3"/>
      <c r="AU479" s="3"/>
    </row>
    <row r="480" spans="1:47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5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4"/>
      <c r="AR480" s="3"/>
      <c r="AS480" s="4"/>
      <c r="AT480" s="3"/>
      <c r="AU480" s="3"/>
    </row>
    <row r="481" spans="1:47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5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4"/>
      <c r="AR481" s="3"/>
      <c r="AS481" s="4"/>
      <c r="AT481" s="3"/>
      <c r="AU481" s="3"/>
    </row>
    <row r="482" spans="1:47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5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4"/>
      <c r="AR482" s="3"/>
      <c r="AS482" s="4"/>
      <c r="AT482" s="3"/>
      <c r="AU482" s="3"/>
    </row>
    <row r="483" spans="1:47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5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4"/>
      <c r="AR483" s="3"/>
      <c r="AS483" s="4"/>
      <c r="AT483" s="3"/>
      <c r="AU483" s="3"/>
    </row>
    <row r="484" spans="1:47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5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4"/>
      <c r="AR484" s="3"/>
      <c r="AS484" s="4"/>
      <c r="AT484" s="3"/>
      <c r="AU484" s="3"/>
    </row>
    <row r="485" spans="1:47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5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4"/>
      <c r="AR485" s="3"/>
      <c r="AS485" s="4"/>
      <c r="AT485" s="3"/>
      <c r="AU485" s="3"/>
    </row>
    <row r="486" spans="1:47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5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4"/>
      <c r="AR486" s="3"/>
      <c r="AS486" s="4"/>
      <c r="AT486" s="3"/>
      <c r="AU486" s="3"/>
    </row>
    <row r="487" spans="1:47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5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4"/>
      <c r="AR487" s="3"/>
      <c r="AS487" s="4"/>
      <c r="AT487" s="3"/>
      <c r="AU487" s="3"/>
    </row>
    <row r="488" spans="1:47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5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4"/>
      <c r="AR488" s="3"/>
      <c r="AS488" s="4"/>
      <c r="AT488" s="3"/>
      <c r="AU488" s="3"/>
    </row>
    <row r="489" spans="1:47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5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4"/>
      <c r="AR489" s="3"/>
      <c r="AS489" s="4"/>
      <c r="AT489" s="3"/>
      <c r="AU489" s="3"/>
    </row>
    <row r="490" spans="1:47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5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4"/>
      <c r="AR490" s="3"/>
      <c r="AS490" s="4"/>
      <c r="AT490" s="3"/>
      <c r="AU490" s="3"/>
    </row>
    <row r="491" spans="1:47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5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4"/>
      <c r="AR491" s="3"/>
      <c r="AS491" s="4"/>
      <c r="AT491" s="3"/>
      <c r="AU491" s="3"/>
    </row>
    <row r="492" spans="1:47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5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4"/>
      <c r="AR492" s="3"/>
      <c r="AS492" s="4"/>
      <c r="AT492" s="3"/>
      <c r="AU492" s="3"/>
    </row>
    <row r="493" spans="1:47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5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4"/>
      <c r="AR493" s="3"/>
      <c r="AS493" s="4"/>
      <c r="AT493" s="3"/>
      <c r="AU493" s="3"/>
    </row>
    <row r="494" spans="1:47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5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4"/>
      <c r="AR494" s="3"/>
      <c r="AS494" s="4"/>
      <c r="AT494" s="3"/>
      <c r="AU494" s="3"/>
    </row>
    <row r="495" spans="1:47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5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4"/>
      <c r="AR495" s="3"/>
      <c r="AS495" s="4"/>
      <c r="AT495" s="3"/>
      <c r="AU495" s="3"/>
    </row>
    <row r="496" spans="1:47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5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4"/>
      <c r="AR496" s="3"/>
      <c r="AS496" s="4"/>
      <c r="AT496" s="3"/>
      <c r="AU496" s="3"/>
    </row>
    <row r="497" spans="1:47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5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4"/>
      <c r="AR497" s="3"/>
      <c r="AS497" s="4"/>
      <c r="AT497" s="3"/>
      <c r="AU497" s="3"/>
    </row>
    <row r="498" spans="1:47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5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4"/>
      <c r="AR498" s="3"/>
      <c r="AS498" s="4"/>
      <c r="AT498" s="3"/>
      <c r="AU498" s="3"/>
    </row>
    <row r="499" spans="1:47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5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4"/>
      <c r="AR499" s="3"/>
      <c r="AS499" s="4"/>
      <c r="AT499" s="3"/>
      <c r="AU499" s="3"/>
    </row>
    <row r="500" spans="1:47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5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4"/>
      <c r="AR500" s="3"/>
      <c r="AS500" s="4"/>
      <c r="AT500" s="3"/>
      <c r="AU500" s="3"/>
    </row>
    <row r="501" spans="1:47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5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4"/>
      <c r="AR501" s="3"/>
      <c r="AS501" s="4"/>
      <c r="AT501" s="3"/>
      <c r="AU501" s="3"/>
    </row>
    <row r="502" spans="1:47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5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4"/>
      <c r="AR502" s="3"/>
      <c r="AS502" s="4"/>
      <c r="AT502" s="3"/>
      <c r="AU502" s="3"/>
    </row>
    <row r="503" spans="1:47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5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4"/>
      <c r="AR503" s="3"/>
      <c r="AS503" s="4"/>
      <c r="AT503" s="3"/>
      <c r="AU503" s="3"/>
    </row>
    <row r="504" spans="1:47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5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4"/>
      <c r="AR504" s="3"/>
      <c r="AS504" s="4"/>
      <c r="AT504" s="3"/>
      <c r="AU504" s="3"/>
    </row>
    <row r="505" spans="1:47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5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4"/>
      <c r="AR505" s="3"/>
      <c r="AS505" s="4"/>
      <c r="AT505" s="3"/>
      <c r="AU505" s="3"/>
    </row>
    <row r="506" spans="1:47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5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4"/>
      <c r="AR506" s="3"/>
      <c r="AS506" s="4"/>
      <c r="AT506" s="3"/>
      <c r="AU506" s="3"/>
    </row>
    <row r="507" spans="1:47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5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4"/>
      <c r="AR507" s="3"/>
      <c r="AS507" s="4"/>
      <c r="AT507" s="3"/>
      <c r="AU507" s="3"/>
    </row>
    <row r="508" spans="1:47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5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4"/>
      <c r="AR508" s="3"/>
      <c r="AS508" s="4"/>
      <c r="AT508" s="3"/>
      <c r="AU508" s="3"/>
    </row>
    <row r="509" spans="1:47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5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4"/>
      <c r="AR509" s="3"/>
      <c r="AS509" s="4"/>
      <c r="AT509" s="3"/>
      <c r="AU509" s="3"/>
    </row>
    <row r="510" spans="1:47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5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4"/>
      <c r="AR510" s="3"/>
      <c r="AS510" s="4"/>
      <c r="AT510" s="3"/>
      <c r="AU510" s="3"/>
    </row>
    <row r="511" spans="1:47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5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4"/>
      <c r="AR511" s="3"/>
      <c r="AS511" s="4"/>
      <c r="AT511" s="3"/>
      <c r="AU511" s="3"/>
    </row>
    <row r="512" spans="1:47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5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4"/>
      <c r="AR512" s="3"/>
      <c r="AS512" s="4"/>
      <c r="AT512" s="3"/>
      <c r="AU512" s="3"/>
    </row>
    <row r="513" spans="1:47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5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4"/>
      <c r="AR513" s="3"/>
      <c r="AS513" s="4"/>
      <c r="AT513" s="3"/>
      <c r="AU513" s="3"/>
    </row>
    <row r="514" spans="1:47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5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4"/>
      <c r="AR514" s="3"/>
      <c r="AS514" s="4"/>
      <c r="AT514" s="3"/>
      <c r="AU514" s="3"/>
    </row>
    <row r="515" spans="1:47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5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4"/>
      <c r="AR515" s="3"/>
      <c r="AS515" s="4"/>
      <c r="AT515" s="3"/>
      <c r="AU515" s="3"/>
    </row>
    <row r="516" spans="1:47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5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4"/>
      <c r="AR516" s="3"/>
      <c r="AS516" s="4"/>
      <c r="AT516" s="3"/>
      <c r="AU516" s="3"/>
    </row>
    <row r="517" spans="1:47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5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4"/>
      <c r="AR517" s="3"/>
      <c r="AS517" s="4"/>
      <c r="AT517" s="3"/>
      <c r="AU517" s="3"/>
    </row>
    <row r="518" spans="1:47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5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4"/>
      <c r="AR518" s="3"/>
      <c r="AS518" s="4"/>
      <c r="AT518" s="3"/>
      <c r="AU518" s="3"/>
    </row>
    <row r="519" spans="1:47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5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4"/>
      <c r="AR519" s="3"/>
      <c r="AS519" s="4"/>
      <c r="AT519" s="3"/>
      <c r="AU519" s="3"/>
    </row>
    <row r="520" spans="1:47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5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4"/>
      <c r="AR520" s="3"/>
      <c r="AS520" s="4"/>
      <c r="AT520" s="3"/>
      <c r="AU520" s="3"/>
    </row>
    <row r="521" spans="1:47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5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4"/>
      <c r="AR521" s="3"/>
      <c r="AS521" s="4"/>
      <c r="AT521" s="3"/>
      <c r="AU521" s="3"/>
    </row>
    <row r="522" spans="1:47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5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4"/>
      <c r="AR522" s="3"/>
      <c r="AS522" s="4"/>
      <c r="AT522" s="3"/>
      <c r="AU522" s="3"/>
    </row>
    <row r="523" spans="1:47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5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4"/>
      <c r="AR523" s="3"/>
      <c r="AS523" s="4"/>
      <c r="AT523" s="3"/>
      <c r="AU523" s="3"/>
    </row>
    <row r="524" spans="1:47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5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4"/>
      <c r="AR524" s="3"/>
      <c r="AS524" s="4"/>
      <c r="AT524" s="3"/>
      <c r="AU524" s="3"/>
    </row>
    <row r="525" spans="1:47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5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4"/>
      <c r="AR525" s="3"/>
      <c r="AS525" s="4"/>
      <c r="AT525" s="3"/>
      <c r="AU525" s="3"/>
    </row>
    <row r="526" spans="1:47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5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4"/>
      <c r="AR526" s="3"/>
      <c r="AS526" s="4"/>
      <c r="AT526" s="3"/>
      <c r="AU526" s="3"/>
    </row>
    <row r="527" spans="1:47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5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4"/>
      <c r="AR527" s="3"/>
      <c r="AS527" s="4"/>
      <c r="AT527" s="3"/>
      <c r="AU527" s="3"/>
    </row>
    <row r="528" spans="1:47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5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4"/>
      <c r="AR528" s="3"/>
      <c r="AS528" s="4"/>
      <c r="AT528" s="3"/>
      <c r="AU528" s="3"/>
    </row>
    <row r="529" spans="1:47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5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4"/>
      <c r="AR529" s="3"/>
      <c r="AS529" s="4"/>
      <c r="AT529" s="3"/>
      <c r="AU529" s="3"/>
    </row>
    <row r="530" spans="1:47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5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4"/>
      <c r="AR530" s="3"/>
      <c r="AS530" s="4"/>
      <c r="AT530" s="3"/>
      <c r="AU530" s="3"/>
    </row>
    <row r="531" spans="1:47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5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4"/>
      <c r="AR531" s="3"/>
      <c r="AS531" s="4"/>
      <c r="AT531" s="3"/>
      <c r="AU531" s="3"/>
    </row>
    <row r="532" spans="1:47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5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4"/>
      <c r="AR532" s="3"/>
      <c r="AS532" s="4"/>
      <c r="AT532" s="3"/>
      <c r="AU532" s="3"/>
    </row>
    <row r="533" spans="1:47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5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4"/>
      <c r="AR533" s="3"/>
      <c r="AS533" s="4"/>
      <c r="AT533" s="3"/>
      <c r="AU533" s="3"/>
    </row>
    <row r="534" spans="1:47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5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4"/>
      <c r="AR534" s="3"/>
      <c r="AS534" s="4"/>
      <c r="AT534" s="3"/>
      <c r="AU534" s="3"/>
    </row>
    <row r="535" spans="1:47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5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4"/>
      <c r="AR535" s="3"/>
      <c r="AS535" s="4"/>
      <c r="AT535" s="3"/>
      <c r="AU535" s="3"/>
    </row>
    <row r="536" spans="1:47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5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4"/>
      <c r="AR536" s="3"/>
      <c r="AS536" s="4"/>
      <c r="AT536" s="3"/>
      <c r="AU536" s="3"/>
    </row>
    <row r="537" spans="1:47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5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4"/>
      <c r="AR537" s="3"/>
      <c r="AS537" s="4"/>
      <c r="AT537" s="3"/>
      <c r="AU537" s="3"/>
    </row>
    <row r="538" spans="1:47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5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4"/>
      <c r="AR538" s="3"/>
      <c r="AS538" s="4"/>
      <c r="AT538" s="3"/>
      <c r="AU538" s="3"/>
    </row>
    <row r="539" spans="1:47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5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4"/>
      <c r="AR539" s="3"/>
      <c r="AS539" s="4"/>
      <c r="AT539" s="3"/>
      <c r="AU539" s="3"/>
    </row>
    <row r="540" spans="1:47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5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4"/>
      <c r="AR540" s="3"/>
      <c r="AS540" s="4"/>
      <c r="AT540" s="3"/>
      <c r="AU540" s="3"/>
    </row>
    <row r="541" spans="1:47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5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4"/>
      <c r="AR541" s="3"/>
      <c r="AS541" s="4"/>
      <c r="AT541" s="3"/>
      <c r="AU541" s="3"/>
    </row>
    <row r="542" spans="1:47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5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4"/>
      <c r="AR542" s="3"/>
      <c r="AS542" s="4"/>
      <c r="AT542" s="3"/>
      <c r="AU542" s="3"/>
    </row>
    <row r="543" spans="1:47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5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4"/>
      <c r="AR543" s="3"/>
      <c r="AS543" s="4"/>
      <c r="AT543" s="3"/>
      <c r="AU543" s="3"/>
    </row>
    <row r="544" spans="1:47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5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4"/>
      <c r="AR544" s="3"/>
      <c r="AS544" s="4"/>
      <c r="AT544" s="3"/>
      <c r="AU544" s="3"/>
    </row>
    <row r="545" spans="1:47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5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4"/>
      <c r="AR545" s="3"/>
      <c r="AS545" s="4"/>
      <c r="AT545" s="3"/>
      <c r="AU545" s="3"/>
    </row>
    <row r="546" spans="1:47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5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4"/>
      <c r="AR546" s="3"/>
      <c r="AS546" s="4"/>
      <c r="AT546" s="3"/>
      <c r="AU546" s="3"/>
    </row>
    <row r="547" spans="1:47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5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4"/>
      <c r="AR547" s="3"/>
      <c r="AS547" s="4"/>
      <c r="AT547" s="3"/>
      <c r="AU547" s="3"/>
    </row>
    <row r="548" spans="1:47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5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4"/>
      <c r="AR548" s="3"/>
      <c r="AS548" s="4"/>
      <c r="AT548" s="3"/>
      <c r="AU548" s="3"/>
    </row>
    <row r="549" spans="1:47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5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4"/>
      <c r="AR549" s="3"/>
      <c r="AS549" s="4"/>
      <c r="AT549" s="3"/>
      <c r="AU549" s="3"/>
    </row>
    <row r="550" spans="1:47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5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4"/>
      <c r="AR550" s="3"/>
      <c r="AS550" s="4"/>
      <c r="AT550" s="3"/>
      <c r="AU550" s="3"/>
    </row>
    <row r="551" spans="1:47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5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4"/>
      <c r="AR551" s="3"/>
      <c r="AS551" s="4"/>
      <c r="AT551" s="3"/>
      <c r="AU551" s="3"/>
    </row>
    <row r="552" spans="1:47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5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4"/>
      <c r="AR552" s="3"/>
      <c r="AS552" s="4"/>
      <c r="AT552" s="3"/>
      <c r="AU552" s="3"/>
    </row>
    <row r="553" spans="1:47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5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4"/>
      <c r="AR553" s="3"/>
      <c r="AS553" s="4"/>
      <c r="AT553" s="3"/>
      <c r="AU553" s="3"/>
    </row>
    <row r="554" spans="1:47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5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4"/>
      <c r="AR554" s="3"/>
      <c r="AS554" s="4"/>
      <c r="AT554" s="3"/>
      <c r="AU554" s="3"/>
    </row>
    <row r="555" spans="1:47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5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4"/>
      <c r="AR555" s="3"/>
      <c r="AS555" s="4"/>
      <c r="AT555" s="3"/>
      <c r="AU555" s="3"/>
    </row>
    <row r="556" spans="1:47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5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4"/>
      <c r="AR556" s="3"/>
      <c r="AS556" s="4"/>
      <c r="AT556" s="3"/>
      <c r="AU556" s="3"/>
    </row>
    <row r="557" spans="1:47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5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4"/>
      <c r="AR557" s="3"/>
      <c r="AS557" s="4"/>
      <c r="AT557" s="3"/>
      <c r="AU557" s="3"/>
    </row>
    <row r="558" spans="1:47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5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4"/>
      <c r="AR558" s="3"/>
      <c r="AS558" s="4"/>
      <c r="AT558" s="3"/>
      <c r="AU558" s="3"/>
    </row>
    <row r="559" spans="1:47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5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4"/>
      <c r="AR559" s="3"/>
      <c r="AS559" s="4"/>
      <c r="AT559" s="3"/>
      <c r="AU559" s="3"/>
    </row>
    <row r="560" spans="1:47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5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4"/>
      <c r="AR560" s="3"/>
      <c r="AS560" s="4"/>
      <c r="AT560" s="3"/>
      <c r="AU560" s="3"/>
    </row>
    <row r="561" spans="1:47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5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4"/>
      <c r="AR561" s="3"/>
      <c r="AS561" s="4"/>
      <c r="AT561" s="3"/>
      <c r="AU561" s="3"/>
    </row>
    <row r="562" spans="1:47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5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4"/>
      <c r="AR562" s="3"/>
      <c r="AS562" s="4"/>
      <c r="AT562" s="3"/>
      <c r="AU562" s="3"/>
    </row>
    <row r="563" spans="1:47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5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4"/>
      <c r="AR563" s="3"/>
      <c r="AS563" s="4"/>
      <c r="AT563" s="3"/>
      <c r="AU563" s="3"/>
    </row>
    <row r="564" spans="1:47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5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4"/>
      <c r="AR564" s="3"/>
      <c r="AS564" s="4"/>
      <c r="AT564" s="3"/>
      <c r="AU564" s="3"/>
    </row>
    <row r="565" spans="1:47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5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4"/>
      <c r="AR565" s="3"/>
      <c r="AS565" s="4"/>
      <c r="AT565" s="3"/>
      <c r="AU565" s="3"/>
    </row>
    <row r="566" spans="1:47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5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4"/>
      <c r="AR566" s="3"/>
      <c r="AS566" s="4"/>
      <c r="AT566" s="3"/>
      <c r="AU566" s="3"/>
    </row>
    <row r="567" spans="1:47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5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4"/>
      <c r="AR567" s="3"/>
      <c r="AS567" s="4"/>
      <c r="AT567" s="3"/>
      <c r="AU567" s="3"/>
    </row>
    <row r="568" spans="1:47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5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4"/>
      <c r="AR568" s="3"/>
      <c r="AS568" s="4"/>
      <c r="AT568" s="3"/>
      <c r="AU568" s="3"/>
    </row>
    <row r="569" spans="1:47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5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4"/>
      <c r="AR569" s="3"/>
      <c r="AS569" s="4"/>
      <c r="AT569" s="3"/>
      <c r="AU569" s="3"/>
    </row>
    <row r="570" spans="1:47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5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4"/>
      <c r="AR570" s="3"/>
      <c r="AS570" s="4"/>
      <c r="AT570" s="3"/>
      <c r="AU570" s="3"/>
    </row>
    <row r="571" spans="1:47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5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4"/>
      <c r="AR571" s="3"/>
      <c r="AS571" s="4"/>
      <c r="AT571" s="3"/>
      <c r="AU571" s="3"/>
    </row>
    <row r="572" spans="1:47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5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4"/>
      <c r="AR572" s="3"/>
      <c r="AS572" s="4"/>
      <c r="AT572" s="3"/>
      <c r="AU572" s="3"/>
    </row>
    <row r="573" spans="1:47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5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4"/>
      <c r="AR573" s="3"/>
      <c r="AS573" s="4"/>
      <c r="AT573" s="3"/>
      <c r="AU573" s="3"/>
    </row>
    <row r="574" spans="1:47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5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4"/>
      <c r="AR574" s="3"/>
      <c r="AS574" s="4"/>
      <c r="AT574" s="3"/>
      <c r="AU574" s="3"/>
    </row>
    <row r="575" spans="1:47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5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4"/>
      <c r="AR575" s="3"/>
      <c r="AS575" s="4"/>
      <c r="AT575" s="3"/>
      <c r="AU575" s="3"/>
    </row>
    <row r="576" spans="1:47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5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4"/>
      <c r="AR576" s="3"/>
      <c r="AS576" s="4"/>
      <c r="AT576" s="3"/>
      <c r="AU576" s="3"/>
    </row>
    <row r="577" spans="1:47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5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4"/>
      <c r="AR577" s="3"/>
      <c r="AS577" s="4"/>
      <c r="AT577" s="3"/>
      <c r="AU577" s="3"/>
    </row>
    <row r="578" spans="1:47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5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4"/>
      <c r="AR578" s="3"/>
      <c r="AS578" s="4"/>
      <c r="AT578" s="3"/>
      <c r="AU578" s="3"/>
    </row>
    <row r="579" spans="1:47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5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4"/>
      <c r="AR579" s="3"/>
      <c r="AS579" s="4"/>
      <c r="AT579" s="3"/>
      <c r="AU579" s="3"/>
    </row>
    <row r="580" spans="1:47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5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4"/>
      <c r="AR580" s="3"/>
      <c r="AS580" s="4"/>
      <c r="AT580" s="3"/>
      <c r="AU580" s="3"/>
    </row>
    <row r="581" spans="1:47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5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4"/>
      <c r="AR581" s="3"/>
      <c r="AS581" s="4"/>
      <c r="AT581" s="3"/>
      <c r="AU581" s="3"/>
    </row>
    <row r="582" spans="1:47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5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4"/>
      <c r="AR582" s="3"/>
      <c r="AS582" s="4"/>
      <c r="AT582" s="3"/>
      <c r="AU582" s="3"/>
    </row>
    <row r="583" spans="1:47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5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4"/>
      <c r="AR583" s="3"/>
      <c r="AS583" s="4"/>
      <c r="AT583" s="3"/>
      <c r="AU583" s="3"/>
    </row>
    <row r="584" spans="1:47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5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4"/>
      <c r="AR584" s="3"/>
      <c r="AS584" s="4"/>
      <c r="AT584" s="3"/>
      <c r="AU584" s="3"/>
    </row>
    <row r="585" spans="1:47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5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4"/>
      <c r="AR585" s="3"/>
      <c r="AS585" s="4"/>
      <c r="AT585" s="3"/>
      <c r="AU585" s="3"/>
    </row>
    <row r="586" spans="1:47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5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4"/>
      <c r="AR586" s="3"/>
      <c r="AS586" s="4"/>
      <c r="AT586" s="3"/>
      <c r="AU586" s="3"/>
    </row>
    <row r="587" spans="1:47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5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4"/>
      <c r="AR587" s="3"/>
      <c r="AS587" s="4"/>
      <c r="AT587" s="3"/>
      <c r="AU587" s="3"/>
    </row>
    <row r="588" spans="1:47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5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4"/>
      <c r="AR588" s="3"/>
      <c r="AS588" s="4"/>
      <c r="AT588" s="3"/>
      <c r="AU588" s="3"/>
    </row>
    <row r="589" spans="1:47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5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4"/>
      <c r="AR589" s="3"/>
      <c r="AS589" s="4"/>
      <c r="AT589" s="3"/>
      <c r="AU589" s="3"/>
    </row>
    <row r="590" spans="1:47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5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4"/>
      <c r="AR590" s="3"/>
      <c r="AS590" s="4"/>
      <c r="AT590" s="3"/>
      <c r="AU590" s="3"/>
    </row>
    <row r="591" spans="1:47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5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4"/>
      <c r="AR591" s="3"/>
      <c r="AS591" s="4"/>
      <c r="AT591" s="3"/>
      <c r="AU591" s="3"/>
    </row>
    <row r="592" spans="1:47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5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4"/>
      <c r="AR592" s="3"/>
      <c r="AS592" s="4"/>
      <c r="AT592" s="3"/>
      <c r="AU592" s="3"/>
    </row>
    <row r="593" spans="1:47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5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4"/>
      <c r="AR593" s="3"/>
      <c r="AS593" s="4"/>
      <c r="AT593" s="3"/>
      <c r="AU593" s="3"/>
    </row>
    <row r="594" spans="1:47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5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4"/>
      <c r="AR594" s="3"/>
      <c r="AS594" s="4"/>
      <c r="AT594" s="3"/>
      <c r="AU594" s="3"/>
    </row>
    <row r="595" spans="1:47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5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4"/>
      <c r="AR595" s="3"/>
      <c r="AS595" s="4"/>
      <c r="AT595" s="3"/>
      <c r="AU595" s="3"/>
    </row>
    <row r="596" spans="1:47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5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4"/>
      <c r="AR596" s="3"/>
      <c r="AS596" s="4"/>
      <c r="AT596" s="3"/>
      <c r="AU596" s="3"/>
    </row>
    <row r="597" spans="1:47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5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4"/>
      <c r="AR597" s="3"/>
      <c r="AS597" s="4"/>
      <c r="AT597" s="3"/>
      <c r="AU597" s="3"/>
    </row>
    <row r="598" spans="1:47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5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4"/>
      <c r="AR598" s="3"/>
      <c r="AS598" s="4"/>
      <c r="AT598" s="3"/>
      <c r="AU598" s="3"/>
    </row>
    <row r="599" spans="1:47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5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4"/>
      <c r="AR599" s="3"/>
      <c r="AS599" s="4"/>
      <c r="AT599" s="3"/>
      <c r="AU599" s="3"/>
    </row>
    <row r="600" spans="1:47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5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4"/>
      <c r="AR600" s="3"/>
      <c r="AS600" s="4"/>
      <c r="AT600" s="3"/>
      <c r="AU600" s="3"/>
    </row>
    <row r="601" spans="1:47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5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4"/>
      <c r="AR601" s="3"/>
      <c r="AS601" s="4"/>
      <c r="AT601" s="3"/>
      <c r="AU601" s="3"/>
    </row>
    <row r="602" spans="1:47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5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4"/>
      <c r="AR602" s="3"/>
      <c r="AS602" s="4"/>
      <c r="AT602" s="3"/>
      <c r="AU602" s="3"/>
    </row>
    <row r="603" spans="1:47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5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4"/>
      <c r="AR603" s="3"/>
      <c r="AS603" s="4"/>
      <c r="AT603" s="3"/>
      <c r="AU603" s="3"/>
    </row>
    <row r="604" spans="1:47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5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4"/>
      <c r="AR604" s="3"/>
      <c r="AS604" s="4"/>
      <c r="AT604" s="3"/>
      <c r="AU604" s="3"/>
    </row>
    <row r="605" spans="1:47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5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4"/>
      <c r="AR605" s="3"/>
      <c r="AS605" s="4"/>
      <c r="AT605" s="3"/>
      <c r="AU605" s="3"/>
    </row>
    <row r="606" spans="1:47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5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4"/>
      <c r="AR606" s="3"/>
      <c r="AS606" s="4"/>
      <c r="AT606" s="3"/>
      <c r="AU606" s="3"/>
    </row>
    <row r="607" spans="1:47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5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4"/>
      <c r="AR607" s="3"/>
      <c r="AS607" s="4"/>
      <c r="AT607" s="3"/>
      <c r="AU607" s="3"/>
    </row>
    <row r="608" spans="1:47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5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4"/>
      <c r="AR608" s="3"/>
      <c r="AS608" s="4"/>
      <c r="AT608" s="3"/>
      <c r="AU608" s="3"/>
    </row>
    <row r="609" spans="1:47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5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4"/>
      <c r="AR609" s="3"/>
      <c r="AS609" s="4"/>
      <c r="AT609" s="3"/>
      <c r="AU609" s="3"/>
    </row>
    <row r="610" spans="1:47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5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4"/>
      <c r="AR610" s="3"/>
      <c r="AS610" s="4"/>
      <c r="AT610" s="3"/>
      <c r="AU610" s="3"/>
    </row>
    <row r="611" spans="1:47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5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4"/>
      <c r="AR611" s="3"/>
      <c r="AS611" s="4"/>
      <c r="AT611" s="3"/>
      <c r="AU611" s="3"/>
    </row>
    <row r="612" spans="1:47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5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4"/>
      <c r="AR612" s="3"/>
      <c r="AS612" s="4"/>
      <c r="AT612" s="3"/>
      <c r="AU612" s="3"/>
    </row>
    <row r="613" spans="1:47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5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4"/>
      <c r="AR613" s="3"/>
      <c r="AS613" s="4"/>
      <c r="AT613" s="3"/>
      <c r="AU613" s="3"/>
    </row>
    <row r="614" spans="1:47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5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4"/>
      <c r="AR614" s="3"/>
      <c r="AS614" s="4"/>
      <c r="AT614" s="3"/>
      <c r="AU614" s="3"/>
    </row>
    <row r="615" spans="1:47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5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4"/>
      <c r="AR615" s="3"/>
      <c r="AS615" s="4"/>
      <c r="AT615" s="3"/>
      <c r="AU615" s="3"/>
    </row>
    <row r="616" spans="1:47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5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4"/>
      <c r="AR616" s="3"/>
      <c r="AS616" s="4"/>
      <c r="AT616" s="3"/>
      <c r="AU616" s="3"/>
    </row>
    <row r="617" spans="1:47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5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4"/>
      <c r="AR617" s="3"/>
      <c r="AS617" s="4"/>
      <c r="AT617" s="3"/>
      <c r="AU617" s="3"/>
    </row>
    <row r="618" spans="1:47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5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4"/>
      <c r="AR618" s="3"/>
      <c r="AS618" s="4"/>
      <c r="AT618" s="3"/>
      <c r="AU618" s="3"/>
    </row>
    <row r="619" spans="1:47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5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4"/>
      <c r="AR619" s="3"/>
      <c r="AS619" s="4"/>
      <c r="AT619" s="3"/>
      <c r="AU619" s="3"/>
    </row>
    <row r="620" spans="1:47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5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4"/>
      <c r="AR620" s="3"/>
      <c r="AS620" s="4"/>
      <c r="AT620" s="3"/>
      <c r="AU620" s="3"/>
    </row>
    <row r="621" spans="1:47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5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4"/>
      <c r="AR621" s="3"/>
      <c r="AS621" s="4"/>
      <c r="AT621" s="3"/>
      <c r="AU621" s="3"/>
    </row>
    <row r="622" spans="1:47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5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4"/>
      <c r="AR622" s="3"/>
      <c r="AS622" s="4"/>
      <c r="AT622" s="3"/>
      <c r="AU622" s="3"/>
    </row>
    <row r="623" spans="1:47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5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4"/>
      <c r="AR623" s="3"/>
      <c r="AS623" s="4"/>
      <c r="AT623" s="3"/>
      <c r="AU623" s="3"/>
    </row>
    <row r="624" spans="1:47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5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4"/>
      <c r="AR624" s="3"/>
      <c r="AS624" s="4"/>
      <c r="AT624" s="3"/>
      <c r="AU624" s="3"/>
    </row>
    <row r="625" spans="1:47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5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4"/>
      <c r="AR625" s="3"/>
      <c r="AS625" s="4"/>
      <c r="AT625" s="3"/>
      <c r="AU625" s="3"/>
    </row>
    <row r="626" spans="1:47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5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4"/>
      <c r="AR626" s="3"/>
      <c r="AS626" s="4"/>
      <c r="AT626" s="3"/>
      <c r="AU626" s="3"/>
    </row>
    <row r="627" spans="1:47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5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4"/>
      <c r="AR627" s="3"/>
      <c r="AS627" s="4"/>
      <c r="AT627" s="3"/>
      <c r="AU627" s="3"/>
    </row>
    <row r="628" spans="1:47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5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4"/>
      <c r="AR628" s="3"/>
      <c r="AS628" s="4"/>
      <c r="AT628" s="3"/>
      <c r="AU628" s="3"/>
    </row>
    <row r="629" spans="1:47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5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4"/>
      <c r="AR629" s="3"/>
      <c r="AS629" s="4"/>
      <c r="AT629" s="3"/>
      <c r="AU629" s="3"/>
    </row>
    <row r="630" spans="1:47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5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4"/>
      <c r="AR630" s="3"/>
      <c r="AS630" s="4"/>
      <c r="AT630" s="3"/>
      <c r="AU630" s="3"/>
    </row>
    <row r="631" spans="1:47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5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4"/>
      <c r="AR631" s="3"/>
      <c r="AS631" s="4"/>
      <c r="AT631" s="3"/>
      <c r="AU631" s="3"/>
    </row>
    <row r="632" spans="1:47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5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4"/>
      <c r="AR632" s="3"/>
      <c r="AS632" s="4"/>
      <c r="AT632" s="3"/>
      <c r="AU632" s="3"/>
    </row>
    <row r="633" spans="1:47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5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4"/>
      <c r="AR633" s="3"/>
      <c r="AS633" s="4"/>
      <c r="AT633" s="3"/>
      <c r="AU633" s="3"/>
    </row>
    <row r="634" spans="1:47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5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4"/>
      <c r="AR634" s="3"/>
      <c r="AS634" s="4"/>
      <c r="AT634" s="3"/>
      <c r="AU634" s="3"/>
    </row>
    <row r="635" spans="1:47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5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4"/>
      <c r="AR635" s="3"/>
      <c r="AS635" s="4"/>
      <c r="AT635" s="3"/>
      <c r="AU635" s="3"/>
    </row>
    <row r="636" spans="1:47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5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4"/>
      <c r="AR636" s="3"/>
      <c r="AS636" s="4"/>
      <c r="AT636" s="3"/>
      <c r="AU636" s="3"/>
    </row>
    <row r="637" spans="1:47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5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4"/>
      <c r="AR637" s="3"/>
      <c r="AS637" s="4"/>
      <c r="AT637" s="3"/>
      <c r="AU637" s="3"/>
    </row>
    <row r="638" spans="1:47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5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4"/>
      <c r="AR638" s="3"/>
      <c r="AS638" s="4"/>
      <c r="AT638" s="3"/>
      <c r="AU638" s="3"/>
    </row>
    <row r="639" spans="1:47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5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4"/>
      <c r="AR639" s="3"/>
      <c r="AS639" s="4"/>
      <c r="AT639" s="3"/>
      <c r="AU639" s="3"/>
    </row>
    <row r="640" spans="1:47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5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4"/>
      <c r="AR640" s="3"/>
      <c r="AS640" s="4"/>
      <c r="AT640" s="3"/>
      <c r="AU640" s="3"/>
    </row>
    <row r="641" spans="1:47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5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4"/>
      <c r="AR641" s="3"/>
      <c r="AS641" s="4"/>
      <c r="AT641" s="3"/>
      <c r="AU641" s="3"/>
    </row>
    <row r="642" spans="1:47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5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4"/>
      <c r="AR642" s="3"/>
      <c r="AS642" s="4"/>
      <c r="AT642" s="3"/>
      <c r="AU642" s="3"/>
    </row>
    <row r="643" spans="1:47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5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4"/>
      <c r="AR643" s="3"/>
      <c r="AS643" s="4"/>
      <c r="AT643" s="3"/>
      <c r="AU643" s="3"/>
    </row>
    <row r="644" spans="1:47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5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4"/>
      <c r="AR644" s="3"/>
      <c r="AS644" s="4"/>
      <c r="AT644" s="3"/>
      <c r="AU644" s="3"/>
    </row>
    <row r="645" spans="1:47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5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4"/>
      <c r="AR645" s="3"/>
      <c r="AS645" s="4"/>
      <c r="AT645" s="3"/>
      <c r="AU645" s="3"/>
    </row>
    <row r="646" spans="1:47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5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4"/>
      <c r="AR646" s="3"/>
      <c r="AS646" s="4"/>
      <c r="AT646" s="3"/>
      <c r="AU646" s="3"/>
    </row>
    <row r="647" spans="1:47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5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4"/>
      <c r="AR647" s="3"/>
      <c r="AS647" s="4"/>
      <c r="AT647" s="3"/>
      <c r="AU647" s="3"/>
    </row>
    <row r="648" spans="1:47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5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4"/>
      <c r="AR648" s="3"/>
      <c r="AS648" s="4"/>
      <c r="AT648" s="3"/>
      <c r="AU648" s="3"/>
    </row>
    <row r="649" spans="1:47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5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4"/>
      <c r="AR649" s="3"/>
      <c r="AS649" s="4"/>
      <c r="AT649" s="3"/>
      <c r="AU649" s="3"/>
    </row>
    <row r="650" spans="1:47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5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4"/>
      <c r="AR650" s="3"/>
      <c r="AS650" s="4"/>
      <c r="AT650" s="3"/>
      <c r="AU650" s="3"/>
    </row>
    <row r="651" spans="1:47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5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4"/>
      <c r="AR651" s="3"/>
      <c r="AS651" s="4"/>
      <c r="AT651" s="3"/>
      <c r="AU651" s="3"/>
    </row>
    <row r="652" spans="1:47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5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4"/>
      <c r="AR652" s="3"/>
      <c r="AS652" s="4"/>
      <c r="AT652" s="3"/>
      <c r="AU652" s="3"/>
    </row>
    <row r="653" spans="1:47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5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4"/>
      <c r="AR653" s="3"/>
      <c r="AS653" s="4"/>
      <c r="AT653" s="3"/>
      <c r="AU653" s="3"/>
    </row>
    <row r="654" spans="1:47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5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4"/>
      <c r="AR654" s="3"/>
      <c r="AS654" s="4"/>
      <c r="AT654" s="3"/>
      <c r="AU654" s="3"/>
    </row>
    <row r="655" spans="1:47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5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4"/>
      <c r="AR655" s="3"/>
      <c r="AS655" s="4"/>
      <c r="AT655" s="3"/>
      <c r="AU655" s="3"/>
    </row>
    <row r="656" spans="1:47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5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4"/>
      <c r="AR656" s="3"/>
      <c r="AS656" s="4"/>
      <c r="AT656" s="3"/>
      <c r="AU656" s="3"/>
    </row>
    <row r="657" spans="1:47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5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4"/>
      <c r="AR657" s="3"/>
      <c r="AS657" s="4"/>
      <c r="AT657" s="3"/>
      <c r="AU657" s="3"/>
    </row>
    <row r="658" spans="1:47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5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4"/>
      <c r="AR658" s="3"/>
      <c r="AS658" s="4"/>
      <c r="AT658" s="3"/>
      <c r="AU658" s="3"/>
    </row>
    <row r="659" spans="1:47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5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4"/>
      <c r="AR659" s="3"/>
      <c r="AS659" s="4"/>
      <c r="AT659" s="3"/>
      <c r="AU659" s="3"/>
    </row>
    <row r="660" spans="1:47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5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4"/>
      <c r="AR660" s="3"/>
      <c r="AS660" s="4"/>
      <c r="AT660" s="3"/>
      <c r="AU660" s="3"/>
    </row>
    <row r="661" spans="1:47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5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4"/>
      <c r="AR661" s="3"/>
      <c r="AS661" s="4"/>
      <c r="AT661" s="3"/>
      <c r="AU661" s="3"/>
    </row>
    <row r="662" spans="1:47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5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4"/>
      <c r="AR662" s="3"/>
      <c r="AS662" s="4"/>
      <c r="AT662" s="3"/>
      <c r="AU662" s="3"/>
    </row>
    <row r="663" spans="1:47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5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4"/>
      <c r="AR663" s="3"/>
      <c r="AS663" s="4"/>
      <c r="AT663" s="3"/>
      <c r="AU663" s="3"/>
    </row>
    <row r="664" spans="1:47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5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4"/>
      <c r="AR664" s="3"/>
      <c r="AS664" s="4"/>
      <c r="AT664" s="3"/>
      <c r="AU664" s="3"/>
    </row>
    <row r="665" spans="1:47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5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4"/>
      <c r="AR665" s="3"/>
      <c r="AS665" s="4"/>
      <c r="AT665" s="3"/>
      <c r="AU665" s="3"/>
    </row>
    <row r="666" spans="1:47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5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4"/>
      <c r="AR666" s="3"/>
      <c r="AS666" s="4"/>
      <c r="AT666" s="3"/>
      <c r="AU666" s="3"/>
    </row>
    <row r="667" spans="1:47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5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4"/>
      <c r="AR667" s="3"/>
      <c r="AS667" s="4"/>
      <c r="AT667" s="3"/>
      <c r="AU667" s="3"/>
    </row>
    <row r="668" spans="1:47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5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4"/>
      <c r="AR668" s="3"/>
      <c r="AS668" s="4"/>
      <c r="AT668" s="3"/>
      <c r="AU668" s="3"/>
    </row>
    <row r="669" spans="1:47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5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4"/>
      <c r="AR669" s="3"/>
      <c r="AS669" s="4"/>
      <c r="AT669" s="3"/>
      <c r="AU669" s="3"/>
    </row>
    <row r="670" spans="1:47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5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4"/>
      <c r="AR670" s="3"/>
      <c r="AS670" s="4"/>
      <c r="AT670" s="3"/>
      <c r="AU670" s="3"/>
    </row>
    <row r="671" spans="1:47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5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4"/>
      <c r="AR671" s="3"/>
      <c r="AS671" s="4"/>
      <c r="AT671" s="3"/>
      <c r="AU671" s="3"/>
    </row>
    <row r="672" spans="1:47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5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4"/>
      <c r="AR672" s="3"/>
      <c r="AS672" s="4"/>
      <c r="AT672" s="3"/>
      <c r="AU672" s="3"/>
    </row>
    <row r="673" spans="1:47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5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4"/>
      <c r="AR673" s="3"/>
      <c r="AS673" s="4"/>
      <c r="AT673" s="3"/>
      <c r="AU673" s="3"/>
    </row>
    <row r="674" spans="1:47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5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4"/>
      <c r="AR674" s="3"/>
      <c r="AS674" s="4"/>
      <c r="AT674" s="3"/>
      <c r="AU674" s="3"/>
    </row>
    <row r="675" spans="1:47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5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4"/>
      <c r="AR675" s="3"/>
      <c r="AS675" s="4"/>
      <c r="AT675" s="3"/>
      <c r="AU675" s="3"/>
    </row>
    <row r="676" spans="1:47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5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4"/>
      <c r="AR676" s="3"/>
      <c r="AS676" s="4"/>
      <c r="AT676" s="3"/>
      <c r="AU676" s="3"/>
    </row>
    <row r="677" spans="1:47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5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4"/>
      <c r="AR677" s="3"/>
      <c r="AS677" s="4"/>
      <c r="AT677" s="3"/>
      <c r="AU677" s="3"/>
    </row>
    <row r="678" spans="1:47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5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4"/>
      <c r="AR678" s="3"/>
      <c r="AS678" s="4"/>
      <c r="AT678" s="3"/>
      <c r="AU678" s="3"/>
    </row>
    <row r="679" spans="1:47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5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4"/>
      <c r="AR679" s="3"/>
      <c r="AS679" s="4"/>
      <c r="AT679" s="3"/>
      <c r="AU679" s="3"/>
    </row>
    <row r="680" spans="1:47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5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4"/>
      <c r="AR680" s="3"/>
      <c r="AS680" s="4"/>
      <c r="AT680" s="3"/>
      <c r="AU680" s="3"/>
    </row>
    <row r="681" spans="1:47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5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4"/>
      <c r="AR681" s="3"/>
      <c r="AS681" s="4"/>
      <c r="AT681" s="3"/>
      <c r="AU681" s="3"/>
    </row>
    <row r="682" spans="1:47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5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4"/>
      <c r="AR682" s="3"/>
      <c r="AS682" s="4"/>
      <c r="AT682" s="3"/>
      <c r="AU682" s="3"/>
    </row>
    <row r="683" spans="1:47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5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4"/>
      <c r="AR683" s="3"/>
      <c r="AS683" s="4"/>
      <c r="AT683" s="3"/>
      <c r="AU683" s="3"/>
    </row>
    <row r="684" spans="1:47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5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4"/>
      <c r="AR684" s="3"/>
      <c r="AS684" s="4"/>
      <c r="AT684" s="3"/>
      <c r="AU684" s="3"/>
    </row>
    <row r="685" spans="1:47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5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4"/>
      <c r="AR685" s="3"/>
      <c r="AS685" s="4"/>
      <c r="AT685" s="3"/>
      <c r="AU685" s="3"/>
    </row>
    <row r="686" spans="1:47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5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4"/>
      <c r="AR686" s="3"/>
      <c r="AS686" s="4"/>
      <c r="AT686" s="3"/>
      <c r="AU686" s="3"/>
    </row>
    <row r="687" spans="1:47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5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4"/>
      <c r="AR687" s="3"/>
      <c r="AS687" s="4"/>
      <c r="AT687" s="3"/>
      <c r="AU687" s="3"/>
    </row>
    <row r="688" spans="1:47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5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4"/>
      <c r="AR688" s="3"/>
      <c r="AS688" s="4"/>
      <c r="AT688" s="3"/>
      <c r="AU688" s="3"/>
    </row>
    <row r="689" spans="1:47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5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4"/>
      <c r="AR689" s="3"/>
      <c r="AS689" s="4"/>
      <c r="AT689" s="3"/>
      <c r="AU689" s="3"/>
    </row>
    <row r="690" spans="1:47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5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4"/>
      <c r="AR690" s="3"/>
      <c r="AS690" s="4"/>
      <c r="AT690" s="3"/>
      <c r="AU690" s="3"/>
    </row>
    <row r="691" spans="1:47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5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4"/>
      <c r="AR691" s="3"/>
      <c r="AS691" s="4"/>
      <c r="AT691" s="3"/>
      <c r="AU691" s="3"/>
    </row>
    <row r="692" spans="1:47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5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4"/>
      <c r="AR692" s="3"/>
      <c r="AS692" s="4"/>
      <c r="AT692" s="3"/>
      <c r="AU692" s="3"/>
    </row>
    <row r="693" spans="1:47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5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4"/>
      <c r="AR693" s="3"/>
      <c r="AS693" s="4"/>
      <c r="AT693" s="3"/>
      <c r="AU693" s="3"/>
    </row>
    <row r="694" spans="1:47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5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4"/>
      <c r="AR694" s="3"/>
      <c r="AS694" s="4"/>
      <c r="AT694" s="3"/>
      <c r="AU694" s="3"/>
    </row>
    <row r="695" spans="1:47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5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4"/>
      <c r="AR695" s="3"/>
      <c r="AS695" s="4"/>
      <c r="AT695" s="3"/>
      <c r="AU695" s="3"/>
    </row>
    <row r="696" spans="1:47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5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4"/>
      <c r="AR696" s="3"/>
      <c r="AS696" s="4"/>
      <c r="AT696" s="3"/>
      <c r="AU696" s="3"/>
    </row>
    <row r="697" spans="1:47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5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4"/>
      <c r="AR697" s="3"/>
      <c r="AS697" s="4"/>
      <c r="AT697" s="3"/>
      <c r="AU697" s="3"/>
    </row>
    <row r="698" spans="1:47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5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4"/>
      <c r="AR698" s="3"/>
      <c r="AS698" s="4"/>
      <c r="AT698" s="3"/>
      <c r="AU698" s="3"/>
    </row>
    <row r="699" spans="1:47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5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4"/>
      <c r="AR699" s="3"/>
      <c r="AS699" s="4"/>
      <c r="AT699" s="3"/>
      <c r="AU699" s="3"/>
    </row>
    <row r="700" spans="1:47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5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4"/>
      <c r="AR700" s="3"/>
      <c r="AS700" s="4"/>
      <c r="AT700" s="3"/>
      <c r="AU700" s="3"/>
    </row>
    <row r="701" spans="1:47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5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4"/>
      <c r="AR701" s="3"/>
      <c r="AS701" s="4"/>
      <c r="AT701" s="3"/>
      <c r="AU701" s="3"/>
    </row>
    <row r="702" spans="1:47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5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4"/>
      <c r="AR702" s="3"/>
      <c r="AS702" s="4"/>
      <c r="AT702" s="3"/>
      <c r="AU702" s="3"/>
    </row>
    <row r="703" spans="1:47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5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4"/>
      <c r="AR703" s="3"/>
      <c r="AS703" s="4"/>
      <c r="AT703" s="3"/>
      <c r="AU703" s="3"/>
    </row>
    <row r="704" spans="1:47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5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4"/>
      <c r="AR704" s="3"/>
      <c r="AS704" s="4"/>
      <c r="AT704" s="3"/>
      <c r="AU704" s="3"/>
    </row>
    <row r="705" spans="1:47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5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4"/>
      <c r="AR705" s="3"/>
      <c r="AS705" s="4"/>
      <c r="AT705" s="3"/>
      <c r="AU705" s="3"/>
    </row>
    <row r="706" spans="1:47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5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4"/>
      <c r="AR706" s="3"/>
      <c r="AS706" s="4"/>
      <c r="AT706" s="3"/>
      <c r="AU706" s="3"/>
    </row>
    <row r="707" spans="1:47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5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4"/>
      <c r="AR707" s="3"/>
      <c r="AS707" s="4"/>
      <c r="AT707" s="3"/>
      <c r="AU707" s="3"/>
    </row>
    <row r="708" spans="1:47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5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4"/>
      <c r="AR708" s="3"/>
      <c r="AS708" s="4"/>
      <c r="AT708" s="3"/>
      <c r="AU708" s="3"/>
    </row>
    <row r="709" spans="1:47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5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4"/>
      <c r="AR709" s="3"/>
      <c r="AS709" s="4"/>
      <c r="AT709" s="3"/>
      <c r="AU709" s="3"/>
    </row>
    <row r="710" spans="1:47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5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4"/>
      <c r="AR710" s="3"/>
      <c r="AS710" s="4"/>
      <c r="AT710" s="3"/>
      <c r="AU710" s="3"/>
    </row>
    <row r="711" spans="1:47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5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4"/>
      <c r="AR711" s="3"/>
      <c r="AS711" s="4"/>
      <c r="AT711" s="3"/>
      <c r="AU711" s="3"/>
    </row>
    <row r="712" spans="1:47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5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4"/>
      <c r="AR712" s="3"/>
      <c r="AS712" s="4"/>
      <c r="AT712" s="3"/>
      <c r="AU712" s="3"/>
    </row>
    <row r="713" spans="1:47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5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4"/>
      <c r="AR713" s="3"/>
      <c r="AS713" s="4"/>
      <c r="AT713" s="3"/>
      <c r="AU713" s="3"/>
    </row>
    <row r="714" spans="1:47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5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4"/>
      <c r="AR714" s="3"/>
      <c r="AS714" s="4"/>
      <c r="AT714" s="3"/>
      <c r="AU714" s="3"/>
    </row>
    <row r="715" spans="1:47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5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4"/>
      <c r="AR715" s="3"/>
      <c r="AS715" s="4"/>
      <c r="AT715" s="3"/>
      <c r="AU715" s="3"/>
    </row>
    <row r="716" spans="1:47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5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4"/>
      <c r="AR716" s="3"/>
      <c r="AS716" s="4"/>
      <c r="AT716" s="3"/>
      <c r="AU716" s="3"/>
    </row>
    <row r="717" spans="1:47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5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4"/>
      <c r="AR717" s="3"/>
      <c r="AS717" s="4"/>
      <c r="AT717" s="3"/>
      <c r="AU717" s="3"/>
    </row>
    <row r="718" spans="1:47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5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4"/>
      <c r="AR718" s="3"/>
      <c r="AS718" s="4"/>
      <c r="AT718" s="3"/>
      <c r="AU718" s="3"/>
    </row>
    <row r="719" spans="1:47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5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4"/>
      <c r="AR719" s="3"/>
      <c r="AS719" s="4"/>
      <c r="AT719" s="3"/>
      <c r="AU719" s="3"/>
    </row>
    <row r="720" spans="1:47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5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4"/>
      <c r="AR720" s="3"/>
      <c r="AS720" s="4"/>
      <c r="AT720" s="3"/>
      <c r="AU720" s="3"/>
    </row>
    <row r="721" spans="1:47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5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4"/>
      <c r="AR721" s="3"/>
      <c r="AS721" s="4"/>
      <c r="AT721" s="3"/>
      <c r="AU721" s="3"/>
    </row>
    <row r="722" spans="1:47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5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4"/>
      <c r="AR722" s="3"/>
      <c r="AS722" s="4"/>
      <c r="AT722" s="3"/>
      <c r="AU722" s="3"/>
    </row>
    <row r="723" spans="1:47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5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4"/>
      <c r="AR723" s="3"/>
      <c r="AS723" s="4"/>
      <c r="AT723" s="3"/>
      <c r="AU723" s="3"/>
    </row>
    <row r="724" spans="1:47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5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4"/>
      <c r="AR724" s="3"/>
      <c r="AS724" s="4"/>
      <c r="AT724" s="3"/>
      <c r="AU724" s="3"/>
    </row>
    <row r="725" spans="1:47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5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4"/>
      <c r="AR725" s="3"/>
      <c r="AS725" s="4"/>
      <c r="AT725" s="3"/>
      <c r="AU725" s="3"/>
    </row>
    <row r="726" spans="1:47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5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4"/>
      <c r="AR726" s="3"/>
      <c r="AS726" s="4"/>
      <c r="AT726" s="3"/>
      <c r="AU726" s="3"/>
    </row>
    <row r="727" spans="1:47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5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4"/>
      <c r="AR727" s="3"/>
      <c r="AS727" s="4"/>
      <c r="AT727" s="3"/>
      <c r="AU727" s="3"/>
    </row>
    <row r="728" spans="1:47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5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4"/>
      <c r="AR728" s="3"/>
      <c r="AS728" s="4"/>
      <c r="AT728" s="3"/>
      <c r="AU728" s="3"/>
    </row>
    <row r="729" spans="1:47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5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4"/>
      <c r="AR729" s="3"/>
      <c r="AS729" s="4"/>
      <c r="AT729" s="3"/>
      <c r="AU729" s="3"/>
    </row>
    <row r="730" spans="1:47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5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4"/>
      <c r="AR730" s="3"/>
      <c r="AS730" s="4"/>
      <c r="AT730" s="3"/>
      <c r="AU730" s="3"/>
    </row>
    <row r="731" spans="1:47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5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4"/>
      <c r="AR731" s="3"/>
      <c r="AS731" s="4"/>
      <c r="AT731" s="3"/>
      <c r="AU731" s="3"/>
    </row>
    <row r="732" spans="1:47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5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4"/>
      <c r="AR732" s="3"/>
      <c r="AS732" s="4"/>
      <c r="AT732" s="3"/>
      <c r="AU732" s="3"/>
    </row>
    <row r="733" spans="1:47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5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4"/>
      <c r="AR733" s="3"/>
      <c r="AS733" s="4"/>
      <c r="AT733" s="3"/>
      <c r="AU733" s="3"/>
    </row>
    <row r="734" spans="1:47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5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4"/>
      <c r="AR734" s="3"/>
      <c r="AS734" s="4"/>
      <c r="AT734" s="3"/>
      <c r="AU734" s="3"/>
    </row>
    <row r="735" spans="1:47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5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4"/>
      <c r="AR735" s="3"/>
      <c r="AS735" s="4"/>
      <c r="AT735" s="3"/>
      <c r="AU735" s="3"/>
    </row>
    <row r="736" spans="1:47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5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4"/>
      <c r="AR736" s="3"/>
      <c r="AS736" s="4"/>
      <c r="AT736" s="3"/>
      <c r="AU736" s="3"/>
    </row>
    <row r="737" spans="1:47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5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4"/>
      <c r="AR737" s="3"/>
      <c r="AS737" s="4"/>
      <c r="AT737" s="3"/>
      <c r="AU737" s="3"/>
    </row>
    <row r="738" spans="1:47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5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4"/>
      <c r="AR738" s="3"/>
      <c r="AS738" s="4"/>
      <c r="AT738" s="3"/>
      <c r="AU738" s="3"/>
    </row>
    <row r="739" spans="1:47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5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4"/>
      <c r="AR739" s="3"/>
      <c r="AS739" s="4"/>
      <c r="AT739" s="3"/>
      <c r="AU739" s="3"/>
    </row>
    <row r="740" spans="1:47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5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4"/>
      <c r="AR740" s="3"/>
      <c r="AS740" s="4"/>
      <c r="AT740" s="3"/>
      <c r="AU740" s="3"/>
    </row>
    <row r="741" spans="1:47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5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4"/>
      <c r="AR741" s="3"/>
      <c r="AS741" s="4"/>
      <c r="AT741" s="3"/>
      <c r="AU741" s="3"/>
    </row>
    <row r="742" spans="1:47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5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4"/>
      <c r="AR742" s="3"/>
      <c r="AS742" s="4"/>
      <c r="AT742" s="3"/>
      <c r="AU742" s="3"/>
    </row>
    <row r="743" spans="1:47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5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4"/>
      <c r="AR743" s="3"/>
      <c r="AS743" s="4"/>
      <c r="AT743" s="3"/>
      <c r="AU743" s="3"/>
    </row>
    <row r="744" spans="1:47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5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4"/>
      <c r="AR744" s="3"/>
      <c r="AS744" s="4"/>
      <c r="AT744" s="3"/>
      <c r="AU744" s="3"/>
    </row>
    <row r="745" spans="1:47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5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4"/>
      <c r="AR745" s="3"/>
      <c r="AS745" s="4"/>
      <c r="AT745" s="3"/>
      <c r="AU745" s="3"/>
    </row>
    <row r="746" spans="1:47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5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4"/>
      <c r="AR746" s="3"/>
      <c r="AS746" s="4"/>
      <c r="AT746" s="3"/>
      <c r="AU746" s="3"/>
    </row>
    <row r="747" spans="1:47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5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4"/>
      <c r="AR747" s="3"/>
      <c r="AS747" s="4"/>
      <c r="AT747" s="3"/>
      <c r="AU747" s="3"/>
    </row>
    <row r="748" spans="1:47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5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4"/>
      <c r="AR748" s="3"/>
      <c r="AS748" s="4"/>
      <c r="AT748" s="3"/>
      <c r="AU748" s="3"/>
    </row>
    <row r="749" spans="1:47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5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4"/>
      <c r="AR749" s="3"/>
      <c r="AS749" s="4"/>
      <c r="AT749" s="3"/>
      <c r="AU749" s="3"/>
    </row>
    <row r="750" spans="1:47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5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4"/>
      <c r="AR750" s="3"/>
      <c r="AS750" s="4"/>
      <c r="AT750" s="3"/>
      <c r="AU750" s="3"/>
    </row>
    <row r="751" spans="1:47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5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4"/>
      <c r="AR751" s="3"/>
      <c r="AS751" s="4"/>
      <c r="AT751" s="3"/>
      <c r="AU751" s="3"/>
    </row>
    <row r="752" spans="1:47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5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4"/>
      <c r="AR752" s="3"/>
      <c r="AS752" s="4"/>
      <c r="AT752" s="3"/>
      <c r="AU752" s="3"/>
    </row>
    <row r="753" spans="1:47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5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4"/>
      <c r="AR753" s="3"/>
      <c r="AS753" s="4"/>
      <c r="AT753" s="3"/>
      <c r="AU753" s="3"/>
    </row>
    <row r="754" spans="1:47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5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4"/>
      <c r="AR754" s="3"/>
      <c r="AS754" s="4"/>
      <c r="AT754" s="3"/>
      <c r="AU754" s="3"/>
    </row>
    <row r="755" spans="1:47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5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4"/>
      <c r="AR755" s="3"/>
      <c r="AS755" s="4"/>
      <c r="AT755" s="3"/>
      <c r="AU755" s="3"/>
    </row>
    <row r="756" spans="1:47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5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4"/>
      <c r="AR756" s="3"/>
      <c r="AS756" s="4"/>
      <c r="AT756" s="3"/>
      <c r="AU756" s="3"/>
    </row>
    <row r="757" spans="1:47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5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4"/>
      <c r="AR757" s="3"/>
      <c r="AS757" s="4"/>
      <c r="AT757" s="3"/>
      <c r="AU757" s="3"/>
    </row>
    <row r="758" spans="1:47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5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4"/>
      <c r="AR758" s="3"/>
      <c r="AS758" s="4"/>
      <c r="AT758" s="3"/>
      <c r="AU758" s="3"/>
    </row>
    <row r="759" spans="1:47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5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4"/>
      <c r="AR759" s="3"/>
      <c r="AS759" s="4"/>
      <c r="AT759" s="3"/>
      <c r="AU759" s="3"/>
    </row>
    <row r="760" spans="1:47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5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4"/>
      <c r="AR760" s="3"/>
      <c r="AS760" s="4"/>
      <c r="AT760" s="3"/>
      <c r="AU760" s="3"/>
    </row>
    <row r="761" spans="1:47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5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4"/>
      <c r="AR761" s="3"/>
      <c r="AS761" s="4"/>
      <c r="AT761" s="3"/>
      <c r="AU761" s="3"/>
    </row>
    <row r="762" spans="1:47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5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4"/>
      <c r="AR762" s="3"/>
      <c r="AS762" s="4"/>
      <c r="AT762" s="3"/>
      <c r="AU762" s="3"/>
    </row>
    <row r="763" spans="1:47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5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4"/>
      <c r="AR763" s="3"/>
      <c r="AS763" s="4"/>
      <c r="AT763" s="3"/>
      <c r="AU763" s="3"/>
    </row>
    <row r="764" spans="1:47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5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4"/>
      <c r="AR764" s="3"/>
      <c r="AS764" s="4"/>
      <c r="AT764" s="3"/>
      <c r="AU764" s="3"/>
    </row>
    <row r="765" spans="1:47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5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4"/>
      <c r="AR765" s="3"/>
      <c r="AS765" s="4"/>
      <c r="AT765" s="3"/>
      <c r="AU765" s="3"/>
    </row>
    <row r="766" spans="1:47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5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4"/>
      <c r="AR766" s="3"/>
      <c r="AS766" s="4"/>
      <c r="AT766" s="3"/>
      <c r="AU766" s="3"/>
    </row>
    <row r="767" spans="1:47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5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4"/>
      <c r="AR767" s="3"/>
      <c r="AS767" s="4"/>
      <c r="AT767" s="3"/>
      <c r="AU767" s="3"/>
    </row>
    <row r="768" spans="1:47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5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4"/>
      <c r="AR768" s="3"/>
      <c r="AS768" s="4"/>
      <c r="AT768" s="3"/>
      <c r="AU768" s="3"/>
    </row>
    <row r="769" spans="1:47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5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4"/>
      <c r="AR769" s="3"/>
      <c r="AS769" s="4"/>
      <c r="AT769" s="3"/>
      <c r="AU769" s="3"/>
    </row>
    <row r="770" spans="1:47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5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4"/>
      <c r="AR770" s="3"/>
      <c r="AS770" s="4"/>
      <c r="AT770" s="3"/>
      <c r="AU770" s="3"/>
    </row>
    <row r="771" spans="1:47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5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4"/>
      <c r="AR771" s="3"/>
      <c r="AS771" s="4"/>
      <c r="AT771" s="3"/>
      <c r="AU771" s="3"/>
    </row>
    <row r="772" spans="1:47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5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4"/>
      <c r="AR772" s="3"/>
      <c r="AS772" s="4"/>
      <c r="AT772" s="3"/>
      <c r="AU772" s="3"/>
    </row>
    <row r="773" spans="1:47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5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4"/>
      <c r="AR773" s="3"/>
      <c r="AS773" s="4"/>
      <c r="AT773" s="3"/>
      <c r="AU773" s="3"/>
    </row>
    <row r="774" spans="1:47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5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4"/>
      <c r="AR774" s="3"/>
      <c r="AS774" s="4"/>
      <c r="AT774" s="3"/>
      <c r="AU774" s="3"/>
    </row>
    <row r="775" spans="1:47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5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4"/>
      <c r="AR775" s="3"/>
      <c r="AS775" s="4"/>
      <c r="AT775" s="3"/>
      <c r="AU775" s="3"/>
    </row>
    <row r="776" spans="1:47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5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4"/>
      <c r="AR776" s="3"/>
      <c r="AS776" s="4"/>
      <c r="AT776" s="3"/>
      <c r="AU776" s="3"/>
    </row>
    <row r="777" spans="1:47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5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4"/>
      <c r="AR777" s="3"/>
      <c r="AS777" s="4"/>
      <c r="AT777" s="3"/>
      <c r="AU777" s="3"/>
    </row>
    <row r="778" spans="1:47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5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4"/>
      <c r="AR778" s="3"/>
      <c r="AS778" s="4"/>
      <c r="AT778" s="3"/>
      <c r="AU778" s="3"/>
    </row>
    <row r="779" spans="1:47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5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4"/>
      <c r="AR779" s="3"/>
      <c r="AS779" s="4"/>
      <c r="AT779" s="3"/>
      <c r="AU779" s="3"/>
    </row>
    <row r="780" spans="1:47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5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4"/>
      <c r="AR780" s="3"/>
      <c r="AS780" s="4"/>
      <c r="AT780" s="3"/>
      <c r="AU780" s="3"/>
    </row>
    <row r="781" spans="1:47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5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4"/>
      <c r="AR781" s="3"/>
      <c r="AS781" s="4"/>
      <c r="AT781" s="3"/>
      <c r="AU781" s="3"/>
    </row>
    <row r="782" spans="1:47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5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4"/>
      <c r="AR782" s="3"/>
      <c r="AS782" s="4"/>
      <c r="AT782" s="3"/>
      <c r="AU782" s="3"/>
    </row>
    <row r="783" spans="1:47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5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4"/>
      <c r="AR783" s="3"/>
      <c r="AS783" s="4"/>
      <c r="AT783" s="3"/>
      <c r="AU783" s="3"/>
    </row>
    <row r="784" spans="1:47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5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4"/>
      <c r="AR784" s="3"/>
      <c r="AS784" s="4"/>
      <c r="AT784" s="3"/>
      <c r="AU784" s="3"/>
    </row>
    <row r="785" spans="1:47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5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4"/>
      <c r="AR785" s="3"/>
      <c r="AS785" s="4"/>
      <c r="AT785" s="3"/>
      <c r="AU785" s="3"/>
    </row>
    <row r="786" spans="1:47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5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4"/>
      <c r="AR786" s="3"/>
      <c r="AS786" s="4"/>
      <c r="AT786" s="3"/>
      <c r="AU786" s="3"/>
    </row>
    <row r="787" spans="1:47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5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4"/>
      <c r="AR787" s="3"/>
      <c r="AS787" s="4"/>
      <c r="AT787" s="3"/>
      <c r="AU787" s="3"/>
    </row>
    <row r="788" spans="1:47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5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4"/>
      <c r="AR788" s="3"/>
      <c r="AS788" s="4"/>
      <c r="AT788" s="3"/>
      <c r="AU788" s="3"/>
    </row>
    <row r="789" spans="1:47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5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4"/>
      <c r="AR789" s="3"/>
      <c r="AS789" s="4"/>
      <c r="AT789" s="3"/>
      <c r="AU789" s="3"/>
    </row>
    <row r="790" spans="1:47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5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4"/>
      <c r="AR790" s="3"/>
      <c r="AS790" s="4"/>
      <c r="AT790" s="3"/>
      <c r="AU790" s="3"/>
    </row>
    <row r="791" spans="1:47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5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4"/>
      <c r="AR791" s="3"/>
      <c r="AS791" s="4"/>
      <c r="AT791" s="3"/>
      <c r="AU791" s="3"/>
    </row>
    <row r="792" spans="1:47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5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4"/>
      <c r="AR792" s="3"/>
      <c r="AS792" s="4"/>
      <c r="AT792" s="3"/>
      <c r="AU792" s="3"/>
    </row>
    <row r="793" spans="1:47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5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4"/>
      <c r="AR793" s="3"/>
      <c r="AS793" s="4"/>
      <c r="AT793" s="3"/>
      <c r="AU793" s="3"/>
    </row>
    <row r="794" spans="1:47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5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4"/>
      <c r="AR794" s="3"/>
      <c r="AS794" s="4"/>
      <c r="AT794" s="3"/>
      <c r="AU794" s="3"/>
    </row>
    <row r="795" spans="1:47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5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4"/>
      <c r="AR795" s="3"/>
      <c r="AS795" s="4"/>
      <c r="AT795" s="3"/>
      <c r="AU795" s="3"/>
    </row>
    <row r="796" spans="1:47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5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4"/>
      <c r="AR796" s="3"/>
      <c r="AS796" s="4"/>
      <c r="AT796" s="3"/>
      <c r="AU796" s="3"/>
    </row>
    <row r="797" spans="1:47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5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4"/>
      <c r="AR797" s="3"/>
      <c r="AS797" s="4"/>
      <c r="AT797" s="3"/>
      <c r="AU797" s="3"/>
    </row>
    <row r="798" spans="1:47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5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4"/>
      <c r="AR798" s="3"/>
      <c r="AS798" s="4"/>
      <c r="AT798" s="3"/>
      <c r="AU798" s="3"/>
    </row>
    <row r="799" spans="1:47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5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4"/>
      <c r="AR799" s="3"/>
      <c r="AS799" s="4"/>
      <c r="AT799" s="3"/>
      <c r="AU799" s="3"/>
    </row>
    <row r="800" spans="1:47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5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4"/>
      <c r="AR800" s="3"/>
      <c r="AS800" s="4"/>
      <c r="AT800" s="3"/>
      <c r="AU800" s="3"/>
    </row>
    <row r="801" spans="1:47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5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4"/>
      <c r="AR801" s="3"/>
      <c r="AS801" s="4"/>
      <c r="AT801" s="3"/>
      <c r="AU801" s="3"/>
    </row>
    <row r="802" spans="1:47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5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4"/>
      <c r="AR802" s="3"/>
      <c r="AS802" s="4"/>
      <c r="AT802" s="3"/>
      <c r="AU802" s="3"/>
    </row>
    <row r="803" spans="1:47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5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4"/>
      <c r="AR803" s="3"/>
      <c r="AS803" s="4"/>
      <c r="AT803" s="3"/>
      <c r="AU803" s="3"/>
    </row>
    <row r="804" spans="1:47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5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4"/>
      <c r="AR804" s="3"/>
      <c r="AS804" s="4"/>
      <c r="AT804" s="3"/>
      <c r="AU804" s="3"/>
    </row>
    <row r="805" spans="1:47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5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4"/>
      <c r="AR805" s="3"/>
      <c r="AS805" s="4"/>
      <c r="AT805" s="3"/>
      <c r="AU805" s="3"/>
    </row>
    <row r="806" spans="1:47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5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4"/>
      <c r="AR806" s="3"/>
      <c r="AS806" s="4"/>
      <c r="AT806" s="3"/>
      <c r="AU806" s="3"/>
    </row>
    <row r="807" spans="1:47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5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4"/>
      <c r="AR807" s="3"/>
      <c r="AS807" s="4"/>
      <c r="AT807" s="3"/>
      <c r="AU807" s="3"/>
    </row>
    <row r="808" spans="1:47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5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4"/>
      <c r="AR808" s="3"/>
      <c r="AS808" s="4"/>
      <c r="AT808" s="3"/>
      <c r="AU808" s="3"/>
    </row>
    <row r="809" spans="1:47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5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4"/>
      <c r="AR809" s="3"/>
      <c r="AS809" s="4"/>
      <c r="AT809" s="3"/>
      <c r="AU809" s="3"/>
    </row>
    <row r="810" spans="1:47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5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4"/>
      <c r="AR810" s="3"/>
      <c r="AS810" s="4"/>
      <c r="AT810" s="3"/>
      <c r="AU810" s="3"/>
    </row>
    <row r="811" spans="1:47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5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4"/>
      <c r="AR811" s="3"/>
      <c r="AS811" s="4"/>
      <c r="AT811" s="3"/>
      <c r="AU811" s="3"/>
    </row>
    <row r="812" spans="1:47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5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4"/>
      <c r="AR812" s="3"/>
      <c r="AS812" s="4"/>
      <c r="AT812" s="3"/>
      <c r="AU812" s="3"/>
    </row>
    <row r="813" spans="1:47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5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4"/>
      <c r="AR813" s="3"/>
      <c r="AS813" s="4"/>
      <c r="AT813" s="3"/>
      <c r="AU813" s="3"/>
    </row>
    <row r="814" spans="1:47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5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4"/>
      <c r="AR814" s="3"/>
      <c r="AS814" s="4"/>
      <c r="AT814" s="3"/>
      <c r="AU814" s="3"/>
    </row>
    <row r="815" spans="1:47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5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4"/>
      <c r="AR815" s="3"/>
      <c r="AS815" s="4"/>
      <c r="AT815" s="3"/>
      <c r="AU815" s="3"/>
    </row>
    <row r="816" spans="1:47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5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4"/>
      <c r="AR816" s="3"/>
      <c r="AS816" s="4"/>
      <c r="AT816" s="3"/>
      <c r="AU816" s="3"/>
    </row>
    <row r="817" spans="1:47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5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4"/>
      <c r="AR817" s="3"/>
      <c r="AS817" s="4"/>
      <c r="AT817" s="3"/>
      <c r="AU817" s="3"/>
    </row>
    <row r="818" spans="1:47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5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4"/>
      <c r="AR818" s="3"/>
      <c r="AS818" s="4"/>
      <c r="AT818" s="3"/>
      <c r="AU818" s="3"/>
    </row>
    <row r="819" spans="1:47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5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4"/>
      <c r="AR819" s="3"/>
      <c r="AS819" s="4"/>
      <c r="AT819" s="3"/>
      <c r="AU819" s="3"/>
    </row>
    <row r="820" spans="1:47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5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4"/>
      <c r="AR820" s="3"/>
      <c r="AS820" s="4"/>
      <c r="AT820" s="3"/>
      <c r="AU820" s="3"/>
    </row>
    <row r="821" spans="1:47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5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4"/>
      <c r="AR821" s="3"/>
      <c r="AS821" s="4"/>
      <c r="AT821" s="3"/>
      <c r="AU821" s="3"/>
    </row>
    <row r="822" spans="1:47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5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4"/>
      <c r="AR822" s="3"/>
      <c r="AS822" s="4"/>
      <c r="AT822" s="3"/>
      <c r="AU822" s="3"/>
    </row>
    <row r="823" spans="1:47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5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4"/>
      <c r="AR823" s="3"/>
      <c r="AS823" s="4"/>
      <c r="AT823" s="3"/>
      <c r="AU823" s="3"/>
    </row>
    <row r="824" spans="1:47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5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4"/>
      <c r="AR824" s="3"/>
      <c r="AS824" s="4"/>
      <c r="AT824" s="3"/>
      <c r="AU824" s="3"/>
    </row>
    <row r="825" spans="1:47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5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4"/>
      <c r="AR825" s="3"/>
      <c r="AS825" s="4"/>
      <c r="AT825" s="3"/>
      <c r="AU825" s="3"/>
    </row>
    <row r="826" spans="1:47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5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4"/>
      <c r="AR826" s="3"/>
      <c r="AS826" s="4"/>
      <c r="AT826" s="3"/>
      <c r="AU826" s="3"/>
    </row>
    <row r="827" spans="1:47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5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4"/>
      <c r="AR827" s="3"/>
      <c r="AS827" s="4"/>
      <c r="AT827" s="3"/>
      <c r="AU827" s="3"/>
    </row>
    <row r="828" spans="1:47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5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4"/>
      <c r="AR828" s="3"/>
      <c r="AS828" s="4"/>
      <c r="AT828" s="3"/>
      <c r="AU828" s="3"/>
    </row>
    <row r="829" spans="1:47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5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4"/>
      <c r="AR829" s="3"/>
      <c r="AS829" s="4"/>
      <c r="AT829" s="3"/>
      <c r="AU829" s="3"/>
    </row>
    <row r="830" spans="1:47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5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4"/>
      <c r="AR830" s="3"/>
      <c r="AS830" s="4"/>
      <c r="AT830" s="3"/>
      <c r="AU830" s="3"/>
    </row>
    <row r="831" spans="1:47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5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4"/>
      <c r="AR831" s="3"/>
      <c r="AS831" s="4"/>
      <c r="AT831" s="3"/>
      <c r="AU831" s="3"/>
    </row>
    <row r="832" spans="1:47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5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4"/>
      <c r="AR832" s="3"/>
      <c r="AS832" s="4"/>
      <c r="AT832" s="3"/>
      <c r="AU832" s="3"/>
    </row>
    <row r="833" spans="1:47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5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4"/>
      <c r="AR833" s="3"/>
      <c r="AS833" s="4"/>
      <c r="AT833" s="3"/>
      <c r="AU833" s="3"/>
    </row>
    <row r="834" spans="1:47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5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4"/>
      <c r="AR834" s="3"/>
      <c r="AS834" s="4"/>
      <c r="AT834" s="3"/>
      <c r="AU834" s="3"/>
    </row>
    <row r="835" spans="1:47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5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4"/>
      <c r="AR835" s="3"/>
      <c r="AS835" s="4"/>
      <c r="AT835" s="3"/>
      <c r="AU835" s="3"/>
    </row>
    <row r="836" spans="1:47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5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4"/>
      <c r="AR836" s="3"/>
      <c r="AS836" s="4"/>
      <c r="AT836" s="3"/>
      <c r="AU836" s="3"/>
    </row>
    <row r="837" spans="1:47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5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4"/>
      <c r="AR837" s="3"/>
      <c r="AS837" s="4"/>
      <c r="AT837" s="3"/>
      <c r="AU837" s="3"/>
    </row>
    <row r="838" spans="1:47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5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4"/>
      <c r="AR838" s="3"/>
      <c r="AS838" s="4"/>
      <c r="AT838" s="3"/>
      <c r="AU838" s="3"/>
    </row>
    <row r="839" spans="1:47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5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4"/>
      <c r="AR839" s="3"/>
      <c r="AS839" s="4"/>
      <c r="AT839" s="3"/>
      <c r="AU839" s="3"/>
    </row>
    <row r="840" spans="1:47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5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4"/>
      <c r="AR840" s="3"/>
      <c r="AS840" s="4"/>
      <c r="AT840" s="3"/>
      <c r="AU840" s="3"/>
    </row>
    <row r="841" spans="1:47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5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4"/>
      <c r="AR841" s="3"/>
      <c r="AS841" s="4"/>
      <c r="AT841" s="3"/>
      <c r="AU841" s="3"/>
    </row>
    <row r="842" spans="1:47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5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4"/>
      <c r="AR842" s="3"/>
      <c r="AS842" s="4"/>
      <c r="AT842" s="3"/>
      <c r="AU842" s="3"/>
    </row>
    <row r="843" spans="1:47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5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4"/>
      <c r="AR843" s="3"/>
      <c r="AS843" s="4"/>
      <c r="AT843" s="3"/>
      <c r="AU843" s="3"/>
    </row>
    <row r="844" spans="1:47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5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4"/>
      <c r="AR844" s="3"/>
      <c r="AS844" s="4"/>
      <c r="AT844" s="3"/>
      <c r="AU844" s="3"/>
    </row>
    <row r="845" spans="1:47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5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4"/>
      <c r="AR845" s="3"/>
      <c r="AS845" s="4"/>
      <c r="AT845" s="3"/>
      <c r="AU845" s="3"/>
    </row>
    <row r="846" spans="1:47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5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4"/>
      <c r="AR846" s="3"/>
      <c r="AS846" s="4"/>
      <c r="AT846" s="3"/>
      <c r="AU846" s="3"/>
    </row>
    <row r="847" spans="1:47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5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4"/>
      <c r="AR847" s="3"/>
      <c r="AS847" s="4"/>
      <c r="AT847" s="3"/>
      <c r="AU847" s="3"/>
    </row>
    <row r="848" spans="1:47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5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4"/>
      <c r="AR848" s="3"/>
      <c r="AS848" s="4"/>
      <c r="AT848" s="3"/>
      <c r="AU848" s="3"/>
    </row>
    <row r="849" spans="1:47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5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4"/>
      <c r="AR849" s="3"/>
      <c r="AS849" s="4"/>
      <c r="AT849" s="3"/>
      <c r="AU849" s="3"/>
    </row>
    <row r="850" spans="1:47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5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4"/>
      <c r="AR850" s="3"/>
      <c r="AS850" s="4"/>
      <c r="AT850" s="3"/>
      <c r="AU850" s="3"/>
    </row>
    <row r="851" spans="1:47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5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4"/>
      <c r="AR851" s="3"/>
      <c r="AS851" s="4"/>
      <c r="AT851" s="3"/>
      <c r="AU851" s="3"/>
    </row>
    <row r="852" spans="1:47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5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4"/>
      <c r="AR852" s="3"/>
      <c r="AS852" s="4"/>
      <c r="AT852" s="3"/>
      <c r="AU852" s="3"/>
    </row>
    <row r="853" spans="1:47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5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4"/>
      <c r="AR853" s="3"/>
      <c r="AS853" s="4"/>
      <c r="AT853" s="3"/>
      <c r="AU853" s="3"/>
    </row>
    <row r="854" spans="1:47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5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4"/>
      <c r="AR854" s="3"/>
      <c r="AS854" s="4"/>
      <c r="AT854" s="3"/>
      <c r="AU854" s="3"/>
    </row>
    <row r="855" spans="1:47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5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4"/>
      <c r="AR855" s="3"/>
      <c r="AS855" s="4"/>
      <c r="AT855" s="3"/>
      <c r="AU855" s="3"/>
    </row>
    <row r="856" spans="1:47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5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4"/>
      <c r="AR856" s="3"/>
      <c r="AS856" s="4"/>
      <c r="AT856" s="3"/>
      <c r="AU856" s="3"/>
    </row>
    <row r="857" spans="1:47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5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4"/>
      <c r="AR857" s="3"/>
      <c r="AS857" s="4"/>
      <c r="AT857" s="3"/>
      <c r="AU857" s="3"/>
    </row>
    <row r="858" spans="1:47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5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4"/>
      <c r="AR858" s="3"/>
      <c r="AS858" s="4"/>
      <c r="AT858" s="3"/>
      <c r="AU858" s="3"/>
    </row>
    <row r="859" spans="1:47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5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4"/>
      <c r="AR859" s="3"/>
      <c r="AS859" s="4"/>
      <c r="AT859" s="3"/>
      <c r="AU859" s="3"/>
    </row>
    <row r="860" spans="1:47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5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4"/>
      <c r="AR860" s="3"/>
      <c r="AS860" s="4"/>
      <c r="AT860" s="3"/>
      <c r="AU860" s="3"/>
    </row>
    <row r="861" spans="1:47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5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4"/>
      <c r="AR861" s="3"/>
      <c r="AS861" s="4"/>
      <c r="AT861" s="3"/>
      <c r="AU861" s="3"/>
    </row>
    <row r="862" spans="1:47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5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4"/>
      <c r="AR862" s="3"/>
      <c r="AS862" s="4"/>
      <c r="AT862" s="3"/>
      <c r="AU862" s="3"/>
    </row>
    <row r="863" spans="1:47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5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4"/>
      <c r="AR863" s="3"/>
      <c r="AS863" s="4"/>
      <c r="AT863" s="3"/>
      <c r="AU863" s="3"/>
    </row>
    <row r="864" spans="1:47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5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4"/>
      <c r="AR864" s="3"/>
      <c r="AS864" s="4"/>
      <c r="AT864" s="3"/>
      <c r="AU864" s="3"/>
    </row>
    <row r="865" spans="1:47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5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4"/>
      <c r="AR865" s="3"/>
      <c r="AS865" s="4"/>
      <c r="AT865" s="3"/>
      <c r="AU865" s="3"/>
    </row>
    <row r="866" spans="1:47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5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4"/>
      <c r="AR866" s="3"/>
      <c r="AS866" s="4"/>
      <c r="AT866" s="3"/>
      <c r="AU866" s="3"/>
    </row>
    <row r="867" spans="1:47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5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4"/>
      <c r="AR867" s="3"/>
      <c r="AS867" s="4"/>
      <c r="AT867" s="3"/>
      <c r="AU867" s="3"/>
    </row>
    <row r="868" spans="1:47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5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4"/>
      <c r="AR868" s="3"/>
      <c r="AS868" s="4"/>
      <c r="AT868" s="3"/>
      <c r="AU868" s="3"/>
    </row>
    <row r="869" spans="1:47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5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4"/>
      <c r="AR869" s="3"/>
      <c r="AS869" s="4"/>
      <c r="AT869" s="3"/>
      <c r="AU869" s="3"/>
    </row>
    <row r="870" spans="1:47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5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4"/>
      <c r="AR870" s="3"/>
      <c r="AS870" s="4"/>
      <c r="AT870" s="3"/>
      <c r="AU870" s="3"/>
    </row>
    <row r="871" spans="1:47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5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4"/>
      <c r="AR871" s="3"/>
      <c r="AS871" s="4"/>
      <c r="AT871" s="3"/>
      <c r="AU871" s="3"/>
    </row>
    <row r="872" spans="1:47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5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4"/>
      <c r="AR872" s="3"/>
      <c r="AS872" s="4"/>
      <c r="AT872" s="3"/>
      <c r="AU872" s="3"/>
    </row>
    <row r="873" spans="1:47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5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4"/>
      <c r="AR873" s="3"/>
      <c r="AS873" s="4"/>
      <c r="AT873" s="3"/>
      <c r="AU873" s="3"/>
    </row>
    <row r="874" spans="1:47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5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4"/>
      <c r="AR874" s="3"/>
      <c r="AS874" s="4"/>
      <c r="AT874" s="3"/>
      <c r="AU874" s="3"/>
    </row>
    <row r="875" spans="1:47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5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4"/>
      <c r="AR875" s="3"/>
      <c r="AS875" s="4"/>
      <c r="AT875" s="3"/>
      <c r="AU875" s="3"/>
    </row>
    <row r="876" spans="1:47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5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4"/>
      <c r="AR876" s="3"/>
      <c r="AS876" s="4"/>
      <c r="AT876" s="3"/>
      <c r="AU876" s="3"/>
    </row>
    <row r="877" spans="1:47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5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4"/>
      <c r="AR877" s="3"/>
      <c r="AS877" s="4"/>
      <c r="AT877" s="3"/>
      <c r="AU877" s="3"/>
    </row>
    <row r="878" spans="1:47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5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4"/>
      <c r="AR878" s="3"/>
      <c r="AS878" s="4"/>
      <c r="AT878" s="3"/>
      <c r="AU878" s="3"/>
    </row>
    <row r="879" spans="1:47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5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4"/>
      <c r="AR879" s="3"/>
      <c r="AS879" s="4"/>
      <c r="AT879" s="3"/>
      <c r="AU879" s="3"/>
    </row>
    <row r="880" spans="1:47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5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4"/>
      <c r="AR880" s="3"/>
      <c r="AS880" s="4"/>
      <c r="AT880" s="3"/>
      <c r="AU880" s="3"/>
    </row>
    <row r="881" spans="1:47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5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4"/>
      <c r="AR881" s="3"/>
      <c r="AS881" s="4"/>
      <c r="AT881" s="3"/>
      <c r="AU881" s="3"/>
    </row>
    <row r="882" spans="1:47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5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4"/>
      <c r="AR882" s="3"/>
      <c r="AS882" s="4"/>
      <c r="AT882" s="3"/>
      <c r="AU882" s="3"/>
    </row>
    <row r="883" spans="1:47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5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4"/>
      <c r="AR883" s="3"/>
      <c r="AS883" s="4"/>
      <c r="AT883" s="3"/>
      <c r="AU883" s="3"/>
    </row>
    <row r="884" spans="1:47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5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4"/>
      <c r="AR884" s="3"/>
      <c r="AS884" s="4"/>
      <c r="AT884" s="3"/>
      <c r="AU884" s="3"/>
    </row>
    <row r="885" spans="1:47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5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4"/>
      <c r="AR885" s="3"/>
      <c r="AS885" s="4"/>
      <c r="AT885" s="3"/>
      <c r="AU885" s="3"/>
    </row>
    <row r="886" spans="1:47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5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4"/>
      <c r="AR886" s="3"/>
      <c r="AS886" s="4"/>
      <c r="AT886" s="3"/>
      <c r="AU886" s="3"/>
    </row>
    <row r="887" spans="1:47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5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4"/>
      <c r="AR887" s="3"/>
      <c r="AS887" s="4"/>
      <c r="AT887" s="3"/>
      <c r="AU887" s="3"/>
    </row>
    <row r="888" spans="1:47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5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4"/>
      <c r="AR888" s="3"/>
      <c r="AS888" s="4"/>
      <c r="AT888" s="3"/>
      <c r="AU888" s="3"/>
    </row>
    <row r="889" spans="1:47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5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4"/>
      <c r="AR889" s="3"/>
      <c r="AS889" s="4"/>
      <c r="AT889" s="3"/>
      <c r="AU889" s="3"/>
    </row>
    <row r="890" spans="1:47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5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4"/>
      <c r="AR890" s="3"/>
      <c r="AS890" s="4"/>
      <c r="AT890" s="3"/>
      <c r="AU890" s="3"/>
    </row>
    <row r="891" spans="1:47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5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4"/>
      <c r="AR891" s="3"/>
      <c r="AS891" s="4"/>
      <c r="AT891" s="3"/>
      <c r="AU891" s="3"/>
    </row>
    <row r="892" spans="1:47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5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4"/>
      <c r="AR892" s="3"/>
      <c r="AS892" s="4"/>
      <c r="AT892" s="3"/>
      <c r="AU892" s="3"/>
    </row>
    <row r="893" spans="1:47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5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4"/>
      <c r="AR893" s="3"/>
      <c r="AS893" s="4"/>
      <c r="AT893" s="3"/>
      <c r="AU893" s="3"/>
    </row>
    <row r="894" spans="1:47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5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4"/>
      <c r="AR894" s="3"/>
      <c r="AS894" s="4"/>
      <c r="AT894" s="3"/>
      <c r="AU894" s="3"/>
    </row>
    <row r="895" spans="1:47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5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4"/>
      <c r="AR895" s="3"/>
      <c r="AS895" s="4"/>
      <c r="AT895" s="3"/>
      <c r="AU895" s="3"/>
    </row>
    <row r="896" spans="1:47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5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4"/>
      <c r="AR896" s="3"/>
      <c r="AS896" s="4"/>
      <c r="AT896" s="3"/>
      <c r="AU896" s="3"/>
    </row>
    <row r="897" spans="1:47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5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4"/>
      <c r="AR897" s="3"/>
      <c r="AS897" s="4"/>
      <c r="AT897" s="3"/>
      <c r="AU897" s="3"/>
    </row>
    <row r="898" spans="1:47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5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4"/>
      <c r="AR898" s="3"/>
      <c r="AS898" s="4"/>
      <c r="AT898" s="3"/>
      <c r="AU898" s="3"/>
    </row>
    <row r="899" spans="1:47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5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4"/>
      <c r="AR899" s="3"/>
      <c r="AS899" s="4"/>
      <c r="AT899" s="3"/>
      <c r="AU899" s="3"/>
    </row>
    <row r="900" spans="1:47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5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4"/>
      <c r="AR900" s="3"/>
      <c r="AS900" s="4"/>
      <c r="AT900" s="3"/>
      <c r="AU900" s="3"/>
    </row>
    <row r="901" spans="1:47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5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4"/>
      <c r="AR901" s="3"/>
      <c r="AS901" s="4"/>
      <c r="AT901" s="3"/>
      <c r="AU901" s="3"/>
    </row>
    <row r="902" spans="1:47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5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4"/>
      <c r="AR902" s="3"/>
      <c r="AS902" s="4"/>
      <c r="AT902" s="3"/>
      <c r="AU902" s="3"/>
    </row>
    <row r="903" spans="1:47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5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4"/>
      <c r="AR903" s="3"/>
      <c r="AS903" s="4"/>
      <c r="AT903" s="3"/>
      <c r="AU903" s="3"/>
    </row>
    <row r="904" spans="1:47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5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4"/>
      <c r="AR904" s="3"/>
      <c r="AS904" s="4"/>
      <c r="AT904" s="3"/>
      <c r="AU904" s="3"/>
    </row>
    <row r="905" spans="1:47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5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4"/>
      <c r="AR905" s="3"/>
      <c r="AS905" s="4"/>
      <c r="AT905" s="3"/>
      <c r="AU905" s="3"/>
    </row>
    <row r="906" spans="1:47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5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4"/>
      <c r="AR906" s="3"/>
      <c r="AS906" s="4"/>
      <c r="AT906" s="3"/>
      <c r="AU906" s="3"/>
    </row>
    <row r="907" spans="1:47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5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4"/>
      <c r="AR907" s="3"/>
      <c r="AS907" s="4"/>
      <c r="AT907" s="3"/>
      <c r="AU907" s="3"/>
    </row>
    <row r="908" spans="1:47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5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4"/>
      <c r="AR908" s="3"/>
      <c r="AS908" s="4"/>
      <c r="AT908" s="3"/>
      <c r="AU908" s="3"/>
    </row>
    <row r="909" spans="1:47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5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4"/>
      <c r="AR909" s="3"/>
      <c r="AS909" s="4"/>
      <c r="AT909" s="3"/>
      <c r="AU909" s="3"/>
    </row>
    <row r="910" spans="1:47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5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4"/>
      <c r="AR910" s="3"/>
      <c r="AS910" s="4"/>
      <c r="AT910" s="3"/>
      <c r="AU910" s="3"/>
    </row>
    <row r="911" spans="1:47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5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4"/>
      <c r="AR911" s="3"/>
      <c r="AS911" s="4"/>
      <c r="AT911" s="3"/>
      <c r="AU911" s="3"/>
    </row>
    <row r="912" spans="1:47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5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4"/>
      <c r="AR912" s="3"/>
      <c r="AS912" s="4"/>
      <c r="AT912" s="3"/>
      <c r="AU912" s="3"/>
    </row>
    <row r="913" spans="1:47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5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4"/>
      <c r="AR913" s="3"/>
      <c r="AS913" s="4"/>
      <c r="AT913" s="3"/>
      <c r="AU913" s="3"/>
    </row>
    <row r="914" spans="1:47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5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4"/>
      <c r="AR914" s="3"/>
      <c r="AS914" s="4"/>
      <c r="AT914" s="3"/>
      <c r="AU914" s="3"/>
    </row>
    <row r="915" spans="1:47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5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4"/>
      <c r="AR915" s="3"/>
      <c r="AS915" s="4"/>
      <c r="AT915" s="3"/>
      <c r="AU915" s="3"/>
    </row>
    <row r="916" spans="1:47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5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4"/>
      <c r="AR916" s="3"/>
      <c r="AS916" s="4"/>
      <c r="AT916" s="3"/>
      <c r="AU916" s="3"/>
    </row>
    <row r="917" spans="1:47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5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4"/>
      <c r="AR917" s="3"/>
      <c r="AS917" s="4"/>
      <c r="AT917" s="3"/>
      <c r="AU917" s="3"/>
    </row>
    <row r="918" spans="1:47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5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4"/>
      <c r="AR918" s="3"/>
      <c r="AS918" s="4"/>
      <c r="AT918" s="3"/>
      <c r="AU918" s="3"/>
    </row>
    <row r="919" spans="1:47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5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4"/>
      <c r="AR919" s="3"/>
      <c r="AS919" s="4"/>
      <c r="AT919" s="3"/>
      <c r="AU919" s="3"/>
    </row>
    <row r="920" spans="1:47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5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4"/>
      <c r="AR920" s="3"/>
      <c r="AS920" s="4"/>
      <c r="AT920" s="3"/>
      <c r="AU920" s="3"/>
    </row>
    <row r="921" spans="1:47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5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4"/>
      <c r="AR921" s="3"/>
      <c r="AS921" s="4"/>
      <c r="AT921" s="3"/>
      <c r="AU921" s="3"/>
    </row>
    <row r="922" spans="1:47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5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4"/>
      <c r="AR922" s="3"/>
      <c r="AS922" s="4"/>
      <c r="AT922" s="3"/>
      <c r="AU922" s="3"/>
    </row>
    <row r="923" spans="1:47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5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4"/>
      <c r="AR923" s="3"/>
      <c r="AS923" s="4"/>
      <c r="AT923" s="3"/>
      <c r="AU923" s="3"/>
    </row>
    <row r="924" spans="1:47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5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4"/>
      <c r="AR924" s="3"/>
      <c r="AS924" s="4"/>
      <c r="AT924" s="3"/>
      <c r="AU924" s="3"/>
    </row>
    <row r="925" spans="1:47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5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4"/>
      <c r="AR925" s="3"/>
      <c r="AS925" s="4"/>
      <c r="AT925" s="3"/>
      <c r="AU925" s="3"/>
    </row>
    <row r="926" spans="1:47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5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4"/>
      <c r="AR926" s="3"/>
      <c r="AS926" s="4"/>
      <c r="AT926" s="3"/>
      <c r="AU926" s="3"/>
    </row>
    <row r="927" spans="1:47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5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4"/>
      <c r="AR927" s="3"/>
      <c r="AS927" s="4"/>
      <c r="AT927" s="3"/>
      <c r="AU927" s="3"/>
    </row>
    <row r="928" spans="1:47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5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4"/>
      <c r="AR928" s="3"/>
      <c r="AS928" s="4"/>
      <c r="AT928" s="3"/>
      <c r="AU928" s="3"/>
    </row>
    <row r="929" spans="1:47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5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4"/>
      <c r="AR929" s="3"/>
      <c r="AS929" s="4"/>
      <c r="AT929" s="3"/>
      <c r="AU929" s="3"/>
    </row>
    <row r="930" spans="1:47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5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4"/>
      <c r="AR930" s="3"/>
      <c r="AS930" s="4"/>
      <c r="AT930" s="3"/>
      <c r="AU930" s="3"/>
    </row>
    <row r="931" spans="1:47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5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4"/>
      <c r="AR931" s="3"/>
      <c r="AS931" s="4"/>
      <c r="AT931" s="3"/>
      <c r="AU931" s="3"/>
    </row>
    <row r="932" spans="1:47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5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4"/>
      <c r="AR932" s="3"/>
      <c r="AS932" s="4"/>
      <c r="AT932" s="3"/>
      <c r="AU932" s="3"/>
    </row>
    <row r="933" spans="1:47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5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4"/>
      <c r="AR933" s="3"/>
      <c r="AS933" s="4"/>
      <c r="AT933" s="3"/>
      <c r="AU933" s="3"/>
    </row>
    <row r="934" spans="1:47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5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4"/>
      <c r="AR934" s="3"/>
      <c r="AS934" s="4"/>
      <c r="AT934" s="3"/>
      <c r="AU934" s="3"/>
    </row>
    <row r="935" spans="1:47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5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4"/>
      <c r="AR935" s="3"/>
      <c r="AS935" s="4"/>
      <c r="AT935" s="3"/>
      <c r="AU935" s="3"/>
    </row>
    <row r="936" spans="1:47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5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4"/>
      <c r="AR936" s="3"/>
      <c r="AS936" s="4"/>
      <c r="AT936" s="3"/>
      <c r="AU936" s="3"/>
    </row>
    <row r="937" spans="1:47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5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4"/>
      <c r="AR937" s="3"/>
      <c r="AS937" s="4"/>
      <c r="AT937" s="3"/>
      <c r="AU937" s="3"/>
    </row>
    <row r="938" spans="1:47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5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4"/>
      <c r="AR938" s="3"/>
      <c r="AS938" s="4"/>
      <c r="AT938" s="3"/>
      <c r="AU938" s="3"/>
    </row>
    <row r="939" spans="1:47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5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4"/>
      <c r="AR939" s="3"/>
      <c r="AS939" s="4"/>
      <c r="AT939" s="3"/>
      <c r="AU939" s="3"/>
    </row>
    <row r="940" spans="1:47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5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4"/>
      <c r="AR940" s="3"/>
      <c r="AS940" s="4"/>
      <c r="AT940" s="3"/>
      <c r="AU940" s="3"/>
    </row>
    <row r="941" spans="1:47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5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4"/>
      <c r="AR941" s="3"/>
      <c r="AS941" s="4"/>
      <c r="AT941" s="3"/>
      <c r="AU941" s="3"/>
    </row>
    <row r="942" spans="1:47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5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4"/>
      <c r="AR942" s="3"/>
      <c r="AS942" s="4"/>
      <c r="AT942" s="3"/>
      <c r="AU942" s="3"/>
    </row>
    <row r="943" spans="1:47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5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4"/>
      <c r="AR943" s="3"/>
      <c r="AS943" s="4"/>
      <c r="AT943" s="3"/>
      <c r="AU943" s="3"/>
    </row>
    <row r="944" spans="1:47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5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4"/>
      <c r="AR944" s="3"/>
      <c r="AS944" s="4"/>
      <c r="AT944" s="3"/>
      <c r="AU944" s="3"/>
    </row>
    <row r="945" spans="1:47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5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4"/>
      <c r="AR945" s="3"/>
      <c r="AS945" s="4"/>
      <c r="AT945" s="3"/>
      <c r="AU945" s="3"/>
    </row>
    <row r="946" spans="1:47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5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4"/>
      <c r="AR946" s="3"/>
      <c r="AS946" s="4"/>
      <c r="AT946" s="3"/>
      <c r="AU946" s="3"/>
    </row>
    <row r="947" spans="1:47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5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4"/>
      <c r="AR947" s="3"/>
      <c r="AS947" s="4"/>
      <c r="AT947" s="3"/>
      <c r="AU947" s="3"/>
    </row>
    <row r="948" spans="1:47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5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4"/>
      <c r="AR948" s="3"/>
      <c r="AS948" s="4"/>
      <c r="AT948" s="3"/>
      <c r="AU948" s="3"/>
    </row>
    <row r="949" spans="1:47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5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4"/>
      <c r="AR949" s="3"/>
      <c r="AS949" s="4"/>
      <c r="AT949" s="3"/>
      <c r="AU949" s="3"/>
    </row>
    <row r="950" spans="1:47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5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4"/>
      <c r="AR950" s="3"/>
      <c r="AS950" s="4"/>
      <c r="AT950" s="3"/>
      <c r="AU950" s="3"/>
    </row>
    <row r="951" spans="1:47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5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4"/>
      <c r="AR951" s="3"/>
      <c r="AS951" s="4"/>
      <c r="AT951" s="3"/>
      <c r="AU951" s="3"/>
    </row>
    <row r="952" spans="1:47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5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4"/>
      <c r="AR952" s="3"/>
      <c r="AS952" s="4"/>
      <c r="AT952" s="3"/>
      <c r="AU952" s="3"/>
    </row>
    <row r="953" spans="1:47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5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4"/>
      <c r="AR953" s="3"/>
      <c r="AS953" s="4"/>
      <c r="AT953" s="3"/>
      <c r="AU953" s="3"/>
    </row>
    <row r="954" spans="1:47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5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4"/>
      <c r="AR954" s="3"/>
      <c r="AS954" s="4"/>
      <c r="AT954" s="3"/>
      <c r="AU954" s="3"/>
    </row>
    <row r="955" spans="1:47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5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4"/>
      <c r="AR955" s="3"/>
      <c r="AS955" s="4"/>
      <c r="AT955" s="3"/>
      <c r="AU955" s="3"/>
    </row>
    <row r="956" spans="1:47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5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4"/>
      <c r="AR956" s="3"/>
      <c r="AS956" s="4"/>
      <c r="AT956" s="3"/>
      <c r="AU956" s="3"/>
    </row>
    <row r="957" spans="1:47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5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4"/>
      <c r="AR957" s="3"/>
      <c r="AS957" s="4"/>
      <c r="AT957" s="3"/>
      <c r="AU957" s="3"/>
    </row>
    <row r="958" spans="1:47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5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4"/>
      <c r="AR958" s="3"/>
      <c r="AS958" s="4"/>
      <c r="AT958" s="3"/>
      <c r="AU958" s="3"/>
    </row>
    <row r="959" spans="1:47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5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4"/>
      <c r="AR959" s="3"/>
      <c r="AS959" s="4"/>
      <c r="AT959" s="3"/>
      <c r="AU959" s="3"/>
    </row>
    <row r="960" spans="1:47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5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4"/>
      <c r="AR960" s="3"/>
      <c r="AS960" s="4"/>
      <c r="AT960" s="3"/>
      <c r="AU960" s="3"/>
    </row>
    <row r="961" spans="1:47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5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4"/>
      <c r="AR961" s="3"/>
      <c r="AS961" s="4"/>
      <c r="AT961" s="3"/>
      <c r="AU961" s="3"/>
    </row>
    <row r="962" spans="1:47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5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4"/>
      <c r="AR962" s="3"/>
      <c r="AS962" s="4"/>
      <c r="AT962" s="3"/>
      <c r="AU962" s="3"/>
    </row>
    <row r="963" spans="1:47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5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4"/>
      <c r="AR963" s="3"/>
      <c r="AS963" s="4"/>
      <c r="AT963" s="3"/>
      <c r="AU963" s="3"/>
    </row>
    <row r="964" spans="1:47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5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4"/>
      <c r="AR964" s="3"/>
      <c r="AS964" s="4"/>
      <c r="AT964" s="3"/>
      <c r="AU964" s="3"/>
    </row>
    <row r="965" spans="1:47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5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4"/>
      <c r="AR965" s="3"/>
      <c r="AS965" s="4"/>
      <c r="AT965" s="3"/>
      <c r="AU965" s="3"/>
    </row>
    <row r="966" spans="1:47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5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4"/>
      <c r="AR966" s="3"/>
      <c r="AS966" s="4"/>
      <c r="AT966" s="3"/>
      <c r="AU966" s="3"/>
    </row>
    <row r="967" spans="1:47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5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4"/>
      <c r="AR967" s="3"/>
      <c r="AS967" s="4"/>
      <c r="AT967" s="3"/>
      <c r="AU967" s="3"/>
    </row>
    <row r="968" spans="1:47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5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4"/>
      <c r="AR968" s="3"/>
      <c r="AS968" s="4"/>
      <c r="AT968" s="3"/>
      <c r="AU968" s="3"/>
    </row>
    <row r="969" spans="1:47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5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4"/>
      <c r="AR969" s="3"/>
      <c r="AS969" s="4"/>
      <c r="AT969" s="3"/>
      <c r="AU969" s="3"/>
    </row>
    <row r="970" spans="1:47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5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4"/>
      <c r="AR970" s="3"/>
      <c r="AS970" s="4"/>
      <c r="AT970" s="3"/>
      <c r="AU970" s="3"/>
    </row>
    <row r="971" spans="1:47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5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4"/>
      <c r="AR971" s="3"/>
      <c r="AS971" s="4"/>
      <c r="AT971" s="3"/>
      <c r="AU971" s="3"/>
    </row>
    <row r="972" spans="1:47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5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4"/>
      <c r="AR972" s="3"/>
      <c r="AS972" s="4"/>
      <c r="AT972" s="3"/>
      <c r="AU972" s="3"/>
    </row>
    <row r="973" spans="1:47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5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4"/>
      <c r="AR973" s="3"/>
      <c r="AS973" s="4"/>
      <c r="AT973" s="3"/>
      <c r="AU973" s="3"/>
    </row>
    <row r="974" spans="1:47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5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4"/>
      <c r="AR974" s="3"/>
      <c r="AS974" s="4"/>
      <c r="AT974" s="3"/>
      <c r="AU974" s="3"/>
    </row>
    <row r="975" spans="1:47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5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4"/>
      <c r="AR975" s="3"/>
      <c r="AS975" s="4"/>
      <c r="AT975" s="3"/>
      <c r="AU975" s="3"/>
    </row>
    <row r="976" spans="1:47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5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4"/>
      <c r="AR976" s="3"/>
      <c r="AS976" s="4"/>
      <c r="AT976" s="3"/>
      <c r="AU976" s="3"/>
    </row>
    <row r="977" spans="1:47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5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4"/>
      <c r="AR977" s="3"/>
      <c r="AS977" s="4"/>
      <c r="AT977" s="3"/>
      <c r="AU977" s="3"/>
    </row>
    <row r="978" spans="1:47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5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4"/>
      <c r="AR978" s="3"/>
      <c r="AS978" s="4"/>
      <c r="AT978" s="3"/>
      <c r="AU978" s="3"/>
    </row>
    <row r="979" spans="1:47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5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4"/>
      <c r="AR979" s="3"/>
      <c r="AS979" s="4"/>
      <c r="AT979" s="3"/>
      <c r="AU979" s="3"/>
    </row>
    <row r="980" spans="1:47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5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4"/>
      <c r="AR980" s="3"/>
      <c r="AS980" s="4"/>
      <c r="AT980" s="3"/>
      <c r="AU980" s="3"/>
    </row>
    <row r="981" spans="1:47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5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4"/>
      <c r="AR981" s="3"/>
      <c r="AS981" s="4"/>
      <c r="AT981" s="3"/>
      <c r="AU981" s="3"/>
    </row>
    <row r="982" spans="1:47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5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4"/>
      <c r="AR982" s="3"/>
      <c r="AS982" s="4"/>
      <c r="AT982" s="3"/>
      <c r="AU982" s="3"/>
    </row>
    <row r="983" spans="1:47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5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4"/>
      <c r="AR983" s="3"/>
      <c r="AS983" s="4"/>
      <c r="AT983" s="3"/>
      <c r="AU983" s="3"/>
    </row>
    <row r="984" spans="1:47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5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4"/>
      <c r="AR984" s="3"/>
      <c r="AS984" s="4"/>
      <c r="AT984" s="3"/>
      <c r="AU984" s="3"/>
    </row>
    <row r="985" spans="1:47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5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4"/>
      <c r="AR985" s="3"/>
      <c r="AS985" s="4"/>
      <c r="AT985" s="3"/>
      <c r="AU985" s="3"/>
    </row>
    <row r="986" spans="1:47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5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4"/>
      <c r="AR986" s="3"/>
      <c r="AS986" s="4"/>
      <c r="AT986" s="3"/>
      <c r="AU986" s="3"/>
    </row>
    <row r="987" spans="1:47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5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4"/>
      <c r="AR987" s="3"/>
      <c r="AS987" s="4"/>
      <c r="AT987" s="3"/>
      <c r="AU987" s="3"/>
    </row>
    <row r="988" spans="1:47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5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4"/>
      <c r="AR988" s="3"/>
      <c r="AS988" s="4"/>
      <c r="AT988" s="3"/>
      <c r="AU988" s="3"/>
    </row>
    <row r="989" spans="1:47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5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4"/>
      <c r="AR989" s="3"/>
      <c r="AS989" s="4"/>
      <c r="AT989" s="3"/>
      <c r="AU989" s="3"/>
    </row>
  </sheetData>
  <mergeCells count="1">
    <mergeCell ref="N465:S4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HSFC-PC3</cp:lastModifiedBy>
  <dcterms:modified xsi:type="dcterms:W3CDTF">2026-01-29T03:17:31Z</dcterms:modified>
</cp:coreProperties>
</file>